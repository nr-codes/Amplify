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r\Documents\Sync\IIT\Research Papers\TRO 2026\code\OptimTraj Benchmark\"/>
    </mc:Choice>
  </mc:AlternateContent>
  <xr:revisionPtr revIDLastSave="0" documentId="13_ncr:1_{4BAB6840-0DC7-4525-8FC4-A831ABA4657C}" xr6:coauthVersionLast="47" xr6:coauthVersionMax="47" xr10:uidLastSave="{00000000-0000-0000-0000-000000000000}"/>
  <bookViews>
    <workbookView xWindow="1860" yWindow="1860" windowWidth="33435" windowHeight="15345" activeTab="3" xr2:uid="{00000000-000D-0000-FFFF-FFFF00000000}"/>
  </bookViews>
  <sheets>
    <sheet name="optimtraj_demos" sheetId="2" r:id="rId1"/>
    <sheet name="averages" sheetId="1" r:id="rId2"/>
    <sheet name="std. dev" sheetId="3" r:id="rId3"/>
    <sheet name="table_ot" sheetId="4" r:id="rId4"/>
  </sheets>
  <definedNames>
    <definedName name="ExternalData_1" localSheetId="0" hidden="1">optimtraj_demos!$A$1:$N$51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3" l="1"/>
  <c r="N1" i="1"/>
  <c r="L1" i="3"/>
  <c r="M1" i="3"/>
  <c r="L1" i="1"/>
  <c r="M1" i="1"/>
  <c r="K1" i="3"/>
  <c r="K1" i="1"/>
  <c r="C6" i="3"/>
  <c r="A6" i="3" s="1" a="1"/>
  <c r="A6" i="3" s="1"/>
  <c r="C6" i="1"/>
  <c r="A6" i="1" s="1" a="1"/>
  <c r="A6" i="1" s="1"/>
  <c r="N6" i="1" l="1"/>
  <c r="N6" i="3"/>
  <c r="M6" i="3"/>
  <c r="L6" i="3"/>
  <c r="M6" i="1"/>
  <c r="M5" i="4" s="1"/>
  <c r="L6" i="1"/>
  <c r="L5" i="4" s="1"/>
  <c r="K6" i="3"/>
  <c r="K6" i="1"/>
  <c r="K5" i="4" s="1"/>
  <c r="H6" i="3"/>
  <c r="H6" i="1"/>
  <c r="E6" i="1"/>
  <c r="E5" i="4" s="1"/>
  <c r="E6" i="3"/>
  <c r="R6" i="1"/>
  <c r="H5" i="4" s="1"/>
  <c r="D6" i="1"/>
  <c r="G6" i="1"/>
  <c r="I6" i="1"/>
  <c r="J6" i="1"/>
  <c r="P6" i="1" s="1"/>
  <c r="F5" i="4" s="1"/>
  <c r="Q6" i="1"/>
  <c r="G5" i="4" s="1"/>
  <c r="B6" i="1" a="1"/>
  <c r="B6" i="1" s="1"/>
  <c r="G6" i="3"/>
  <c r="F6" i="1"/>
  <c r="J5" i="4" s="1"/>
  <c r="B6" i="3" a="1"/>
  <c r="B6" i="3" s="1"/>
  <c r="J6" i="3"/>
  <c r="P6" i="3" s="1"/>
  <c r="I5" i="4" s="1"/>
  <c r="I6" i="3"/>
  <c r="F6" i="3"/>
  <c r="D6" i="3"/>
  <c r="C5" i="3"/>
  <c r="B5" i="3" s="1" a="1"/>
  <c r="B5" i="3" s="1"/>
  <c r="C4" i="3"/>
  <c r="B4" i="3" s="1" a="1"/>
  <c r="B4" i="3" s="1"/>
  <c r="C3" i="3"/>
  <c r="B3" i="3" s="1" a="1"/>
  <c r="B3" i="3" s="1"/>
  <c r="C2" i="3"/>
  <c r="A2" i="3" s="1" a="1"/>
  <c r="A2" i="3" s="1"/>
  <c r="J1" i="3"/>
  <c r="I1" i="3"/>
  <c r="H1" i="3"/>
  <c r="G1" i="3"/>
  <c r="F1" i="3"/>
  <c r="E1" i="3"/>
  <c r="D1" i="3"/>
  <c r="C1" i="3"/>
  <c r="B1" i="3"/>
  <c r="A1" i="3"/>
  <c r="C5" i="1"/>
  <c r="C4" i="1"/>
  <c r="C3" i="1"/>
  <c r="C2" i="1"/>
  <c r="J1" i="1"/>
  <c r="I1" i="1"/>
  <c r="H1" i="1"/>
  <c r="G1" i="1"/>
  <c r="F1" i="1"/>
  <c r="E1" i="1"/>
  <c r="D1" i="1"/>
  <c r="C1" i="1"/>
  <c r="B1" i="1"/>
  <c r="A1" i="1"/>
  <c r="N2" i="3" l="1"/>
  <c r="N2" i="1"/>
  <c r="N3" i="3"/>
  <c r="N3" i="1"/>
  <c r="N4" i="3"/>
  <c r="N4" i="1"/>
  <c r="N5" i="3"/>
  <c r="N5" i="1"/>
  <c r="L4" i="3"/>
  <c r="M4" i="3"/>
  <c r="L4" i="1"/>
  <c r="L4" i="4" s="1"/>
  <c r="M4" i="1"/>
  <c r="M4" i="4" s="1"/>
  <c r="L2" i="3"/>
  <c r="M2" i="3"/>
  <c r="L2" i="1"/>
  <c r="L2" i="4" s="1"/>
  <c r="M2" i="1"/>
  <c r="M2" i="4" s="1"/>
  <c r="M5" i="1"/>
  <c r="M6" i="4" s="1"/>
  <c r="M5" i="3"/>
  <c r="L5" i="3"/>
  <c r="L5" i="1"/>
  <c r="L6" i="4" s="1"/>
  <c r="L3" i="3"/>
  <c r="M3" i="3"/>
  <c r="L3" i="1"/>
  <c r="L3" i="4" s="1"/>
  <c r="M3" i="1"/>
  <c r="M3" i="4" s="1"/>
  <c r="F3" i="1"/>
  <c r="J3" i="4" s="1"/>
  <c r="K3" i="1"/>
  <c r="K3" i="4" s="1"/>
  <c r="K3" i="3"/>
  <c r="H4" i="3"/>
  <c r="K4" i="1"/>
  <c r="K4" i="4" s="1"/>
  <c r="K4" i="3"/>
  <c r="D5" i="3"/>
  <c r="K5" i="1"/>
  <c r="K6" i="4" s="1"/>
  <c r="K5" i="3"/>
  <c r="A2" i="1" a="1"/>
  <c r="A2" i="1" s="1"/>
  <c r="K2" i="1"/>
  <c r="K2" i="4" s="1"/>
  <c r="K2" i="3"/>
  <c r="A3" i="3" a="1"/>
  <c r="A3" i="3" s="1"/>
  <c r="D4" i="1"/>
  <c r="I4" i="1"/>
  <c r="H4" i="1"/>
  <c r="J4" i="1"/>
  <c r="P4" i="1" s="1"/>
  <c r="F4" i="4" s="1"/>
  <c r="D5" i="1"/>
  <c r="E5" i="1"/>
  <c r="E6" i="4" s="1"/>
  <c r="E2" i="3"/>
  <c r="B2" i="1" a="1"/>
  <c r="B2" i="1" s="1"/>
  <c r="I4" i="3"/>
  <c r="A5" i="1" a="1"/>
  <c r="A5" i="1" s="1"/>
  <c r="G4" i="3"/>
  <c r="E5" i="3"/>
  <c r="F2" i="3"/>
  <c r="I5" i="1"/>
  <c r="J5" i="1"/>
  <c r="P5" i="1" s="1"/>
  <c r="F6" i="4" s="1"/>
  <c r="F2" i="1"/>
  <c r="J2" i="4" s="1"/>
  <c r="J4" i="3"/>
  <c r="P4" i="3" s="1"/>
  <c r="I4" i="4" s="1"/>
  <c r="I2" i="1"/>
  <c r="F5" i="3"/>
  <c r="H5" i="1"/>
  <c r="I3" i="3"/>
  <c r="J3" i="3"/>
  <c r="P3" i="3" s="1"/>
  <c r="I3" i="4" s="1"/>
  <c r="B3" i="1" a="1"/>
  <c r="B3" i="1" s="1"/>
  <c r="E4" i="3"/>
  <c r="F4" i="3"/>
  <c r="B5" i="1" a="1"/>
  <c r="B5" i="1" s="1"/>
  <c r="E2" i="1"/>
  <c r="E2" i="4" s="1"/>
  <c r="J2" i="1"/>
  <c r="P2" i="1" s="1"/>
  <c r="F2" i="4" s="1"/>
  <c r="F5" i="1"/>
  <c r="J6" i="4" s="1"/>
  <c r="G5" i="1"/>
  <c r="B4" i="1" a="1"/>
  <c r="B4" i="1" s="1"/>
  <c r="G2" i="1"/>
  <c r="H2" i="1"/>
  <c r="G5" i="3"/>
  <c r="E3" i="1"/>
  <c r="E3" i="4" s="1"/>
  <c r="H5" i="3"/>
  <c r="I5" i="3"/>
  <c r="J5" i="3"/>
  <c r="P5" i="3" s="1"/>
  <c r="I6" i="4" s="1"/>
  <c r="I2" i="3"/>
  <c r="A5" i="3" a="1"/>
  <c r="A5" i="3" s="1"/>
  <c r="G2" i="3"/>
  <c r="H2" i="3"/>
  <c r="Q3" i="1"/>
  <c r="G3" i="4" s="1"/>
  <c r="R3" i="1"/>
  <c r="H3" i="4" s="1"/>
  <c r="G3" i="1"/>
  <c r="Q4" i="1"/>
  <c r="G4" i="4" s="1"/>
  <c r="R4" i="1"/>
  <c r="H4" i="4" s="1"/>
  <c r="H3" i="1"/>
  <c r="D2" i="3"/>
  <c r="I3" i="1"/>
  <c r="D3" i="3"/>
  <c r="J3" i="1"/>
  <c r="P3" i="1" s="1"/>
  <c r="F3" i="4" s="1"/>
  <c r="E3" i="3"/>
  <c r="D4" i="3"/>
  <c r="A3" i="1" a="1"/>
  <c r="A3" i="1" s="1"/>
  <c r="E4" i="1"/>
  <c r="E4" i="4" s="1"/>
  <c r="F3" i="3"/>
  <c r="A4" i="3" a="1"/>
  <c r="A4" i="3" s="1"/>
  <c r="R2" i="1"/>
  <c r="H2" i="4" s="1"/>
  <c r="Q2" i="1"/>
  <c r="G2" i="4" s="1"/>
  <c r="Q5" i="1"/>
  <c r="G6" i="4" s="1"/>
  <c r="R5" i="1"/>
  <c r="H6" i="4" s="1"/>
  <c r="J2" i="3"/>
  <c r="P2" i="3" s="1"/>
  <c r="I2" i="4" s="1"/>
  <c r="A4" i="1" a="1"/>
  <c r="A4" i="1" s="1"/>
  <c r="F4" i="1"/>
  <c r="J4" i="4" s="1"/>
  <c r="G3" i="3"/>
  <c r="D2" i="1"/>
  <c r="G4" i="1"/>
  <c r="H3" i="3"/>
  <c r="D3" i="1"/>
  <c r="B2" i="3" a="1"/>
  <c r="B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72AFD-6421-45EB-BBED-5D6C73D9458F}" keepAlive="1" name="Query - optimtraj_demos" description="Connection to the 'optimtraj_demos' query in the workbook." type="5" refreshedVersion="8" background="1" saveData="1">
    <dbPr connection="Provider=Microsoft.Mashup.OleDb.1;Data Source=$Workbook$;Location=optimtraj_demos;Extended Properties=&quot;&quot;" command="SELECT * FROM [optimtraj_dem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<sst xmlns="http://schemas.openxmlformats.org/spreadsheetml/2006/main" count="153" uniqueCount="50">
  <si>
    <t>DEMO_LABEL</t>
  </si>
  <si>
    <t>DEMO_NAME</t>
  </si>
  <si>
    <t>NUMBER</t>
  </si>
  <si>
    <t>exitFlag</t>
  </si>
  <si>
    <t>objVal</t>
  </si>
  <si>
    <t>iterations</t>
  </si>
  <si>
    <t>funcCount</t>
  </si>
  <si>
    <t>constrviolation</t>
  </si>
  <si>
    <t>nlpTime</t>
  </si>
  <si>
    <t>Elapsed_time</t>
  </si>
  <si>
    <t>acrobot</t>
  </si>
  <si>
    <t>Amplify_MAIN</t>
  </si>
  <si>
    <t>cart-pole (min force)</t>
  </si>
  <si>
    <t>Amplify_MAIN_minForce</t>
  </si>
  <si>
    <t>cart-pole (min time)</t>
  </si>
  <si>
    <t>Amplify_MAIN_minTime</t>
  </si>
  <si>
    <t>five-link biped</t>
  </si>
  <si>
    <t>moving block</t>
  </si>
  <si>
    <t>Amplify_MAIN_forceSquared</t>
  </si>
  <si>
    <t>avg. elapsed time</t>
  </si>
  <si>
    <t>min elapsed time</t>
  </si>
  <si>
    <t>max elapsed time</t>
  </si>
  <si>
    <t>nvars</t>
  </si>
  <si>
    <t>ncineq</t>
  </si>
  <si>
    <t>nceq</t>
  </si>
  <si>
    <t>nzbnd</t>
  </si>
  <si>
    <t>Demo</t>
  </si>
  <si>
    <t>Library</t>
  </si>
  <si>
    <t>Solver</t>
  </si>
  <si>
    <t>Objective</t>
  </si>
  <si>
    <t>OptimTraj</t>
  </si>
  <si>
    <t>TRAP</t>
  </si>
  <si>
    <t>HS</t>
  </si>
  <si>
    <t>Wall Time Std. Dev</t>
  </si>
  <si>
    <t>Wall Time Min</t>
  </si>
  <si>
    <t>Wall Time Max</t>
  </si>
  <si>
    <t>Order</t>
  </si>
  <si>
    <t>RK Method</t>
  </si>
  <si>
    <t>Iterates</t>
  </si>
  <si>
    <t># Vars.</t>
  </si>
  <si>
    <t># Eq. Cons.</t>
  </si>
  <si>
    <t># of Ineq. Constr.</t>
  </si>
  <si>
    <t>Wall Time (s)</t>
  </si>
  <si>
    <t>Amplify objVal</t>
  </si>
  <si>
    <t>Acrobot</t>
  </si>
  <si>
    <t>Cart-Pole (force)</t>
  </si>
  <si>
    <t>Cart-Pole (time)</t>
  </si>
  <si>
    <t>Moving Block</t>
  </si>
  <si>
    <t>Five-Link Biped (5 DOF)</t>
  </si>
  <si>
    <t>fmincon v24.1 (2024a)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</si>
</sst>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8025D-3B43-4C69-AC58-E8D9C4FF6C10}" autoFormatId="16" applyNumberFormats="0" applyBorderFormats="0" applyFontFormats="0" applyPatternFormats="0" applyAlignmentFormats="0" applyWidthHeightFormats="0">
  <queryTableRefresh nextId="16">
    <queryTableFields count="14">
      <queryTableField id="1" name="DEMO_LABEL" tableColumnId="1"/>
      <queryTableField id="2" name="DEMO_NAME" tableColumnId="2"/>
      <queryTableField id="3" name="NUMBER" tableColumnId="3"/>
      <queryTableField id="4" name="exitFlag" tableColumnId="4"/>
      <queryTableField id="5" name="objVal" tableColumnId="5"/>
      <queryTableField id="6" name="iterations" tableColumnId="6"/>
      <queryTableField id="7" name="funcCount" tableColumnId="7"/>
      <queryTableField id="8" name="constrviolation" tableColumnId="8"/>
      <queryTableField id="9" name="nlpTime" tableColumnId="9"/>
      <queryTableField id="10" name="Elapsed_time" tableColumnId="10"/>
      <queryTableField id="11" name="nvars" tableColumnId="11"/>
      <queryTableField id="13" name="nceq" tableColumnId="13"/>
      <queryTableField id="12" name="ncineq" tableColumnId="12"/>
      <queryTableField id="15" name="nzbn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718BD3-A543-4C5C-B588-7BDD88EF4772}" name="optimtraj_demos" displayName="optimtraj_demos" ref="A1:N51" tableType="queryTable" totalsRowShown="0">
  <autoFilter ref="A1:N51" xr:uid="{5E718BD3-A543-4C5C-B588-7BDD88EF4772}"/>
  <tableColumns count="14">
    <tableColumn id="1" xr3:uid="{96D9099A-F508-4FC0-8A0A-7A6B87ABA914}" uniqueName="1" name="DEMO_LABEL" queryTableFieldId="1" dataDxfId="1"/>
    <tableColumn id="2" xr3:uid="{4D9F188C-633E-465B-8D3C-C80B343B2A48}" uniqueName="2" name="DEMO_NAME" queryTableFieldId="2" dataDxfId="0"/>
    <tableColumn id="3" xr3:uid="{BE572F1E-2D72-417D-9136-A67E3F95382F}" uniqueName="3" name="NUMBER" queryTableFieldId="3"/>
    <tableColumn id="4" xr3:uid="{30EFD0B5-439B-4C16-8180-0C3177E88E92}" uniqueName="4" name="exitFlag" queryTableFieldId="4"/>
    <tableColumn id="5" xr3:uid="{12413197-5AB3-42FA-BA0C-E5BC21183800}" uniqueName="5" name="objVal" queryTableFieldId="5"/>
    <tableColumn id="6" xr3:uid="{78475001-B5AB-41A2-8BC9-9341BB03B63F}" uniqueName="6" name="iterations" queryTableFieldId="6"/>
    <tableColumn id="7" xr3:uid="{6296699D-D0D2-41BA-92A9-E17A5DB5D9AE}" uniqueName="7" name="funcCount" queryTableFieldId="7"/>
    <tableColumn id="8" xr3:uid="{EE90BF65-BAE4-4193-BB50-E4F8D42144F7}" uniqueName="8" name="constrviolation" queryTableFieldId="8"/>
    <tableColumn id="9" xr3:uid="{94F48FD4-51D4-476B-899E-28FEC2A38806}" uniqueName="9" name="nlpTime" queryTableFieldId="9"/>
    <tableColumn id="10" xr3:uid="{11FF5AD1-0889-4D4E-A8BE-DE85B973FD7D}" uniqueName="10" name="Elapsed_time" queryTableFieldId="10"/>
    <tableColumn id="11" xr3:uid="{948934CE-2619-42B1-9E07-64D4899B45C3}" uniqueName="11" name="nvars" queryTableFieldId="11"/>
    <tableColumn id="13" xr3:uid="{6CA64F8A-F51D-471F-8FD7-EE838136DFB7}" uniqueName="13" name="nceq" queryTableFieldId="13"/>
    <tableColumn id="12" xr3:uid="{C261CA70-3A9F-420B-931B-76A22C87AC14}" uniqueName="12" name="ncineq" queryTableFieldId="12"/>
    <tableColumn id="14" xr3:uid="{D210EC62-BAA5-489A-B5F0-112237CD1118}" uniqueName="14" name="nzbn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C283-668D-4823-967C-BD38D769B4E3}">
  <dimension ref="A1:N51"/>
  <sheetViews>
    <sheetView workbookViewId="0">
      <selection activeCell="A42" sqref="A42"/>
    </sheetView>
  </sheetViews>
  <sheetFormatPr defaultRowHeight="15" x14ac:dyDescent="0.25"/>
  <cols>
    <col min="1" max="1" width="19.5703125" bestFit="1" customWidth="1"/>
    <col min="2" max="2" width="27.42578125" bestFit="1" customWidth="1"/>
    <col min="3" max="3" width="11.28515625" bestFit="1" customWidth="1"/>
    <col min="4" max="4" width="10.28515625" bestFit="1" customWidth="1"/>
    <col min="5" max="5" width="9" bestFit="1" customWidth="1"/>
    <col min="6" max="6" width="11.85546875" bestFit="1" customWidth="1"/>
    <col min="7" max="7" width="12.42578125" bestFit="1" customWidth="1"/>
    <col min="8" max="8" width="16.7109375" bestFit="1" customWidth="1"/>
    <col min="9" max="9" width="10.5703125" bestFit="1" customWidth="1"/>
    <col min="10" max="10" width="15.42578125" bestFit="1" customWidth="1"/>
    <col min="11" max="11" width="8" bestFit="1" customWidth="1"/>
    <col min="12" max="12" width="7.5703125" bestFit="1" customWidth="1"/>
    <col min="13" max="13" width="9.28515625" bestFit="1" customWidth="1"/>
    <col min="14" max="14" width="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24</v>
      </c>
      <c r="M1" t="s">
        <v>23</v>
      </c>
      <c r="N1" t="s">
        <v>25</v>
      </c>
    </row>
    <row r="2" spans="1:14" x14ac:dyDescent="0.25">
      <c r="A2" t="s">
        <v>10</v>
      </c>
      <c r="B2" t="s">
        <v>11</v>
      </c>
      <c r="C2">
        <v>1</v>
      </c>
      <c r="D2">
        <v>1</v>
      </c>
      <c r="E2">
        <v>38.960799999999999</v>
      </c>
      <c r="F2">
        <v>55</v>
      </c>
      <c r="G2">
        <v>5808</v>
      </c>
      <c r="H2">
        <v>5.0449E-13</v>
      </c>
      <c r="I2">
        <v>1.9057999999999999</v>
      </c>
      <c r="J2">
        <v>2.0671390000000001</v>
      </c>
      <c r="K2">
        <v>102</v>
      </c>
      <c r="L2">
        <v>76</v>
      </c>
      <c r="M2">
        <v>0</v>
      </c>
      <c r="N2">
        <v>102</v>
      </c>
    </row>
    <row r="3" spans="1:14" x14ac:dyDescent="0.25">
      <c r="A3" t="s">
        <v>10</v>
      </c>
      <c r="B3" t="s">
        <v>11</v>
      </c>
      <c r="C3">
        <v>2</v>
      </c>
      <c r="D3">
        <v>1</v>
      </c>
      <c r="E3">
        <v>38.960799999999999</v>
      </c>
      <c r="F3">
        <v>55</v>
      </c>
      <c r="G3">
        <v>5808</v>
      </c>
      <c r="H3">
        <v>5.0449E-13</v>
      </c>
      <c r="I3">
        <v>0.51349999999999996</v>
      </c>
      <c r="J3">
        <v>0.56511800000000001</v>
      </c>
      <c r="K3">
        <v>102</v>
      </c>
      <c r="L3">
        <v>76</v>
      </c>
      <c r="M3">
        <v>0</v>
      </c>
      <c r="N3">
        <v>102</v>
      </c>
    </row>
    <row r="4" spans="1:14" x14ac:dyDescent="0.25">
      <c r="A4" t="s">
        <v>10</v>
      </c>
      <c r="B4" t="s">
        <v>11</v>
      </c>
      <c r="C4">
        <v>3</v>
      </c>
      <c r="D4">
        <v>1</v>
      </c>
      <c r="E4">
        <v>38.960799999999999</v>
      </c>
      <c r="F4">
        <v>55</v>
      </c>
      <c r="G4">
        <v>5808</v>
      </c>
      <c r="H4">
        <v>5.0449E-13</v>
      </c>
      <c r="I4">
        <v>0.42130000000000001</v>
      </c>
      <c r="J4">
        <v>0.47691299999999998</v>
      </c>
      <c r="K4">
        <v>102</v>
      </c>
      <c r="L4">
        <v>76</v>
      </c>
      <c r="M4">
        <v>0</v>
      </c>
      <c r="N4">
        <v>102</v>
      </c>
    </row>
    <row r="5" spans="1:14" x14ac:dyDescent="0.25">
      <c r="A5" t="s">
        <v>10</v>
      </c>
      <c r="B5" t="s">
        <v>11</v>
      </c>
      <c r="C5">
        <v>4</v>
      </c>
      <c r="D5">
        <v>1</v>
      </c>
      <c r="E5">
        <v>38.960799999999999</v>
      </c>
      <c r="F5">
        <v>55</v>
      </c>
      <c r="G5">
        <v>5808</v>
      </c>
      <c r="H5">
        <v>5.0449E-13</v>
      </c>
      <c r="I5">
        <v>0.43259999999999998</v>
      </c>
      <c r="J5">
        <v>0.49314000000000002</v>
      </c>
      <c r="K5">
        <v>102</v>
      </c>
      <c r="L5">
        <v>76</v>
      </c>
      <c r="M5">
        <v>0</v>
      </c>
      <c r="N5">
        <v>102</v>
      </c>
    </row>
    <row r="6" spans="1:14" x14ac:dyDescent="0.25">
      <c r="A6" t="s">
        <v>10</v>
      </c>
      <c r="B6" t="s">
        <v>11</v>
      </c>
      <c r="C6">
        <v>5</v>
      </c>
      <c r="D6">
        <v>1</v>
      </c>
      <c r="E6">
        <v>38.960799999999999</v>
      </c>
      <c r="F6">
        <v>55</v>
      </c>
      <c r="G6">
        <v>5808</v>
      </c>
      <c r="H6">
        <v>5.0449E-13</v>
      </c>
      <c r="I6">
        <v>0.54190000000000005</v>
      </c>
      <c r="J6">
        <v>0.60185900000000003</v>
      </c>
      <c r="K6">
        <v>102</v>
      </c>
      <c r="L6">
        <v>76</v>
      </c>
      <c r="M6">
        <v>0</v>
      </c>
      <c r="N6">
        <v>102</v>
      </c>
    </row>
    <row r="7" spans="1:14" x14ac:dyDescent="0.25">
      <c r="A7" t="s">
        <v>10</v>
      </c>
      <c r="B7" t="s">
        <v>11</v>
      </c>
      <c r="C7">
        <v>6</v>
      </c>
      <c r="D7">
        <v>1</v>
      </c>
      <c r="E7">
        <v>38.960799999999999</v>
      </c>
      <c r="F7">
        <v>55</v>
      </c>
      <c r="G7">
        <v>5808</v>
      </c>
      <c r="H7">
        <v>5.0449E-13</v>
      </c>
      <c r="I7">
        <v>0.44130000000000003</v>
      </c>
      <c r="J7">
        <v>0.492259</v>
      </c>
      <c r="K7">
        <v>102</v>
      </c>
      <c r="L7">
        <v>76</v>
      </c>
      <c r="M7">
        <v>0</v>
      </c>
      <c r="N7">
        <v>102</v>
      </c>
    </row>
    <row r="8" spans="1:14" x14ac:dyDescent="0.25">
      <c r="A8" t="s">
        <v>10</v>
      </c>
      <c r="B8" t="s">
        <v>11</v>
      </c>
      <c r="C8">
        <v>7</v>
      </c>
      <c r="D8">
        <v>1</v>
      </c>
      <c r="E8">
        <v>38.960799999999999</v>
      </c>
      <c r="F8">
        <v>55</v>
      </c>
      <c r="G8">
        <v>5808</v>
      </c>
      <c r="H8">
        <v>5.0449E-13</v>
      </c>
      <c r="I8">
        <v>0.43680000000000002</v>
      </c>
      <c r="J8">
        <v>0.49238500000000002</v>
      </c>
      <c r="K8">
        <v>102</v>
      </c>
      <c r="L8">
        <v>76</v>
      </c>
      <c r="M8">
        <v>0</v>
      </c>
      <c r="N8">
        <v>102</v>
      </c>
    </row>
    <row r="9" spans="1:14" x14ac:dyDescent="0.25">
      <c r="A9" t="s">
        <v>10</v>
      </c>
      <c r="B9" t="s">
        <v>11</v>
      </c>
      <c r="C9">
        <v>8</v>
      </c>
      <c r="D9">
        <v>1</v>
      </c>
      <c r="E9">
        <v>38.960799999999999</v>
      </c>
      <c r="F9">
        <v>55</v>
      </c>
      <c r="G9">
        <v>5808</v>
      </c>
      <c r="H9">
        <v>5.0449E-13</v>
      </c>
      <c r="I9">
        <v>0.41739999999999999</v>
      </c>
      <c r="J9">
        <v>0.46747699999999998</v>
      </c>
      <c r="K9">
        <v>102</v>
      </c>
      <c r="L9">
        <v>76</v>
      </c>
      <c r="M9">
        <v>0</v>
      </c>
      <c r="N9">
        <v>102</v>
      </c>
    </row>
    <row r="10" spans="1:14" x14ac:dyDescent="0.25">
      <c r="A10" t="s">
        <v>10</v>
      </c>
      <c r="B10" t="s">
        <v>11</v>
      </c>
      <c r="C10">
        <v>9</v>
      </c>
      <c r="D10">
        <v>1</v>
      </c>
      <c r="E10">
        <v>38.960799999999999</v>
      </c>
      <c r="F10">
        <v>55</v>
      </c>
      <c r="G10">
        <v>5808</v>
      </c>
      <c r="H10">
        <v>5.0449E-13</v>
      </c>
      <c r="I10">
        <v>0.38890000000000002</v>
      </c>
      <c r="J10">
        <v>0.43784800000000001</v>
      </c>
      <c r="K10">
        <v>102</v>
      </c>
      <c r="L10">
        <v>76</v>
      </c>
      <c r="M10">
        <v>0</v>
      </c>
      <c r="N10">
        <v>102</v>
      </c>
    </row>
    <row r="11" spans="1:14" x14ac:dyDescent="0.25">
      <c r="A11" t="s">
        <v>10</v>
      </c>
      <c r="B11" t="s">
        <v>11</v>
      </c>
      <c r="C11">
        <v>10</v>
      </c>
      <c r="D11">
        <v>1</v>
      </c>
      <c r="E11">
        <v>38.960799999999999</v>
      </c>
      <c r="F11">
        <v>55</v>
      </c>
      <c r="G11">
        <v>5808</v>
      </c>
      <c r="H11">
        <v>5.0449E-13</v>
      </c>
      <c r="I11">
        <v>0.38290000000000002</v>
      </c>
      <c r="J11">
        <v>0.43255399999999999</v>
      </c>
      <c r="K11">
        <v>102</v>
      </c>
      <c r="L11">
        <v>76</v>
      </c>
      <c r="M11">
        <v>0</v>
      </c>
      <c r="N11">
        <v>102</v>
      </c>
    </row>
    <row r="12" spans="1:14" x14ac:dyDescent="0.25">
      <c r="A12" t="s">
        <v>12</v>
      </c>
      <c r="B12" t="s">
        <v>13</v>
      </c>
      <c r="C12">
        <v>1</v>
      </c>
      <c r="D12">
        <v>1</v>
      </c>
      <c r="E12">
        <v>229.29130000000001</v>
      </c>
      <c r="F12">
        <v>38</v>
      </c>
      <c r="G12">
        <v>5976</v>
      </c>
      <c r="H12">
        <v>3.4239000000000002E-13</v>
      </c>
      <c r="I12">
        <v>0.41660000000000003</v>
      </c>
      <c r="J12">
        <v>0.45525100000000002</v>
      </c>
      <c r="K12">
        <v>152</v>
      </c>
      <c r="L12">
        <v>116</v>
      </c>
      <c r="M12">
        <v>0</v>
      </c>
      <c r="N12">
        <v>152</v>
      </c>
    </row>
    <row r="13" spans="1:14" x14ac:dyDescent="0.25">
      <c r="A13" t="s">
        <v>12</v>
      </c>
      <c r="B13" t="s">
        <v>13</v>
      </c>
      <c r="C13">
        <v>2</v>
      </c>
      <c r="D13">
        <v>1</v>
      </c>
      <c r="E13">
        <v>229.29130000000001</v>
      </c>
      <c r="F13">
        <v>38</v>
      </c>
      <c r="G13">
        <v>5976</v>
      </c>
      <c r="H13">
        <v>3.4239000000000002E-13</v>
      </c>
      <c r="I13">
        <v>0.40500000000000003</v>
      </c>
      <c r="J13">
        <v>0.44128099999999998</v>
      </c>
      <c r="K13">
        <v>152</v>
      </c>
      <c r="L13">
        <v>116</v>
      </c>
      <c r="M13">
        <v>0</v>
      </c>
      <c r="N13">
        <v>152</v>
      </c>
    </row>
    <row r="14" spans="1:14" x14ac:dyDescent="0.25">
      <c r="A14" t="s">
        <v>12</v>
      </c>
      <c r="B14" t="s">
        <v>13</v>
      </c>
      <c r="C14">
        <v>3</v>
      </c>
      <c r="D14">
        <v>1</v>
      </c>
      <c r="E14">
        <v>229.29130000000001</v>
      </c>
      <c r="F14">
        <v>38</v>
      </c>
      <c r="G14">
        <v>5976</v>
      </c>
      <c r="H14">
        <v>3.4239000000000002E-13</v>
      </c>
      <c r="I14">
        <v>0.377</v>
      </c>
      <c r="J14">
        <v>0.4113</v>
      </c>
      <c r="K14">
        <v>152</v>
      </c>
      <c r="L14">
        <v>116</v>
      </c>
      <c r="M14">
        <v>0</v>
      </c>
      <c r="N14">
        <v>152</v>
      </c>
    </row>
    <row r="15" spans="1:14" x14ac:dyDescent="0.25">
      <c r="A15" t="s">
        <v>12</v>
      </c>
      <c r="B15" t="s">
        <v>13</v>
      </c>
      <c r="C15">
        <v>4</v>
      </c>
      <c r="D15">
        <v>1</v>
      </c>
      <c r="E15">
        <v>229.29130000000001</v>
      </c>
      <c r="F15">
        <v>38</v>
      </c>
      <c r="G15">
        <v>5976</v>
      </c>
      <c r="H15">
        <v>3.4239000000000002E-13</v>
      </c>
      <c r="I15">
        <v>0.37740000000000001</v>
      </c>
      <c r="J15">
        <v>0.41573700000000002</v>
      </c>
      <c r="K15">
        <v>152</v>
      </c>
      <c r="L15">
        <v>116</v>
      </c>
      <c r="M15">
        <v>0</v>
      </c>
      <c r="N15">
        <v>152</v>
      </c>
    </row>
    <row r="16" spans="1:14" x14ac:dyDescent="0.25">
      <c r="A16" t="s">
        <v>12</v>
      </c>
      <c r="B16" t="s">
        <v>13</v>
      </c>
      <c r="C16">
        <v>5</v>
      </c>
      <c r="D16">
        <v>1</v>
      </c>
      <c r="E16">
        <v>229.29130000000001</v>
      </c>
      <c r="F16">
        <v>38</v>
      </c>
      <c r="G16">
        <v>5976</v>
      </c>
      <c r="H16">
        <v>3.4239000000000002E-13</v>
      </c>
      <c r="I16">
        <v>0.38119999999999998</v>
      </c>
      <c r="J16">
        <v>0.41652099999999997</v>
      </c>
      <c r="K16">
        <v>152</v>
      </c>
      <c r="L16">
        <v>116</v>
      </c>
      <c r="M16">
        <v>0</v>
      </c>
      <c r="N16">
        <v>152</v>
      </c>
    </row>
    <row r="17" spans="1:14" x14ac:dyDescent="0.25">
      <c r="A17" t="s">
        <v>12</v>
      </c>
      <c r="B17" t="s">
        <v>13</v>
      </c>
      <c r="C17">
        <v>6</v>
      </c>
      <c r="D17">
        <v>1</v>
      </c>
      <c r="E17">
        <v>229.29130000000001</v>
      </c>
      <c r="F17">
        <v>38</v>
      </c>
      <c r="G17">
        <v>5976</v>
      </c>
      <c r="H17">
        <v>3.4239000000000002E-13</v>
      </c>
      <c r="I17">
        <v>0.37109999999999999</v>
      </c>
      <c r="J17">
        <v>0.40763700000000003</v>
      </c>
      <c r="K17">
        <v>152</v>
      </c>
      <c r="L17">
        <v>116</v>
      </c>
      <c r="M17">
        <v>0</v>
      </c>
      <c r="N17">
        <v>152</v>
      </c>
    </row>
    <row r="18" spans="1:14" x14ac:dyDescent="0.25">
      <c r="A18" t="s">
        <v>12</v>
      </c>
      <c r="B18" t="s">
        <v>13</v>
      </c>
      <c r="C18">
        <v>7</v>
      </c>
      <c r="D18">
        <v>1</v>
      </c>
      <c r="E18">
        <v>229.29130000000001</v>
      </c>
      <c r="F18">
        <v>38</v>
      </c>
      <c r="G18">
        <v>5976</v>
      </c>
      <c r="H18">
        <v>3.4239000000000002E-13</v>
      </c>
      <c r="I18">
        <v>0.37180000000000002</v>
      </c>
      <c r="J18">
        <v>0.40833799999999998</v>
      </c>
      <c r="K18">
        <v>152</v>
      </c>
      <c r="L18">
        <v>116</v>
      </c>
      <c r="M18">
        <v>0</v>
      </c>
      <c r="N18">
        <v>152</v>
      </c>
    </row>
    <row r="19" spans="1:14" x14ac:dyDescent="0.25">
      <c r="A19" t="s">
        <v>12</v>
      </c>
      <c r="B19" t="s">
        <v>13</v>
      </c>
      <c r="C19">
        <v>8</v>
      </c>
      <c r="D19">
        <v>1</v>
      </c>
      <c r="E19">
        <v>229.29130000000001</v>
      </c>
      <c r="F19">
        <v>38</v>
      </c>
      <c r="G19">
        <v>5976</v>
      </c>
      <c r="H19">
        <v>3.4239000000000002E-13</v>
      </c>
      <c r="I19">
        <v>0.39</v>
      </c>
      <c r="J19">
        <v>0.43240600000000001</v>
      </c>
      <c r="K19">
        <v>152</v>
      </c>
      <c r="L19">
        <v>116</v>
      </c>
      <c r="M19">
        <v>0</v>
      </c>
      <c r="N19">
        <v>152</v>
      </c>
    </row>
    <row r="20" spans="1:14" x14ac:dyDescent="0.25">
      <c r="A20" t="s">
        <v>12</v>
      </c>
      <c r="B20" t="s">
        <v>13</v>
      </c>
      <c r="C20">
        <v>9</v>
      </c>
      <c r="D20">
        <v>1</v>
      </c>
      <c r="E20">
        <v>229.29130000000001</v>
      </c>
      <c r="F20">
        <v>38</v>
      </c>
      <c r="G20">
        <v>5976</v>
      </c>
      <c r="H20">
        <v>3.4239000000000002E-13</v>
      </c>
      <c r="I20">
        <v>0.42099999999999999</v>
      </c>
      <c r="J20">
        <v>0.45933400000000002</v>
      </c>
      <c r="K20">
        <v>152</v>
      </c>
      <c r="L20">
        <v>116</v>
      </c>
      <c r="M20">
        <v>0</v>
      </c>
      <c r="N20">
        <v>152</v>
      </c>
    </row>
    <row r="21" spans="1:14" x14ac:dyDescent="0.25">
      <c r="A21" t="s">
        <v>12</v>
      </c>
      <c r="B21" t="s">
        <v>13</v>
      </c>
      <c r="C21">
        <v>10</v>
      </c>
      <c r="D21">
        <v>1</v>
      </c>
      <c r="E21">
        <v>229.29130000000001</v>
      </c>
      <c r="F21">
        <v>38</v>
      </c>
      <c r="G21">
        <v>5976</v>
      </c>
      <c r="H21">
        <v>3.4239000000000002E-13</v>
      </c>
      <c r="I21">
        <v>0.39350000000000002</v>
      </c>
      <c r="J21">
        <v>0.44690800000000003</v>
      </c>
      <c r="K21">
        <v>152</v>
      </c>
      <c r="L21">
        <v>116</v>
      </c>
      <c r="M21">
        <v>0</v>
      </c>
      <c r="N21">
        <v>152</v>
      </c>
    </row>
    <row r="22" spans="1:14" x14ac:dyDescent="0.25">
      <c r="A22" t="s">
        <v>14</v>
      </c>
      <c r="B22" t="s">
        <v>15</v>
      </c>
      <c r="C22">
        <v>1</v>
      </c>
      <c r="D22">
        <v>1</v>
      </c>
      <c r="E22">
        <v>1.1469</v>
      </c>
      <c r="F22">
        <v>158</v>
      </c>
      <c r="G22">
        <v>8541</v>
      </c>
      <c r="H22">
        <v>2.8612000000000002E-7</v>
      </c>
      <c r="I22">
        <v>0.53680000000000005</v>
      </c>
      <c r="J22">
        <v>0.58520899999999998</v>
      </c>
      <c r="K22">
        <v>52</v>
      </c>
      <c r="L22">
        <v>36</v>
      </c>
      <c r="M22">
        <v>0</v>
      </c>
      <c r="N22">
        <v>52</v>
      </c>
    </row>
    <row r="23" spans="1:14" x14ac:dyDescent="0.25">
      <c r="A23" t="s">
        <v>14</v>
      </c>
      <c r="B23" t="s">
        <v>15</v>
      </c>
      <c r="C23">
        <v>2</v>
      </c>
      <c r="D23">
        <v>1</v>
      </c>
      <c r="E23">
        <v>1.1469</v>
      </c>
      <c r="F23">
        <v>158</v>
      </c>
      <c r="G23">
        <v>8541</v>
      </c>
      <c r="H23">
        <v>2.8612000000000002E-7</v>
      </c>
      <c r="I23">
        <v>0.48080000000000001</v>
      </c>
      <c r="J23">
        <v>0.52788299999999999</v>
      </c>
      <c r="K23">
        <v>52</v>
      </c>
      <c r="L23">
        <v>36</v>
      </c>
      <c r="M23">
        <v>0</v>
      </c>
      <c r="N23">
        <v>52</v>
      </c>
    </row>
    <row r="24" spans="1:14" x14ac:dyDescent="0.25">
      <c r="A24" t="s">
        <v>14</v>
      </c>
      <c r="B24" t="s">
        <v>15</v>
      </c>
      <c r="C24">
        <v>3</v>
      </c>
      <c r="D24">
        <v>1</v>
      </c>
      <c r="E24">
        <v>1.1469</v>
      </c>
      <c r="F24">
        <v>158</v>
      </c>
      <c r="G24">
        <v>8541</v>
      </c>
      <c r="H24">
        <v>2.8612000000000002E-7</v>
      </c>
      <c r="I24">
        <v>0.4032</v>
      </c>
      <c r="J24">
        <v>0.43815100000000001</v>
      </c>
      <c r="K24">
        <v>52</v>
      </c>
      <c r="L24">
        <v>36</v>
      </c>
      <c r="M24">
        <v>0</v>
      </c>
      <c r="N24">
        <v>52</v>
      </c>
    </row>
    <row r="25" spans="1:14" x14ac:dyDescent="0.25">
      <c r="A25" t="s">
        <v>14</v>
      </c>
      <c r="B25" t="s">
        <v>15</v>
      </c>
      <c r="C25">
        <v>4</v>
      </c>
      <c r="D25">
        <v>1</v>
      </c>
      <c r="E25">
        <v>1.1469</v>
      </c>
      <c r="F25">
        <v>158</v>
      </c>
      <c r="G25">
        <v>8541</v>
      </c>
      <c r="H25">
        <v>2.8612000000000002E-7</v>
      </c>
      <c r="I25">
        <v>0.39190000000000003</v>
      </c>
      <c r="J25">
        <v>0.42798700000000001</v>
      </c>
      <c r="K25">
        <v>52</v>
      </c>
      <c r="L25">
        <v>36</v>
      </c>
      <c r="M25">
        <v>0</v>
      </c>
      <c r="N25">
        <v>52</v>
      </c>
    </row>
    <row r="26" spans="1:14" x14ac:dyDescent="0.25">
      <c r="A26" t="s">
        <v>14</v>
      </c>
      <c r="B26" t="s">
        <v>15</v>
      </c>
      <c r="C26">
        <v>5</v>
      </c>
      <c r="D26">
        <v>1</v>
      </c>
      <c r="E26">
        <v>1.1469</v>
      </c>
      <c r="F26">
        <v>158</v>
      </c>
      <c r="G26">
        <v>8541</v>
      </c>
      <c r="H26">
        <v>2.8612000000000002E-7</v>
      </c>
      <c r="I26">
        <v>0.37169999999999997</v>
      </c>
      <c r="J26">
        <v>0.40731000000000001</v>
      </c>
      <c r="K26">
        <v>52</v>
      </c>
      <c r="L26">
        <v>36</v>
      </c>
      <c r="M26">
        <v>0</v>
      </c>
      <c r="N26">
        <v>52</v>
      </c>
    </row>
    <row r="27" spans="1:14" x14ac:dyDescent="0.25">
      <c r="A27" t="s">
        <v>14</v>
      </c>
      <c r="B27" t="s">
        <v>15</v>
      </c>
      <c r="C27">
        <v>6</v>
      </c>
      <c r="D27">
        <v>1</v>
      </c>
      <c r="E27">
        <v>1.1469</v>
      </c>
      <c r="F27">
        <v>158</v>
      </c>
      <c r="G27">
        <v>8541</v>
      </c>
      <c r="H27">
        <v>2.8612000000000002E-7</v>
      </c>
      <c r="I27">
        <v>0.37540000000000001</v>
      </c>
      <c r="J27">
        <v>0.41950100000000001</v>
      </c>
      <c r="K27">
        <v>52</v>
      </c>
      <c r="L27">
        <v>36</v>
      </c>
      <c r="M27">
        <v>0</v>
      </c>
      <c r="N27">
        <v>52</v>
      </c>
    </row>
    <row r="28" spans="1:14" x14ac:dyDescent="0.25">
      <c r="A28" t="s">
        <v>14</v>
      </c>
      <c r="B28" t="s">
        <v>15</v>
      </c>
      <c r="C28">
        <v>7</v>
      </c>
      <c r="D28">
        <v>1</v>
      </c>
      <c r="E28">
        <v>1.1469</v>
      </c>
      <c r="F28">
        <v>158</v>
      </c>
      <c r="G28">
        <v>8541</v>
      </c>
      <c r="H28">
        <v>2.8612000000000002E-7</v>
      </c>
      <c r="I28">
        <v>0.40910000000000002</v>
      </c>
      <c r="J28">
        <v>0.45904800000000001</v>
      </c>
      <c r="K28">
        <v>52</v>
      </c>
      <c r="L28">
        <v>36</v>
      </c>
      <c r="M28">
        <v>0</v>
      </c>
      <c r="N28">
        <v>52</v>
      </c>
    </row>
    <row r="29" spans="1:14" x14ac:dyDescent="0.25">
      <c r="A29" t="s">
        <v>14</v>
      </c>
      <c r="B29" t="s">
        <v>15</v>
      </c>
      <c r="C29">
        <v>8</v>
      </c>
      <c r="D29">
        <v>1</v>
      </c>
      <c r="E29">
        <v>1.1469</v>
      </c>
      <c r="F29">
        <v>158</v>
      </c>
      <c r="G29">
        <v>8541</v>
      </c>
      <c r="H29">
        <v>2.8612000000000002E-7</v>
      </c>
      <c r="I29">
        <v>0.39789999999999998</v>
      </c>
      <c r="J29">
        <v>0.434504</v>
      </c>
      <c r="K29">
        <v>52</v>
      </c>
      <c r="L29">
        <v>36</v>
      </c>
      <c r="M29">
        <v>0</v>
      </c>
      <c r="N29">
        <v>52</v>
      </c>
    </row>
    <row r="30" spans="1:14" x14ac:dyDescent="0.25">
      <c r="A30" t="s">
        <v>14</v>
      </c>
      <c r="B30" t="s">
        <v>15</v>
      </c>
      <c r="C30">
        <v>9</v>
      </c>
      <c r="D30">
        <v>1</v>
      </c>
      <c r="E30">
        <v>1.1469</v>
      </c>
      <c r="F30">
        <v>158</v>
      </c>
      <c r="G30">
        <v>8541</v>
      </c>
      <c r="H30">
        <v>2.8612000000000002E-7</v>
      </c>
      <c r="I30">
        <v>0.43609999999999999</v>
      </c>
      <c r="J30">
        <v>0.47518899999999997</v>
      </c>
      <c r="K30">
        <v>52</v>
      </c>
      <c r="L30">
        <v>36</v>
      </c>
      <c r="M30">
        <v>0</v>
      </c>
      <c r="N30">
        <v>52</v>
      </c>
    </row>
    <row r="31" spans="1:14" x14ac:dyDescent="0.25">
      <c r="A31" t="s">
        <v>14</v>
      </c>
      <c r="B31" t="s">
        <v>15</v>
      </c>
      <c r="C31">
        <v>10</v>
      </c>
      <c r="D31">
        <v>1</v>
      </c>
      <c r="E31">
        <v>1.1469</v>
      </c>
      <c r="F31">
        <v>158</v>
      </c>
      <c r="G31">
        <v>8541</v>
      </c>
      <c r="H31">
        <v>2.8612000000000002E-7</v>
      </c>
      <c r="I31">
        <v>0.4264</v>
      </c>
      <c r="J31">
        <v>0.46355000000000002</v>
      </c>
      <c r="K31">
        <v>52</v>
      </c>
      <c r="L31">
        <v>36</v>
      </c>
      <c r="M31">
        <v>0</v>
      </c>
      <c r="N31">
        <v>52</v>
      </c>
    </row>
    <row r="32" spans="1:14" x14ac:dyDescent="0.25">
      <c r="A32" t="s">
        <v>16</v>
      </c>
      <c r="B32" t="s">
        <v>11</v>
      </c>
      <c r="C32">
        <v>1</v>
      </c>
      <c r="D32">
        <v>1</v>
      </c>
      <c r="E32">
        <v>469.55070000000001</v>
      </c>
      <c r="F32">
        <v>27</v>
      </c>
      <c r="G32">
        <v>28</v>
      </c>
      <c r="H32">
        <v>3.9623E-7</v>
      </c>
      <c r="I32">
        <v>0.58720000000000006</v>
      </c>
      <c r="J32">
        <v>0.85341400000000001</v>
      </c>
      <c r="K32">
        <v>197</v>
      </c>
      <c r="L32">
        <v>132</v>
      </c>
      <c r="M32">
        <v>28</v>
      </c>
      <c r="N32">
        <v>197</v>
      </c>
    </row>
    <row r="33" spans="1:14" x14ac:dyDescent="0.25">
      <c r="A33" t="s">
        <v>16</v>
      </c>
      <c r="B33" t="s">
        <v>11</v>
      </c>
      <c r="C33">
        <v>2</v>
      </c>
      <c r="D33">
        <v>1</v>
      </c>
      <c r="E33">
        <v>469.55070000000001</v>
      </c>
      <c r="F33">
        <v>27</v>
      </c>
      <c r="G33">
        <v>28</v>
      </c>
      <c r="H33">
        <v>3.9623E-7</v>
      </c>
      <c r="I33">
        <v>0.33179999999999998</v>
      </c>
      <c r="J33">
        <v>0.53960300000000005</v>
      </c>
      <c r="K33">
        <v>197</v>
      </c>
      <c r="L33">
        <v>132</v>
      </c>
      <c r="M33">
        <v>28</v>
      </c>
      <c r="N33">
        <v>197</v>
      </c>
    </row>
    <row r="34" spans="1:14" x14ac:dyDescent="0.25">
      <c r="A34" t="s">
        <v>16</v>
      </c>
      <c r="B34" t="s">
        <v>11</v>
      </c>
      <c r="C34">
        <v>3</v>
      </c>
      <c r="D34">
        <v>1</v>
      </c>
      <c r="E34">
        <v>469.55070000000001</v>
      </c>
      <c r="F34">
        <v>27</v>
      </c>
      <c r="G34">
        <v>28</v>
      </c>
      <c r="H34">
        <v>3.9623E-7</v>
      </c>
      <c r="I34">
        <v>0.31790000000000002</v>
      </c>
      <c r="J34">
        <v>0.55076099999999995</v>
      </c>
      <c r="K34">
        <v>197</v>
      </c>
      <c r="L34">
        <v>132</v>
      </c>
      <c r="M34">
        <v>28</v>
      </c>
      <c r="N34">
        <v>197</v>
      </c>
    </row>
    <row r="35" spans="1:14" x14ac:dyDescent="0.25">
      <c r="A35" t="s">
        <v>16</v>
      </c>
      <c r="B35" t="s">
        <v>11</v>
      </c>
      <c r="C35">
        <v>4</v>
      </c>
      <c r="D35">
        <v>1</v>
      </c>
      <c r="E35">
        <v>469.55070000000001</v>
      </c>
      <c r="F35">
        <v>27</v>
      </c>
      <c r="G35">
        <v>28</v>
      </c>
      <c r="H35">
        <v>3.9623E-7</v>
      </c>
      <c r="I35">
        <v>0.34089999999999998</v>
      </c>
      <c r="J35">
        <v>0.56347700000000001</v>
      </c>
      <c r="K35">
        <v>197</v>
      </c>
      <c r="L35">
        <v>132</v>
      </c>
      <c r="M35">
        <v>28</v>
      </c>
      <c r="N35">
        <v>197</v>
      </c>
    </row>
    <row r="36" spans="1:14" x14ac:dyDescent="0.25">
      <c r="A36" t="s">
        <v>16</v>
      </c>
      <c r="B36" t="s">
        <v>11</v>
      </c>
      <c r="C36">
        <v>5</v>
      </c>
      <c r="D36">
        <v>1</v>
      </c>
      <c r="E36">
        <v>469.55070000000001</v>
      </c>
      <c r="F36">
        <v>27</v>
      </c>
      <c r="G36">
        <v>28</v>
      </c>
      <c r="H36">
        <v>3.9623E-7</v>
      </c>
      <c r="I36">
        <v>0.36990000000000001</v>
      </c>
      <c r="J36">
        <v>0.60913799999999996</v>
      </c>
      <c r="K36">
        <v>197</v>
      </c>
      <c r="L36">
        <v>132</v>
      </c>
      <c r="M36">
        <v>28</v>
      </c>
      <c r="N36">
        <v>197</v>
      </c>
    </row>
    <row r="37" spans="1:14" x14ac:dyDescent="0.25">
      <c r="A37" t="s">
        <v>16</v>
      </c>
      <c r="B37" t="s">
        <v>11</v>
      </c>
      <c r="C37">
        <v>6</v>
      </c>
      <c r="D37">
        <v>1</v>
      </c>
      <c r="E37">
        <v>469.55070000000001</v>
      </c>
      <c r="F37">
        <v>27</v>
      </c>
      <c r="G37">
        <v>28</v>
      </c>
      <c r="H37">
        <v>3.9623E-7</v>
      </c>
      <c r="I37">
        <v>0.35970000000000002</v>
      </c>
      <c r="J37">
        <v>0.59883399999999998</v>
      </c>
      <c r="K37">
        <v>197</v>
      </c>
      <c r="L37">
        <v>132</v>
      </c>
      <c r="M37">
        <v>28</v>
      </c>
      <c r="N37">
        <v>197</v>
      </c>
    </row>
    <row r="38" spans="1:14" x14ac:dyDescent="0.25">
      <c r="A38" t="s">
        <v>16</v>
      </c>
      <c r="B38" t="s">
        <v>11</v>
      </c>
      <c r="C38">
        <v>7</v>
      </c>
      <c r="D38">
        <v>1</v>
      </c>
      <c r="E38">
        <v>469.55070000000001</v>
      </c>
      <c r="F38">
        <v>27</v>
      </c>
      <c r="G38">
        <v>28</v>
      </c>
      <c r="H38">
        <v>3.9623E-7</v>
      </c>
      <c r="I38">
        <v>0.35699999999999998</v>
      </c>
      <c r="J38">
        <v>0.56386499999999995</v>
      </c>
      <c r="K38">
        <v>197</v>
      </c>
      <c r="L38">
        <v>132</v>
      </c>
      <c r="M38">
        <v>28</v>
      </c>
      <c r="N38">
        <v>197</v>
      </c>
    </row>
    <row r="39" spans="1:14" x14ac:dyDescent="0.25">
      <c r="A39" t="s">
        <v>16</v>
      </c>
      <c r="B39" t="s">
        <v>11</v>
      </c>
      <c r="C39">
        <v>8</v>
      </c>
      <c r="D39">
        <v>1</v>
      </c>
      <c r="E39">
        <v>469.55070000000001</v>
      </c>
      <c r="F39">
        <v>27</v>
      </c>
      <c r="G39">
        <v>28</v>
      </c>
      <c r="H39">
        <v>3.9623E-7</v>
      </c>
      <c r="I39">
        <v>0.34</v>
      </c>
      <c r="J39">
        <v>0.53590499999999996</v>
      </c>
      <c r="K39">
        <v>197</v>
      </c>
      <c r="L39">
        <v>132</v>
      </c>
      <c r="M39">
        <v>28</v>
      </c>
      <c r="N39">
        <v>197</v>
      </c>
    </row>
    <row r="40" spans="1:14" x14ac:dyDescent="0.25">
      <c r="A40" t="s">
        <v>16</v>
      </c>
      <c r="B40" t="s">
        <v>11</v>
      </c>
      <c r="C40">
        <v>9</v>
      </c>
      <c r="D40">
        <v>1</v>
      </c>
      <c r="E40">
        <v>469.55070000000001</v>
      </c>
      <c r="F40">
        <v>27</v>
      </c>
      <c r="G40">
        <v>28</v>
      </c>
      <c r="H40">
        <v>3.9623E-7</v>
      </c>
      <c r="I40">
        <v>0.31740000000000002</v>
      </c>
      <c r="J40">
        <v>0.54311699999999996</v>
      </c>
      <c r="K40">
        <v>197</v>
      </c>
      <c r="L40">
        <v>132</v>
      </c>
      <c r="M40">
        <v>28</v>
      </c>
      <c r="N40">
        <v>197</v>
      </c>
    </row>
    <row r="41" spans="1:14" x14ac:dyDescent="0.25">
      <c r="A41" t="s">
        <v>16</v>
      </c>
      <c r="B41" t="s">
        <v>11</v>
      </c>
      <c r="C41">
        <v>10</v>
      </c>
      <c r="D41">
        <v>1</v>
      </c>
      <c r="E41">
        <v>469.55070000000001</v>
      </c>
      <c r="F41">
        <v>27</v>
      </c>
      <c r="G41">
        <v>28</v>
      </c>
      <c r="H41">
        <v>3.9623E-7</v>
      </c>
      <c r="I41">
        <v>0.35809999999999997</v>
      </c>
      <c r="J41">
        <v>0.53852199999999995</v>
      </c>
      <c r="K41">
        <v>197</v>
      </c>
      <c r="L41">
        <v>132</v>
      </c>
      <c r="M41">
        <v>28</v>
      </c>
      <c r="N41">
        <v>197</v>
      </c>
    </row>
    <row r="42" spans="1:14" x14ac:dyDescent="0.25">
      <c r="A42" t="s">
        <v>17</v>
      </c>
      <c r="B42" t="s">
        <v>18</v>
      </c>
      <c r="C42">
        <v>1</v>
      </c>
      <c r="D42">
        <v>1</v>
      </c>
      <c r="E42">
        <v>12.055899999999999</v>
      </c>
      <c r="F42">
        <v>19</v>
      </c>
      <c r="G42">
        <v>20</v>
      </c>
      <c r="H42">
        <v>1.5959E-16</v>
      </c>
      <c r="I42">
        <v>0.1103</v>
      </c>
      <c r="J42">
        <v>0.12404800000000001</v>
      </c>
      <c r="K42">
        <v>92</v>
      </c>
      <c r="L42">
        <v>58</v>
      </c>
      <c r="M42">
        <v>0</v>
      </c>
      <c r="N42">
        <v>92</v>
      </c>
    </row>
    <row r="43" spans="1:14" x14ac:dyDescent="0.25">
      <c r="A43" t="s">
        <v>17</v>
      </c>
      <c r="B43" t="s">
        <v>18</v>
      </c>
      <c r="C43">
        <v>2</v>
      </c>
      <c r="D43">
        <v>1</v>
      </c>
      <c r="E43">
        <v>12.055899999999999</v>
      </c>
      <c r="F43">
        <v>19</v>
      </c>
      <c r="G43">
        <v>20</v>
      </c>
      <c r="H43">
        <v>1.5959E-16</v>
      </c>
      <c r="I43">
        <v>4.2299999999999997E-2</v>
      </c>
      <c r="J43">
        <v>5.0555999999999997E-2</v>
      </c>
      <c r="K43">
        <v>92</v>
      </c>
      <c r="L43">
        <v>58</v>
      </c>
      <c r="M43">
        <v>0</v>
      </c>
      <c r="N43">
        <v>92</v>
      </c>
    </row>
    <row r="44" spans="1:14" x14ac:dyDescent="0.25">
      <c r="A44" t="s">
        <v>17</v>
      </c>
      <c r="B44" t="s">
        <v>18</v>
      </c>
      <c r="C44">
        <v>3</v>
      </c>
      <c r="D44">
        <v>1</v>
      </c>
      <c r="E44">
        <v>12.055899999999999</v>
      </c>
      <c r="F44">
        <v>19</v>
      </c>
      <c r="G44">
        <v>20</v>
      </c>
      <c r="H44">
        <v>1.5959E-16</v>
      </c>
      <c r="I44">
        <v>4.2999999999999997E-2</v>
      </c>
      <c r="J44">
        <v>5.1019000000000002E-2</v>
      </c>
      <c r="K44">
        <v>92</v>
      </c>
      <c r="L44">
        <v>58</v>
      </c>
      <c r="M44">
        <v>0</v>
      </c>
      <c r="N44">
        <v>92</v>
      </c>
    </row>
    <row r="45" spans="1:14" x14ac:dyDescent="0.25">
      <c r="A45" t="s">
        <v>17</v>
      </c>
      <c r="B45" t="s">
        <v>18</v>
      </c>
      <c r="C45">
        <v>4</v>
      </c>
      <c r="D45">
        <v>1</v>
      </c>
      <c r="E45">
        <v>12.055899999999999</v>
      </c>
      <c r="F45">
        <v>19</v>
      </c>
      <c r="G45">
        <v>20</v>
      </c>
      <c r="H45">
        <v>1.5959E-16</v>
      </c>
      <c r="I45">
        <v>4.3299999999999998E-2</v>
      </c>
      <c r="J45">
        <v>5.1695999999999999E-2</v>
      </c>
      <c r="K45">
        <v>92</v>
      </c>
      <c r="L45">
        <v>58</v>
      </c>
      <c r="M45">
        <v>0</v>
      </c>
      <c r="N45">
        <v>92</v>
      </c>
    </row>
    <row r="46" spans="1:14" x14ac:dyDescent="0.25">
      <c r="A46" t="s">
        <v>17</v>
      </c>
      <c r="B46" t="s">
        <v>18</v>
      </c>
      <c r="C46">
        <v>5</v>
      </c>
      <c r="D46">
        <v>1</v>
      </c>
      <c r="E46">
        <v>12.055899999999999</v>
      </c>
      <c r="F46">
        <v>19</v>
      </c>
      <c r="G46">
        <v>20</v>
      </c>
      <c r="H46">
        <v>1.5959E-16</v>
      </c>
      <c r="I46">
        <v>4.1799999999999997E-2</v>
      </c>
      <c r="J46">
        <v>5.0275E-2</v>
      </c>
      <c r="K46">
        <v>92</v>
      </c>
      <c r="L46">
        <v>58</v>
      </c>
      <c r="M46">
        <v>0</v>
      </c>
      <c r="N46">
        <v>92</v>
      </c>
    </row>
    <row r="47" spans="1:14" x14ac:dyDescent="0.25">
      <c r="A47" t="s">
        <v>17</v>
      </c>
      <c r="B47" t="s">
        <v>18</v>
      </c>
      <c r="C47">
        <v>6</v>
      </c>
      <c r="D47">
        <v>1</v>
      </c>
      <c r="E47">
        <v>12.055899999999999</v>
      </c>
      <c r="F47">
        <v>19</v>
      </c>
      <c r="G47">
        <v>20</v>
      </c>
      <c r="H47">
        <v>1.5959E-16</v>
      </c>
      <c r="I47">
        <v>4.2000000000000003E-2</v>
      </c>
      <c r="J47">
        <v>5.0198E-2</v>
      </c>
      <c r="K47">
        <v>92</v>
      </c>
      <c r="L47">
        <v>58</v>
      </c>
      <c r="M47">
        <v>0</v>
      </c>
      <c r="N47">
        <v>92</v>
      </c>
    </row>
    <row r="48" spans="1:14" x14ac:dyDescent="0.25">
      <c r="A48" t="s">
        <v>17</v>
      </c>
      <c r="B48" t="s">
        <v>18</v>
      </c>
      <c r="C48">
        <v>7</v>
      </c>
      <c r="D48">
        <v>1</v>
      </c>
      <c r="E48">
        <v>12.055899999999999</v>
      </c>
      <c r="F48">
        <v>19</v>
      </c>
      <c r="G48">
        <v>20</v>
      </c>
      <c r="H48">
        <v>1.5959E-16</v>
      </c>
      <c r="I48">
        <v>3.9699999999999999E-2</v>
      </c>
      <c r="J48">
        <v>4.7461000000000003E-2</v>
      </c>
      <c r="K48">
        <v>92</v>
      </c>
      <c r="L48">
        <v>58</v>
      </c>
      <c r="M48">
        <v>0</v>
      </c>
      <c r="N48">
        <v>92</v>
      </c>
    </row>
    <row r="49" spans="1:14" x14ac:dyDescent="0.25">
      <c r="A49" t="s">
        <v>17</v>
      </c>
      <c r="B49" t="s">
        <v>18</v>
      </c>
      <c r="C49">
        <v>8</v>
      </c>
      <c r="D49">
        <v>1</v>
      </c>
      <c r="E49">
        <v>12.055899999999999</v>
      </c>
      <c r="F49">
        <v>19</v>
      </c>
      <c r="G49">
        <v>20</v>
      </c>
      <c r="H49">
        <v>1.5959E-16</v>
      </c>
      <c r="I49">
        <v>4.1599999999999998E-2</v>
      </c>
      <c r="J49">
        <v>4.9979999999999997E-2</v>
      </c>
      <c r="K49">
        <v>92</v>
      </c>
      <c r="L49">
        <v>58</v>
      </c>
      <c r="M49">
        <v>0</v>
      </c>
      <c r="N49">
        <v>92</v>
      </c>
    </row>
    <row r="50" spans="1:14" x14ac:dyDescent="0.25">
      <c r="A50" t="s">
        <v>17</v>
      </c>
      <c r="B50" t="s">
        <v>18</v>
      </c>
      <c r="C50">
        <v>9</v>
      </c>
      <c r="D50">
        <v>1</v>
      </c>
      <c r="E50">
        <v>12.055899999999999</v>
      </c>
      <c r="F50">
        <v>19</v>
      </c>
      <c r="G50">
        <v>20</v>
      </c>
      <c r="H50">
        <v>1.5959E-16</v>
      </c>
      <c r="I50">
        <v>0.04</v>
      </c>
      <c r="J50">
        <v>4.8027E-2</v>
      </c>
      <c r="K50">
        <v>92</v>
      </c>
      <c r="L50">
        <v>58</v>
      </c>
      <c r="M50">
        <v>0</v>
      </c>
      <c r="N50">
        <v>92</v>
      </c>
    </row>
    <row r="51" spans="1:14" x14ac:dyDescent="0.25">
      <c r="A51" t="s">
        <v>17</v>
      </c>
      <c r="B51" t="s">
        <v>18</v>
      </c>
      <c r="C51">
        <v>10</v>
      </c>
      <c r="D51">
        <v>1</v>
      </c>
      <c r="E51">
        <v>12.055899999999999</v>
      </c>
      <c r="F51">
        <v>19</v>
      </c>
      <c r="G51">
        <v>20</v>
      </c>
      <c r="H51">
        <v>1.5959E-16</v>
      </c>
      <c r="I51">
        <v>4.2000000000000003E-2</v>
      </c>
      <c r="J51">
        <v>5.0125999999999997E-2</v>
      </c>
      <c r="K51">
        <v>92</v>
      </c>
      <c r="L51">
        <v>58</v>
      </c>
      <c r="M51">
        <v>0</v>
      </c>
      <c r="N51">
        <v>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zoomScaleNormal="100" workbookViewId="0">
      <pane xSplit="1" topLeftCell="C1" activePane="topRight" state="frozen"/>
      <selection pane="topRight" activeCell="S1" sqref="S1:S6"/>
    </sheetView>
  </sheetViews>
  <sheetFormatPr defaultRowHeight="15" x14ac:dyDescent="0.25"/>
  <cols>
    <col min="1" max="1" width="19.5703125" bestFit="1" customWidth="1"/>
    <col min="2" max="2" width="27.42578125" bestFit="1" customWidth="1"/>
    <col min="3" max="3" width="8.7109375" bestFit="1" customWidth="1"/>
    <col min="4" max="4" width="8" bestFit="1" customWidth="1"/>
    <col min="5" max="5" width="9.28515625" bestFit="1" customWidth="1"/>
    <col min="6" max="6" width="9.5703125" bestFit="1" customWidth="1"/>
    <col min="7" max="7" width="10.140625" bestFit="1" customWidth="1"/>
    <col min="8" max="8" width="14.42578125" bestFit="1" customWidth="1"/>
    <col min="9" max="9" width="8.28515625" bestFit="1" customWidth="1"/>
    <col min="10" max="10" width="13.140625" bestFit="1" customWidth="1"/>
    <col min="16" max="16" width="16.7109375" bestFit="1" customWidth="1"/>
    <col min="17" max="17" width="16.5703125" bestFit="1" customWidth="1"/>
    <col min="18" max="18" width="16.85546875" bestFit="1" customWidth="1"/>
    <col min="19" max="19" width="14.28515625" bestFit="1" customWidth="1"/>
  </cols>
  <sheetData>
    <row r="1" spans="1:18" x14ac:dyDescent="0.25">
      <c r="A1" t="str">
        <f>optimtraj_demos!A1</f>
        <v>DEMO_LABEL</v>
      </c>
      <c r="B1" t="str">
        <f>optimtraj_demos!B1</f>
        <v>DEMO_NAME</v>
      </c>
      <c r="C1" t="str">
        <f>optimtraj_demos!C1</f>
        <v>NUMBER</v>
      </c>
      <c r="D1" t="str">
        <f>optimtraj_demos!D1</f>
        <v>exitFlag</v>
      </c>
      <c r="E1" t="str">
        <f>optimtraj_demos!E1</f>
        <v>objVal</v>
      </c>
      <c r="F1" t="str">
        <f>optimtraj_demos!F1</f>
        <v>iterations</v>
      </c>
      <c r="G1" t="str">
        <f>optimtraj_demos!G1</f>
        <v>funcCount</v>
      </c>
      <c r="H1" t="str">
        <f>optimtraj_demos!H1</f>
        <v>constrviolation</v>
      </c>
      <c r="I1" t="str">
        <f>optimtraj_demos!I1</f>
        <v>nlpTime</v>
      </c>
      <c r="J1" t="str">
        <f>optimtraj_demos!J1</f>
        <v>Elapsed_time</v>
      </c>
      <c r="K1" t="str">
        <f>optimtraj_demos!K1</f>
        <v>nvars</v>
      </c>
      <c r="L1" t="str">
        <f>optimtraj_demos!L1</f>
        <v>nceq</v>
      </c>
      <c r="M1" t="str">
        <f>optimtraj_demos!M1</f>
        <v>ncineq</v>
      </c>
      <c r="N1" t="str">
        <f>optimtraj_demos!N1</f>
        <v>nzbnd</v>
      </c>
      <c r="P1" t="s">
        <v>19</v>
      </c>
      <c r="Q1" t="s">
        <v>20</v>
      </c>
      <c r="R1" t="s">
        <v>21</v>
      </c>
    </row>
    <row r="2" spans="1:18" x14ac:dyDescent="0.25">
      <c r="A2" t="str" cm="1">
        <f t="array" ref="A2">INDEX(optimtraj_demos!A:A, (ROW()-2)*$C2+2)</f>
        <v>acrobot</v>
      </c>
      <c r="B2" t="str" cm="1">
        <f t="array" ref="B2">INDEX(optimtraj_demos!B:B, (ROW()-2)*$C2+2)</f>
        <v>Amplify_MAIN</v>
      </c>
      <c r="C2">
        <f>COUNTIF(optimtraj_demos!A:A, optimtraj_demos!A2)</f>
        <v>10</v>
      </c>
      <c r="D2">
        <f>IFERROR(AVERAGE(INDEX(optimtraj_demos!D:D, (ROW()-2)*$C2+2):INDEX(optimtraj_demos!D:D, (ROW()-2)*$C2 + $C2+1)), "")</f>
        <v>1</v>
      </c>
      <c r="E2">
        <f>IFERROR(AVERAGE(INDEX(optimtraj_demos!E:E, (ROW()-2)*$C2+2):INDEX(optimtraj_demos!E:E, (ROW()-2)*$C2 + $C2+1)), "")</f>
        <v>38.960799999999999</v>
      </c>
      <c r="F2">
        <f>IFERROR(AVERAGE(INDEX(optimtraj_demos!F:F, (ROW()-2)*$C2+2):INDEX(optimtraj_demos!F:F, (ROW()-2)*$C2 + $C2+1)), "")</f>
        <v>55</v>
      </c>
      <c r="G2">
        <f>IFERROR(AVERAGE(INDEX(optimtraj_demos!G:G, (ROW()-2)*$C2+2):INDEX(optimtraj_demos!G:G, (ROW()-2)*$C2 + $C2+1)), "")</f>
        <v>5808</v>
      </c>
      <c r="H2">
        <f>IFERROR(AVERAGE(INDEX(optimtraj_demos!H:H, (ROW()-2)*$C2+2):INDEX(optimtraj_demos!H:H, (ROW()-2)*$C2 + $C2+1)), "")</f>
        <v>5.0449000000000011E-13</v>
      </c>
      <c r="I2">
        <f>IFERROR(AVERAGE(INDEX(optimtraj_demos!I:I, (ROW()-2)*$C2+2):INDEX(optimtraj_demos!I:I, (ROW()-2)*$C2 + $C2+1)), "")</f>
        <v>0.58823999999999999</v>
      </c>
      <c r="J2">
        <f>IFERROR(AVERAGE(INDEX(optimtraj_demos!J:J, (ROW()-2)*$C2+2):INDEX(optimtraj_demos!J:J, (ROW()-2)*$C2 + $C2+1)), "")</f>
        <v>0.65266919999999984</v>
      </c>
      <c r="K2">
        <f>IFERROR(AVERAGE(INDEX(optimtraj_demos!K:K, (ROW()-2)*$C2+2):INDEX(optimtraj_demos!K:K, (ROW()-2)*$C2 + $C2+1)), "")</f>
        <v>102</v>
      </c>
      <c r="L2">
        <f>IFERROR(AVERAGE(INDEX(optimtraj_demos!L:L, (ROW()-2)*$C2+2):INDEX(optimtraj_demos!L:L, (ROW()-2)*$C2 + $C2+1)), "")</f>
        <v>76</v>
      </c>
      <c r="M2">
        <f>IFERROR(AVERAGE(INDEX(optimtraj_demos!M:M, (ROW()-2)*$C2+2):INDEX(optimtraj_demos!M:M, (ROW()-2)*$C2 + $C2+1)), "")</f>
        <v>0</v>
      </c>
      <c r="N2">
        <f>IFERROR(AVERAGE(INDEX(optimtraj_demos!N:N, (ROW()-2)*$C2+2):INDEX(optimtraj_demos!N:N, (ROW()-2)*$C2 + $C2+1)), "")</f>
        <v>102</v>
      </c>
      <c r="P2">
        <f>IFERROR(J2, "")</f>
        <v>0.65266919999999984</v>
      </c>
      <c r="Q2">
        <f>IFERROR(MIN(INDEX(optimtraj_demos!J:J, (ROW()-2)*$C2+2):INDEX(optimtraj_demos!J:J, (ROW()-2)*$C2 + $C2+1)), "")</f>
        <v>0.43255399999999999</v>
      </c>
      <c r="R2">
        <f>IFERROR(MAX(INDEX(optimtraj_demos!J:J, (ROW()-2)*$C2+2):INDEX(optimtraj_demos!J:J, (ROW()-2)*$C2 + $C2+1)), "")</f>
        <v>2.0671390000000001</v>
      </c>
    </row>
    <row r="3" spans="1:18" x14ac:dyDescent="0.25">
      <c r="A3" t="str" cm="1">
        <f t="array" ref="A3">INDEX(optimtraj_demos!A:A, (ROW()-2)*$C3+2)</f>
        <v>cart-pole (min force)</v>
      </c>
      <c r="B3" t="str" cm="1">
        <f t="array" ref="B3">INDEX(optimtraj_demos!B:B, (ROW()-2)*$C3+2)</f>
        <v>Amplify_MAIN_minForce</v>
      </c>
      <c r="C3">
        <f>COUNTIF(optimtraj_demos!A:A, optimtraj_demos!A3)</f>
        <v>10</v>
      </c>
      <c r="D3">
        <f>IFERROR(AVERAGE(INDEX(optimtraj_demos!D:D, (ROW()-2)*$C3+2):INDEX(optimtraj_demos!D:D, (ROW()-2)*$C3 + $C3+1)), "")</f>
        <v>1</v>
      </c>
      <c r="E3">
        <f>IFERROR(AVERAGE(INDEX(optimtraj_demos!E:E, (ROW()-2)*$C3+2):INDEX(optimtraj_demos!E:E, (ROW()-2)*$C3 + $C3+1)), "")</f>
        <v>229.29130000000001</v>
      </c>
      <c r="F3">
        <f>IFERROR(AVERAGE(INDEX(optimtraj_demos!F:F, (ROW()-2)*$C3+2):INDEX(optimtraj_demos!F:F, (ROW()-2)*$C3 + $C3+1)), "")</f>
        <v>38</v>
      </c>
      <c r="G3">
        <f>IFERROR(AVERAGE(INDEX(optimtraj_demos!G:G, (ROW()-2)*$C3+2):INDEX(optimtraj_demos!G:G, (ROW()-2)*$C3 + $C3+1)), "")</f>
        <v>5976</v>
      </c>
      <c r="H3">
        <f>IFERROR(AVERAGE(INDEX(optimtraj_demos!H:H, (ROW()-2)*$C3+2):INDEX(optimtraj_demos!H:H, (ROW()-2)*$C3 + $C3+1)), "")</f>
        <v>3.4239000000000007E-13</v>
      </c>
      <c r="I3">
        <f>IFERROR(AVERAGE(INDEX(optimtraj_demos!I:I, (ROW()-2)*$C3+2):INDEX(optimtraj_demos!I:I, (ROW()-2)*$C3 + $C3+1)), "")</f>
        <v>0.39045999999999997</v>
      </c>
      <c r="J3">
        <f>IFERROR(AVERAGE(INDEX(optimtraj_demos!J:J, (ROW()-2)*$C3+2):INDEX(optimtraj_demos!J:J, (ROW()-2)*$C3 + $C3+1)), "")</f>
        <v>0.4294713</v>
      </c>
      <c r="K3">
        <f>IFERROR(AVERAGE(INDEX(optimtraj_demos!K:K, (ROW()-2)*$C3+2):INDEX(optimtraj_demos!K:K, (ROW()-2)*$C3 + $C3+1)), "")</f>
        <v>152</v>
      </c>
      <c r="L3">
        <f>IFERROR(AVERAGE(INDEX(optimtraj_demos!L:L, (ROW()-2)*$C3+2):INDEX(optimtraj_demos!L:L, (ROW()-2)*$C3 + $C3+1)), "")</f>
        <v>116</v>
      </c>
      <c r="M3">
        <f>IFERROR(AVERAGE(INDEX(optimtraj_demos!M:M, (ROW()-2)*$C3+2):INDEX(optimtraj_demos!M:M, (ROW()-2)*$C3 + $C3+1)), "")</f>
        <v>0</v>
      </c>
      <c r="N3">
        <f>IFERROR(AVERAGE(INDEX(optimtraj_demos!N:N, (ROW()-2)*$C3+2):INDEX(optimtraj_demos!N:N, (ROW()-2)*$C3 + $C3+1)), "")</f>
        <v>152</v>
      </c>
      <c r="P3">
        <f t="shared" ref="P3:P6" si="0">IFERROR(J3, "")</f>
        <v>0.4294713</v>
      </c>
      <c r="Q3">
        <f>IFERROR(MIN(INDEX(optimtraj_demos!J:J, (ROW()-2)*$C3+2):INDEX(optimtraj_demos!J:J, (ROW()-2)*$C3 + $C3+1)), "")</f>
        <v>0.40763700000000003</v>
      </c>
      <c r="R3">
        <f>IFERROR(MAX(INDEX(optimtraj_demos!J:J, (ROW()-2)*$C3+2):INDEX(optimtraj_demos!J:J, (ROW()-2)*$C3 + $C3+1)), "")</f>
        <v>0.45933400000000002</v>
      </c>
    </row>
    <row r="4" spans="1:18" x14ac:dyDescent="0.25">
      <c r="A4" t="str" cm="1">
        <f t="array" ref="A4">INDEX(optimtraj_demos!A:A, (ROW()-2)*$C4+2)</f>
        <v>cart-pole (min time)</v>
      </c>
      <c r="B4" t="str" cm="1">
        <f t="array" ref="B4">INDEX(optimtraj_demos!B:B, (ROW()-2)*$C4+2)</f>
        <v>Amplify_MAIN_minTime</v>
      </c>
      <c r="C4">
        <f>COUNTIF(optimtraj_demos!A:A, optimtraj_demos!A4)</f>
        <v>10</v>
      </c>
      <c r="D4">
        <f>IFERROR(AVERAGE(INDEX(optimtraj_demos!D:D, (ROW()-2)*$C4+2):INDEX(optimtraj_demos!D:D, (ROW()-2)*$C4 + $C4+1)), "")</f>
        <v>1</v>
      </c>
      <c r="E4">
        <f>IFERROR(AVERAGE(INDEX(optimtraj_demos!E:E, (ROW()-2)*$C4+2):INDEX(optimtraj_demos!E:E, (ROW()-2)*$C4 + $C4+1)), "")</f>
        <v>1.1469000000000003</v>
      </c>
      <c r="F4">
        <f>IFERROR(AVERAGE(INDEX(optimtraj_demos!F:F, (ROW()-2)*$C4+2):INDEX(optimtraj_demos!F:F, (ROW()-2)*$C4 + $C4+1)), "")</f>
        <v>158</v>
      </c>
      <c r="G4">
        <f>IFERROR(AVERAGE(INDEX(optimtraj_demos!G:G, (ROW()-2)*$C4+2):INDEX(optimtraj_demos!G:G, (ROW()-2)*$C4 + $C4+1)), "")</f>
        <v>8541</v>
      </c>
      <c r="H4">
        <f>IFERROR(AVERAGE(INDEX(optimtraj_demos!H:H, (ROW()-2)*$C4+2):INDEX(optimtraj_demos!H:H, (ROW()-2)*$C4 + $C4+1)), "")</f>
        <v>2.8612000000000008E-7</v>
      </c>
      <c r="I4">
        <f>IFERROR(AVERAGE(INDEX(optimtraj_demos!I:I, (ROW()-2)*$C4+2):INDEX(optimtraj_demos!I:I, (ROW()-2)*$C4 + $C4+1)), "")</f>
        <v>0.42293000000000003</v>
      </c>
      <c r="J4">
        <f>IFERROR(AVERAGE(INDEX(optimtraj_demos!J:J, (ROW()-2)*$C4+2):INDEX(optimtraj_demos!J:J, (ROW()-2)*$C4 + $C4+1)), "")</f>
        <v>0.46383319999999995</v>
      </c>
      <c r="K4">
        <f>IFERROR(AVERAGE(INDEX(optimtraj_demos!K:K, (ROW()-2)*$C4+2):INDEX(optimtraj_demos!K:K, (ROW()-2)*$C4 + $C4+1)), "")</f>
        <v>52</v>
      </c>
      <c r="L4">
        <f>IFERROR(AVERAGE(INDEX(optimtraj_demos!L:L, (ROW()-2)*$C4+2):INDEX(optimtraj_demos!L:L, (ROW()-2)*$C4 + $C4+1)), "")</f>
        <v>36</v>
      </c>
      <c r="M4">
        <f>IFERROR(AVERAGE(INDEX(optimtraj_demos!M:M, (ROW()-2)*$C4+2):INDEX(optimtraj_demos!M:M, (ROW()-2)*$C4 + $C4+1)), "")</f>
        <v>0</v>
      </c>
      <c r="N4">
        <f>IFERROR(AVERAGE(INDEX(optimtraj_demos!N:N, (ROW()-2)*$C4+2):INDEX(optimtraj_demos!N:N, (ROW()-2)*$C4 + $C4+1)), "")</f>
        <v>52</v>
      </c>
      <c r="P4">
        <f t="shared" si="0"/>
        <v>0.46383319999999995</v>
      </c>
      <c r="Q4">
        <f>IFERROR(MIN(INDEX(optimtraj_demos!J:J, (ROW()-2)*$C4+2):INDEX(optimtraj_demos!J:J, (ROW()-2)*$C4 + $C4+1)), "")</f>
        <v>0.40731000000000001</v>
      </c>
      <c r="R4">
        <f>IFERROR(MAX(INDEX(optimtraj_demos!J:J, (ROW()-2)*$C4+2):INDEX(optimtraj_demos!J:J, (ROW()-2)*$C4 + $C4+1)), "")</f>
        <v>0.58520899999999998</v>
      </c>
    </row>
    <row r="5" spans="1:18" x14ac:dyDescent="0.25">
      <c r="A5" t="str" cm="1">
        <f t="array" ref="A5">INDEX(optimtraj_demos!A:A, (ROW()-2)*$C5+2)</f>
        <v>five-link biped</v>
      </c>
      <c r="B5" t="str" cm="1">
        <f t="array" ref="B5">INDEX(optimtraj_demos!B:B, (ROW()-2)*$C5+2)</f>
        <v>Amplify_MAIN</v>
      </c>
      <c r="C5">
        <f>COUNTIF(optimtraj_demos!A:A, optimtraj_demos!A5)</f>
        <v>10</v>
      </c>
      <c r="D5">
        <f>IFERROR(AVERAGE(INDEX(optimtraj_demos!D:D, (ROW()-2)*$C5+2):INDEX(optimtraj_demos!D:D, (ROW()-2)*$C5 + $C5+1)), "")</f>
        <v>1</v>
      </c>
      <c r="E5">
        <f>IFERROR(AVERAGE(INDEX(optimtraj_demos!E:E, (ROW()-2)*$C5+2):INDEX(optimtraj_demos!E:E, (ROW()-2)*$C5 + $C5+1)), "")</f>
        <v>469.55069999999989</v>
      </c>
      <c r="F5">
        <f>IFERROR(AVERAGE(INDEX(optimtraj_demos!F:F, (ROW()-2)*$C5+2):INDEX(optimtraj_demos!F:F, (ROW()-2)*$C5 + $C5+1)), "")</f>
        <v>27</v>
      </c>
      <c r="G5">
        <f>IFERROR(AVERAGE(INDEX(optimtraj_demos!G:G, (ROW()-2)*$C5+2):INDEX(optimtraj_demos!G:G, (ROW()-2)*$C5 + $C5+1)), "")</f>
        <v>28</v>
      </c>
      <c r="H5">
        <f>IFERROR(AVERAGE(INDEX(optimtraj_demos!H:H, (ROW()-2)*$C5+2):INDEX(optimtraj_demos!H:H, (ROW()-2)*$C5 + $C5+1)), "")</f>
        <v>3.9623E-7</v>
      </c>
      <c r="I5">
        <f>IFERROR(AVERAGE(INDEX(optimtraj_demos!I:I, (ROW()-2)*$C5+2):INDEX(optimtraj_demos!I:I, (ROW()-2)*$C5 + $C5+1)), "")</f>
        <v>0.36799000000000004</v>
      </c>
      <c r="J5">
        <f>IFERROR(AVERAGE(INDEX(optimtraj_demos!J:J, (ROW()-2)*$C5+2):INDEX(optimtraj_demos!J:J, (ROW()-2)*$C5 + $C5+1)), "")</f>
        <v>0.58966359999999995</v>
      </c>
      <c r="K5">
        <f>IFERROR(AVERAGE(INDEX(optimtraj_demos!K:K, (ROW()-2)*$C5+2):INDEX(optimtraj_demos!K:K, (ROW()-2)*$C5 + $C5+1)), "")</f>
        <v>197</v>
      </c>
      <c r="L5">
        <f>IFERROR(AVERAGE(INDEX(optimtraj_demos!L:L, (ROW()-2)*$C5+2):INDEX(optimtraj_demos!L:L, (ROW()-2)*$C5 + $C5+1)), "")</f>
        <v>132</v>
      </c>
      <c r="M5">
        <f>IFERROR(AVERAGE(INDEX(optimtraj_demos!M:M, (ROW()-2)*$C5+2):INDEX(optimtraj_demos!M:M, (ROW()-2)*$C5 + $C5+1)), "")</f>
        <v>28</v>
      </c>
      <c r="N5">
        <f>IFERROR(AVERAGE(INDEX(optimtraj_demos!N:N, (ROW()-2)*$C5+2):INDEX(optimtraj_demos!N:N, (ROW()-2)*$C5 + $C5+1)), "")</f>
        <v>197</v>
      </c>
      <c r="P5">
        <f t="shared" si="0"/>
        <v>0.58966359999999995</v>
      </c>
      <c r="Q5">
        <f>IFERROR(MIN(INDEX(optimtraj_demos!J:J, (ROW()-2)*$C5+2):INDEX(optimtraj_demos!J:J, (ROW()-2)*$C5 + $C5+1)), "")</f>
        <v>0.53590499999999996</v>
      </c>
      <c r="R5">
        <f>IFERROR(MAX(INDEX(optimtraj_demos!J:J, (ROW()-2)*$C5+2):INDEX(optimtraj_demos!J:J, (ROW()-2)*$C5 + $C5+1)), "")</f>
        <v>0.85341400000000001</v>
      </c>
    </row>
    <row r="6" spans="1:18" x14ac:dyDescent="0.25">
      <c r="A6" t="str" cm="1">
        <f t="array" ref="A6">INDEX(optimtraj_demos!A:A, (ROW()-2)*$C6+2)</f>
        <v>moving block</v>
      </c>
      <c r="B6" t="str" cm="1">
        <f t="array" ref="B6">INDEX(optimtraj_demos!B:B, (ROW()-2)*$C6+2)</f>
        <v>Amplify_MAIN_forceSquared</v>
      </c>
      <c r="C6">
        <f>COUNTIF(optimtraj_demos!A:A, optimtraj_demos!A6)</f>
        <v>10</v>
      </c>
      <c r="D6">
        <f>IFERROR(AVERAGE(INDEX(optimtraj_demos!D:D, (ROW()-2)*$C6+2):INDEX(optimtraj_demos!D:D, (ROW()-2)*$C6 + $C6+1)), "")</f>
        <v>1</v>
      </c>
      <c r="E6">
        <f>IFERROR(AVERAGE(INDEX(optimtraj_demos!E:E, (ROW()-2)*$C6+2):INDEX(optimtraj_demos!E:E, (ROW()-2)*$C6 + $C6+1)), "")</f>
        <v>12.055899999999998</v>
      </c>
      <c r="F6">
        <f>IFERROR(AVERAGE(INDEX(optimtraj_demos!F:F, (ROW()-2)*$C6+2):INDEX(optimtraj_demos!F:F, (ROW()-2)*$C6 + $C6+1)), "")</f>
        <v>19</v>
      </c>
      <c r="G6">
        <f>IFERROR(AVERAGE(INDEX(optimtraj_demos!G:G, (ROW()-2)*$C6+2):INDEX(optimtraj_demos!G:G, (ROW()-2)*$C6 + $C6+1)), "")</f>
        <v>20</v>
      </c>
      <c r="H6">
        <f>IFERROR(AVERAGE(INDEX(optimtraj_demos!H:H, (ROW()-2)*$C6+2):INDEX(optimtraj_demos!H:H, (ROW()-2)*$C6 + $C6+1)), "")</f>
        <v>1.5958999999999997E-16</v>
      </c>
      <c r="I6">
        <f>IFERROR(AVERAGE(INDEX(optimtraj_demos!I:I, (ROW()-2)*$C6+2):INDEX(optimtraj_demos!I:I, (ROW()-2)*$C6 + $C6+1)), "")</f>
        <v>4.8599999999999997E-2</v>
      </c>
      <c r="J6">
        <f>IFERROR(AVERAGE(INDEX(optimtraj_demos!J:J, (ROW()-2)*$C6+2):INDEX(optimtraj_demos!J:J, (ROW()-2)*$C6 + $C6+1)), "")</f>
        <v>5.7338600000000017E-2</v>
      </c>
      <c r="K6">
        <f>IFERROR(AVERAGE(INDEX(optimtraj_demos!K:K, (ROW()-2)*$C6+2):INDEX(optimtraj_demos!K:K, (ROW()-2)*$C6 + $C6+1)), "")</f>
        <v>92</v>
      </c>
      <c r="L6">
        <f>IFERROR(AVERAGE(INDEX(optimtraj_demos!L:L, (ROW()-2)*$C6+2):INDEX(optimtraj_demos!L:L, (ROW()-2)*$C6 + $C6+1)), "")</f>
        <v>58</v>
      </c>
      <c r="M6">
        <f>IFERROR(AVERAGE(INDEX(optimtraj_demos!M:M, (ROW()-2)*$C6+2):INDEX(optimtraj_demos!M:M, (ROW()-2)*$C6 + $C6+1)), "")</f>
        <v>0</v>
      </c>
      <c r="N6">
        <f>IFERROR(AVERAGE(INDEX(optimtraj_demos!N:N, (ROW()-2)*$C6+2):INDEX(optimtraj_demos!N:N, (ROW()-2)*$C6 + $C6+1)), "")</f>
        <v>92</v>
      </c>
      <c r="P6">
        <f t="shared" si="0"/>
        <v>5.7338600000000017E-2</v>
      </c>
      <c r="Q6">
        <f>IFERROR(MIN(INDEX(optimtraj_demos!J:J, (ROW()-2)*$C6+2):INDEX(optimtraj_demos!J:J, (ROW()-2)*$C6 + $C6+1)), "")</f>
        <v>4.7461000000000003E-2</v>
      </c>
      <c r="R6">
        <f>IFERROR(MAX(INDEX(optimtraj_demos!J:J, (ROW()-2)*$C6+2):INDEX(optimtraj_demos!J:J, (ROW()-2)*$C6 + $C6+1)), "")</f>
        <v>0.12404800000000001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BB35-4081-4B80-A3F7-729345E4664B}">
  <dimension ref="A1:P6"/>
  <sheetViews>
    <sheetView workbookViewId="0">
      <selection activeCell="P2" sqref="P2"/>
    </sheetView>
  </sheetViews>
  <sheetFormatPr defaultRowHeight="15" x14ac:dyDescent="0.25"/>
  <cols>
    <col min="1" max="1" width="19.5703125" bestFit="1" customWidth="1"/>
    <col min="2" max="2" width="27.42578125" bestFit="1" customWidth="1"/>
    <col min="3" max="3" width="8.7109375" bestFit="1" customWidth="1"/>
    <col min="4" max="4" width="8" bestFit="1" customWidth="1"/>
    <col min="5" max="5" width="12" bestFit="1" customWidth="1"/>
    <col min="6" max="6" width="9.5703125" bestFit="1" customWidth="1"/>
    <col min="7" max="7" width="10.140625" bestFit="1" customWidth="1"/>
    <col min="8" max="8" width="14.42578125" bestFit="1" customWidth="1"/>
    <col min="9" max="9" width="12" bestFit="1" customWidth="1"/>
    <col min="10" max="10" width="13.140625" bestFit="1" customWidth="1"/>
    <col min="11" max="14" width="13.140625" customWidth="1"/>
    <col min="16" max="16" width="16.7109375" bestFit="1" customWidth="1"/>
  </cols>
  <sheetData>
    <row r="1" spans="1:16" x14ac:dyDescent="0.25">
      <c r="A1" t="str">
        <f>optimtraj_demos!A1</f>
        <v>DEMO_LABEL</v>
      </c>
      <c r="B1" t="str">
        <f>optimtraj_demos!B1</f>
        <v>DEMO_NAME</v>
      </c>
      <c r="C1" t="str">
        <f>optimtraj_demos!C1</f>
        <v>NUMBER</v>
      </c>
      <c r="D1" t="str">
        <f>optimtraj_demos!D1</f>
        <v>exitFlag</v>
      </c>
      <c r="E1" t="str">
        <f>optimtraj_demos!E1</f>
        <v>objVal</v>
      </c>
      <c r="F1" t="str">
        <f>optimtraj_demos!F1</f>
        <v>iterations</v>
      </c>
      <c r="G1" t="str">
        <f>optimtraj_demos!G1</f>
        <v>funcCount</v>
      </c>
      <c r="H1" t="str">
        <f>optimtraj_demos!H1</f>
        <v>constrviolation</v>
      </c>
      <c r="I1" t="str">
        <f>optimtraj_demos!I1</f>
        <v>nlpTime</v>
      </c>
      <c r="J1" t="str">
        <f>optimtraj_demos!J1</f>
        <v>Elapsed_time</v>
      </c>
      <c r="K1" t="str">
        <f>optimtraj_demos!K1</f>
        <v>nvars</v>
      </c>
      <c r="L1" t="str">
        <f>optimtraj_demos!L1</f>
        <v>nceq</v>
      </c>
      <c r="M1" t="str">
        <f>optimtraj_demos!M1</f>
        <v>ncineq</v>
      </c>
      <c r="N1" t="str">
        <f>optimtraj_demos!N1</f>
        <v>nzbnd</v>
      </c>
      <c r="P1" t="s">
        <v>19</v>
      </c>
    </row>
    <row r="2" spans="1:16" x14ac:dyDescent="0.25">
      <c r="A2" t="str" cm="1">
        <f t="array" ref="A2">INDEX(optimtraj_demos!A:A, (ROW()-2)*$C2+2)</f>
        <v>acrobot</v>
      </c>
      <c r="B2" t="str" cm="1">
        <f t="array" ref="B2">INDEX(optimtraj_demos!B:B, (ROW()-2)*$C2+2)</f>
        <v>Amplify_MAIN</v>
      </c>
      <c r="C2">
        <f>COUNTIF(optimtraj_demos!A:A, optimtraj_demos!A2)</f>
        <v>10</v>
      </c>
      <c r="D2">
        <f>IFERROR(_xlfn.STDEV.S(INDEX(optimtraj_demos!D:D, (ROW()-2)*averages!$C2+2):INDEX(optimtraj_demos!D:D, (ROW()-2)*averages!$C2+averages!$C2+1)), "")</f>
        <v>0</v>
      </c>
      <c r="E2">
        <f>IFERROR(_xlfn.STDEV.S(INDEX(optimtraj_demos!E:E, (ROW()-2)*averages!$C2+2):INDEX(optimtraj_demos!E:E, (ROW()-2)*averages!$C2+averages!$C2+1)), "")</f>
        <v>0</v>
      </c>
      <c r="F2">
        <f>IFERROR(_xlfn.STDEV.S(INDEX(optimtraj_demos!F:F, (ROW()-2)*averages!$C2+2):INDEX(optimtraj_demos!F:F, (ROW()-2)*averages!$C2+averages!$C2+1)), "")</f>
        <v>0</v>
      </c>
      <c r="G2">
        <f>IFERROR(_xlfn.STDEV.S(INDEX(optimtraj_demos!G:G, (ROW()-2)*averages!$C2+2):INDEX(optimtraj_demos!G:G, (ROW()-2)*averages!$C2+averages!$C2+1)), "")</f>
        <v>0</v>
      </c>
      <c r="H2">
        <f>IFERROR(_xlfn.STDEV.S(INDEX(optimtraj_demos!H:H, (ROW()-2)*averages!$C2+2):INDEX(optimtraj_demos!H:H, (ROW()-2)*averages!$C2+averages!$C2+1)), "")</f>
        <v>1.0643614794925274E-28</v>
      </c>
      <c r="I2">
        <f>IFERROR(_xlfn.STDEV.S(INDEX(optimtraj_demos!I:I, (ROW()-2)*averages!$C2+2):INDEX(optimtraj_demos!I:I, (ROW()-2)*averages!$C2+averages!$C2+1)), "")</f>
        <v>0.46564212342861683</v>
      </c>
      <c r="J2">
        <f>IFERROR(_xlfn.STDEV.S(INDEX(optimtraj_demos!J:J, (ROW()-2)*averages!$C2+2):INDEX(optimtraj_demos!J:J, (ROW()-2)*averages!$C2+averages!$C2+1)), "")</f>
        <v>0.49973648265456438</v>
      </c>
      <c r="K2">
        <f>IFERROR(_xlfn.STDEV.S(INDEX(optimtraj_demos!K:K, (ROW()-2)*averages!$C2+2):INDEX(optimtraj_demos!K:K, (ROW()-2)*averages!$C2+averages!$C2+1)), "")</f>
        <v>0</v>
      </c>
      <c r="L2">
        <f>IFERROR(_xlfn.STDEV.S(INDEX(optimtraj_demos!L:L, (ROW()-2)*averages!$C2+2):INDEX(optimtraj_demos!L:L, (ROW()-2)*averages!$C2+averages!$C2+1)), "")</f>
        <v>0</v>
      </c>
      <c r="M2">
        <f>IFERROR(_xlfn.STDEV.S(INDEX(optimtraj_demos!M:M, (ROW()-2)*averages!$C2+2):INDEX(optimtraj_demos!M:M, (ROW()-2)*averages!$C2+averages!$C2+1)), "")</f>
        <v>0</v>
      </c>
      <c r="N2">
        <f>IFERROR(_xlfn.STDEV.S(INDEX(optimtraj_demos!N:N, (ROW()-2)*averages!$C2+2):INDEX(optimtraj_demos!N:N, (ROW()-2)*averages!$C2+averages!$C2+1)), "")</f>
        <v>0</v>
      </c>
      <c r="P2">
        <f>J2</f>
        <v>0.49973648265456438</v>
      </c>
    </row>
    <row r="3" spans="1:16" x14ac:dyDescent="0.25">
      <c r="A3" t="str" cm="1">
        <f t="array" ref="A3">INDEX(optimtraj_demos!A:A, (ROW()-2)*$C3+2)</f>
        <v>cart-pole (min force)</v>
      </c>
      <c r="B3" t="str" cm="1">
        <f t="array" ref="B3">INDEX(optimtraj_demos!B:B, (ROW()-2)*$C3+2)</f>
        <v>Amplify_MAIN_minForce</v>
      </c>
      <c r="C3">
        <f>COUNTIF(optimtraj_demos!A:A, optimtraj_demos!A3)</f>
        <v>10</v>
      </c>
      <c r="D3">
        <f>IFERROR(_xlfn.STDEV.S(INDEX(optimtraj_demos!D:D, (ROW()-2)*averages!$C3+2):INDEX(optimtraj_demos!D:D, (ROW()-2)*averages!$C3+averages!$C3+1)), "")</f>
        <v>0</v>
      </c>
      <c r="E3">
        <f>IFERROR(_xlfn.STDEV.S(INDEX(optimtraj_demos!E:E, (ROW()-2)*averages!$C3+2):INDEX(optimtraj_demos!E:E, (ROW()-2)*averages!$C3+averages!$C3+1)), "")</f>
        <v>0</v>
      </c>
      <c r="F3">
        <f>IFERROR(_xlfn.STDEV.S(INDEX(optimtraj_demos!F:F, (ROW()-2)*averages!$C3+2):INDEX(optimtraj_demos!F:F, (ROW()-2)*averages!$C3+averages!$C3+1)), "")</f>
        <v>0</v>
      </c>
      <c r="G3">
        <f>IFERROR(_xlfn.STDEV.S(INDEX(optimtraj_demos!G:G, (ROW()-2)*averages!$C3+2):INDEX(optimtraj_demos!G:G, (ROW()-2)*averages!$C3+averages!$C3+1)), "")</f>
        <v>0</v>
      </c>
      <c r="H3">
        <f>IFERROR(_xlfn.STDEV.S(INDEX(optimtraj_demos!H:H, (ROW()-2)*averages!$C3+2):INDEX(optimtraj_demos!H:H, (ROW()-2)*averages!$C3+averages!$C3+1)), "")</f>
        <v>5.3218073974626368E-29</v>
      </c>
      <c r="I3">
        <f>IFERROR(_xlfn.STDEV.S(INDEX(optimtraj_demos!I:I, (ROW()-2)*averages!$C3+2):INDEX(optimtraj_demos!I:I, (ROW()-2)*averages!$C3+averages!$C3+1)), "")</f>
        <v>1.8249334843281888E-2</v>
      </c>
      <c r="J3">
        <f>IFERROR(_xlfn.STDEV.S(INDEX(optimtraj_demos!J:J, (ROW()-2)*averages!$C3+2):INDEX(optimtraj_demos!J:J, (ROW()-2)*averages!$C3+averages!$C3+1)), "")</f>
        <v>2.0051002202993363E-2</v>
      </c>
      <c r="K3">
        <f>IFERROR(_xlfn.STDEV.S(INDEX(optimtraj_demos!K:K, (ROW()-2)*averages!$C3+2):INDEX(optimtraj_demos!K:K, (ROW()-2)*averages!$C3+averages!$C3+1)), "")</f>
        <v>0</v>
      </c>
      <c r="L3">
        <f>IFERROR(_xlfn.STDEV.S(INDEX(optimtraj_demos!L:L, (ROW()-2)*averages!$C3+2):INDEX(optimtraj_demos!L:L, (ROW()-2)*averages!$C3+averages!$C3+1)), "")</f>
        <v>0</v>
      </c>
      <c r="M3">
        <f>IFERROR(_xlfn.STDEV.S(INDEX(optimtraj_demos!M:M, (ROW()-2)*averages!$C3+2):INDEX(optimtraj_demos!M:M, (ROW()-2)*averages!$C3+averages!$C3+1)), "")</f>
        <v>0</v>
      </c>
      <c r="N3">
        <f>IFERROR(_xlfn.STDEV.S(INDEX(optimtraj_demos!N:N, (ROW()-2)*averages!$C3+2):INDEX(optimtraj_demos!N:N, (ROW()-2)*averages!$C3+averages!$C3+1)), "")</f>
        <v>0</v>
      </c>
      <c r="P3">
        <f t="shared" ref="P3:P5" si="0">J3</f>
        <v>2.0051002202993363E-2</v>
      </c>
    </row>
    <row r="4" spans="1:16" x14ac:dyDescent="0.25">
      <c r="A4" t="str" cm="1">
        <f t="array" ref="A4">INDEX(optimtraj_demos!A:A, (ROW()-2)*$C4+2)</f>
        <v>cart-pole (min time)</v>
      </c>
      <c r="B4" t="str" cm="1">
        <f t="array" ref="B4">INDEX(optimtraj_demos!B:B, (ROW()-2)*$C4+2)</f>
        <v>Amplify_MAIN_minTime</v>
      </c>
      <c r="C4">
        <f>COUNTIF(optimtraj_demos!A:A, optimtraj_demos!A4)</f>
        <v>10</v>
      </c>
      <c r="D4">
        <f>IFERROR(_xlfn.STDEV.S(INDEX(optimtraj_demos!D:D, (ROW()-2)*averages!$C4+2):INDEX(optimtraj_demos!D:D, (ROW()-2)*averages!$C4+averages!$C4+1)), "")</f>
        <v>0</v>
      </c>
      <c r="E4">
        <f>IFERROR(_xlfn.STDEV.S(INDEX(optimtraj_demos!E:E, (ROW()-2)*averages!$C4+2):INDEX(optimtraj_demos!E:E, (ROW()-2)*averages!$C4+averages!$C4+1)), "")</f>
        <v>2.3405556457178008E-16</v>
      </c>
      <c r="F4">
        <f>IFERROR(_xlfn.STDEV.S(INDEX(optimtraj_demos!F:F, (ROW()-2)*averages!$C4+2):INDEX(optimtraj_demos!F:F, (ROW()-2)*averages!$C4+averages!$C4+1)), "")</f>
        <v>0</v>
      </c>
      <c r="G4">
        <f>IFERROR(_xlfn.STDEV.S(INDEX(optimtraj_demos!G:G, (ROW()-2)*averages!$C4+2):INDEX(optimtraj_demos!G:G, (ROW()-2)*averages!$C4+averages!$C4+1)), "")</f>
        <v>0</v>
      </c>
      <c r="H4">
        <f>IFERROR(_xlfn.STDEV.S(INDEX(optimtraj_demos!H:H, (ROW()-2)*averages!$C4+2):INDEX(optimtraj_demos!H:H, (ROW()-2)*averages!$C4+averages!$C4+1)), "")</f>
        <v>5.5803195136017819E-23</v>
      </c>
      <c r="I4">
        <f>IFERROR(_xlfn.STDEV.S(INDEX(optimtraj_demos!I:I, (ROW()-2)*averages!$C4+2):INDEX(optimtraj_demos!I:I, (ROW()-2)*averages!$C4+averages!$C4+1)), "")</f>
        <v>5.1158056821753665E-2</v>
      </c>
      <c r="J4">
        <f>IFERROR(_xlfn.STDEV.S(INDEX(optimtraj_demos!J:J, (ROW()-2)*averages!$C4+2):INDEX(optimtraj_demos!J:J, (ROW()-2)*averages!$C4+averages!$C4+1)), "")</f>
        <v>5.4722875330159002E-2</v>
      </c>
      <c r="K4">
        <f>IFERROR(_xlfn.STDEV.S(INDEX(optimtraj_demos!K:K, (ROW()-2)*averages!$C4+2):INDEX(optimtraj_demos!K:K, (ROW()-2)*averages!$C4+averages!$C4+1)), "")</f>
        <v>0</v>
      </c>
      <c r="L4">
        <f>IFERROR(_xlfn.STDEV.S(INDEX(optimtraj_demos!L:L, (ROW()-2)*averages!$C4+2):INDEX(optimtraj_demos!L:L, (ROW()-2)*averages!$C4+averages!$C4+1)), "")</f>
        <v>0</v>
      </c>
      <c r="M4">
        <f>IFERROR(_xlfn.STDEV.S(INDEX(optimtraj_demos!M:M, (ROW()-2)*averages!$C4+2):INDEX(optimtraj_demos!M:M, (ROW()-2)*averages!$C4+averages!$C4+1)), "")</f>
        <v>0</v>
      </c>
      <c r="N4">
        <f>IFERROR(_xlfn.STDEV.S(INDEX(optimtraj_demos!N:N, (ROW()-2)*averages!$C4+2):INDEX(optimtraj_demos!N:N, (ROW()-2)*averages!$C4+averages!$C4+1)), "")</f>
        <v>0</v>
      </c>
      <c r="P4">
        <f t="shared" si="0"/>
        <v>5.4722875330159002E-2</v>
      </c>
    </row>
    <row r="5" spans="1:16" x14ac:dyDescent="0.25">
      <c r="A5" t="str" cm="1">
        <f t="array" ref="A5">INDEX(optimtraj_demos!A:A, (ROW()-2)*$C5+2)</f>
        <v>five-link biped</v>
      </c>
      <c r="B5" t="str" cm="1">
        <f t="array" ref="B5">INDEX(optimtraj_demos!B:B, (ROW()-2)*$C5+2)</f>
        <v>Amplify_MAIN</v>
      </c>
      <c r="C5">
        <f>COUNTIF(optimtraj_demos!A:A, optimtraj_demos!A5)</f>
        <v>10</v>
      </c>
      <c r="D5">
        <f>IFERROR(_xlfn.STDEV.S(INDEX(optimtraj_demos!D:D, (ROW()-2)*averages!$C5+2):INDEX(optimtraj_demos!D:D, (ROW()-2)*averages!$C5+averages!$C5+1)), "")</f>
        <v>0</v>
      </c>
      <c r="E5">
        <f>IFERROR(_xlfn.STDEV.S(INDEX(optimtraj_demos!E:E, (ROW()-2)*averages!$C5+2):INDEX(optimtraj_demos!E:E, (ROW()-2)*averages!$C5+averages!$C5+1)), "")</f>
        <v>1.198364490607514E-13</v>
      </c>
      <c r="F5">
        <f>IFERROR(_xlfn.STDEV.S(INDEX(optimtraj_demos!F:F, (ROW()-2)*averages!$C5+2):INDEX(optimtraj_demos!F:F, (ROW()-2)*averages!$C5+averages!$C5+1)), "")</f>
        <v>0</v>
      </c>
      <c r="G5">
        <f>IFERROR(_xlfn.STDEV.S(INDEX(optimtraj_demos!G:G, (ROW()-2)*averages!$C5+2):INDEX(optimtraj_demos!G:G, (ROW()-2)*averages!$C5+averages!$C5+1)), "")</f>
        <v>0</v>
      </c>
      <c r="H5">
        <f>IFERROR(_xlfn.STDEV.S(INDEX(optimtraj_demos!H:H, (ROW()-2)*averages!$C5+2):INDEX(optimtraj_demos!H:H, (ROW()-2)*averages!$C5+averages!$C5+1)), "")</f>
        <v>0</v>
      </c>
      <c r="I5">
        <f>IFERROR(_xlfn.STDEV.S(INDEX(optimtraj_demos!I:I, (ROW()-2)*averages!$C5+2):INDEX(optimtraj_demos!I:I, (ROW()-2)*averages!$C5+averages!$C5+1)), "")</f>
        <v>7.9049470445903255E-2</v>
      </c>
      <c r="J5">
        <f>IFERROR(_xlfn.STDEV.S(INDEX(optimtraj_demos!J:J, (ROW()-2)*averages!$C5+2):INDEX(optimtraj_demos!J:J, (ROW()-2)*averages!$C5+averages!$C5+1)), "")</f>
        <v>9.6073143448335549E-2</v>
      </c>
      <c r="K5">
        <f>IFERROR(_xlfn.STDEV.S(INDEX(optimtraj_demos!K:K, (ROW()-2)*averages!$C5+2):INDEX(optimtraj_demos!K:K, (ROW()-2)*averages!$C5+averages!$C5+1)), "")</f>
        <v>0</v>
      </c>
      <c r="L5">
        <f>IFERROR(_xlfn.STDEV.S(INDEX(optimtraj_demos!L:L, (ROW()-2)*averages!$C5+2):INDEX(optimtraj_demos!L:L, (ROW()-2)*averages!$C5+averages!$C5+1)), "")</f>
        <v>0</v>
      </c>
      <c r="M5">
        <f>IFERROR(_xlfn.STDEV.S(INDEX(optimtraj_demos!M:M, (ROW()-2)*averages!$C5+2):INDEX(optimtraj_demos!M:M, (ROW()-2)*averages!$C5+averages!$C5+1)), "")</f>
        <v>0</v>
      </c>
      <c r="N5">
        <f>IFERROR(_xlfn.STDEV.S(INDEX(optimtraj_demos!N:N, (ROW()-2)*averages!$C5+2):INDEX(optimtraj_demos!N:N, (ROW()-2)*averages!$C5+averages!$C5+1)), "")</f>
        <v>0</v>
      </c>
      <c r="P5">
        <f t="shared" si="0"/>
        <v>9.6073143448335549E-2</v>
      </c>
    </row>
    <row r="6" spans="1:16" x14ac:dyDescent="0.25">
      <c r="A6" t="str" cm="1">
        <f t="array" ref="A6">INDEX(optimtraj_demos!A:A, (ROW()-2)*$C6+2)</f>
        <v>moving block</v>
      </c>
      <c r="B6" t="str" cm="1">
        <f t="array" ref="B6">INDEX(optimtraj_demos!B:B, (ROW()-2)*$C6+2)</f>
        <v>Amplify_MAIN_forceSquared</v>
      </c>
      <c r="C6">
        <f>COUNTIF(optimtraj_demos!A:A, optimtraj_demos!A6)</f>
        <v>10</v>
      </c>
      <c r="D6">
        <f>IFERROR(_xlfn.STDEV.S(INDEX(optimtraj_demos!D:D, (ROW()-2)*averages!$C6+2):INDEX(optimtraj_demos!D:D, (ROW()-2)*averages!$C6+averages!$C6+1)), "")</f>
        <v>0</v>
      </c>
      <c r="E6">
        <f>IFERROR(_xlfn.STDEV.S(INDEX(optimtraj_demos!E:E, (ROW()-2)*averages!$C6+2):INDEX(optimtraj_demos!E:E, (ROW()-2)*averages!$C6+averages!$C6+1)), "")</f>
        <v>1.8724445165742407E-15</v>
      </c>
      <c r="F6">
        <f>IFERROR(_xlfn.STDEV.S(INDEX(optimtraj_demos!F:F, (ROW()-2)*averages!$C6+2):INDEX(optimtraj_demos!F:F, (ROW()-2)*averages!$C6+averages!$C6+1)), "")</f>
        <v>0</v>
      </c>
      <c r="G6">
        <f>IFERROR(_xlfn.STDEV.S(INDEX(optimtraj_demos!G:G, (ROW()-2)*averages!$C6+2):INDEX(optimtraj_demos!G:G, (ROW()-2)*averages!$C6+averages!$C6+1)), "")</f>
        <v>0</v>
      </c>
      <c r="H6">
        <f>IFERROR(_xlfn.STDEV.S(INDEX(optimtraj_demos!H:H, (ROW()-2)*averages!$C6+2):INDEX(optimtraj_demos!H:H, (ROW()-2)*averages!$C6+averages!$C6+1)), "")</f>
        <v>2.5985387682923031E-32</v>
      </c>
      <c r="I6">
        <f>IFERROR(_xlfn.STDEV.S(INDEX(optimtraj_demos!I:I, (ROW()-2)*averages!$C6+2):INDEX(optimtraj_demos!I:I, (ROW()-2)*averages!$C6+averages!$C6+1)), "")</f>
        <v>2.1709086679186782E-2</v>
      </c>
      <c r="J6">
        <f>IFERROR(_xlfn.STDEV.S(INDEX(optimtraj_demos!J:J, (ROW()-2)*averages!$C6+2):INDEX(optimtraj_demos!J:J, (ROW()-2)*averages!$C6+averages!$C6+1)), "")</f>
        <v>2.3473981039061526E-2</v>
      </c>
      <c r="K6">
        <f>IFERROR(_xlfn.STDEV.S(INDEX(optimtraj_demos!K:K, (ROW()-2)*averages!$C6+2):INDEX(optimtraj_demos!K:K, (ROW()-2)*averages!$C6+averages!$C6+1)), "")</f>
        <v>0</v>
      </c>
      <c r="L6">
        <f>IFERROR(_xlfn.STDEV.S(INDEX(optimtraj_demos!L:L, (ROW()-2)*averages!$C6+2):INDEX(optimtraj_demos!L:L, (ROW()-2)*averages!$C6+averages!$C6+1)), "")</f>
        <v>0</v>
      </c>
      <c r="M6">
        <f>IFERROR(_xlfn.STDEV.S(INDEX(optimtraj_demos!M:M, (ROW()-2)*averages!$C6+2):INDEX(optimtraj_demos!M:M, (ROW()-2)*averages!$C6+averages!$C6+1)), "")</f>
        <v>0</v>
      </c>
      <c r="N6">
        <f>IFERROR(_xlfn.STDEV.S(INDEX(optimtraj_demos!N:N, (ROW()-2)*averages!$C6+2):INDEX(optimtraj_demos!N:N, (ROW()-2)*averages!$C6+averages!$C6+1)), "")</f>
        <v>0</v>
      </c>
      <c r="P6">
        <f t="shared" ref="P6" si="1">J6</f>
        <v>2.3473981039061526E-2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E6EC-DDB5-484A-AEEB-B8991032AC03}">
  <dimension ref="A1:O6"/>
  <sheetViews>
    <sheetView tabSelected="1" workbookViewId="0">
      <selection activeCell="M5" sqref="M5"/>
    </sheetView>
  </sheetViews>
  <sheetFormatPr defaultRowHeight="15" x14ac:dyDescent="0.25"/>
  <cols>
    <col min="1" max="1" width="22" bestFit="1" customWidth="1"/>
    <col min="2" max="2" width="9.85546875" bestFit="1" customWidth="1"/>
    <col min="3" max="3" width="20.42578125" bestFit="1" customWidth="1"/>
    <col min="4" max="4" width="10.7109375" bestFit="1" customWidth="1"/>
    <col min="5" max="5" width="9.5703125" bestFit="1" customWidth="1"/>
    <col min="6" max="6" width="12.5703125" bestFit="1" customWidth="1"/>
    <col min="7" max="7" width="13.85546875" bestFit="1" customWidth="1"/>
    <col min="8" max="8" width="14.140625" bestFit="1" customWidth="1"/>
    <col min="9" max="9" width="17.85546875" bestFit="1" customWidth="1"/>
    <col min="10" max="10" width="7.85546875" bestFit="1" customWidth="1"/>
    <col min="11" max="11" width="6.85546875" bestFit="1" customWidth="1"/>
    <col min="12" max="12" width="10.42578125" bestFit="1" customWidth="1"/>
    <col min="13" max="13" width="16.140625" bestFit="1" customWidth="1"/>
    <col min="14" max="14" width="6.140625" bestFit="1" customWidth="1"/>
    <col min="15" max="15" width="14.28515625" bestFit="1" customWidth="1"/>
  </cols>
  <sheetData>
    <row r="1" spans="1:15" x14ac:dyDescent="0.25">
      <c r="A1" t="s">
        <v>26</v>
      </c>
      <c r="B1" t="s">
        <v>27</v>
      </c>
      <c r="C1" t="s">
        <v>28</v>
      </c>
      <c r="D1" t="s">
        <v>37</v>
      </c>
      <c r="E1" t="s">
        <v>29</v>
      </c>
      <c r="F1" t="s">
        <v>42</v>
      </c>
      <c r="G1" t="s">
        <v>34</v>
      </c>
      <c r="H1" t="s">
        <v>35</v>
      </c>
      <c r="I1" t="s">
        <v>33</v>
      </c>
      <c r="J1" t="s">
        <v>38</v>
      </c>
      <c r="K1" t="s">
        <v>39</v>
      </c>
      <c r="L1" t="s">
        <v>40</v>
      </c>
      <c r="M1" t="s">
        <v>41</v>
      </c>
      <c r="N1" t="s">
        <v>36</v>
      </c>
      <c r="O1" t="s">
        <v>43</v>
      </c>
    </row>
    <row r="2" spans="1:15" x14ac:dyDescent="0.25">
      <c r="A2" t="s">
        <v>44</v>
      </c>
      <c r="B2" t="s">
        <v>30</v>
      </c>
      <c r="C2" t="s">
        <v>49</v>
      </c>
      <c r="D2" t="s">
        <v>31</v>
      </c>
      <c r="E2">
        <f>averages!E2</f>
        <v>38.960799999999999</v>
      </c>
      <c r="F2">
        <f>averages!P2</f>
        <v>0.65266919999999984</v>
      </c>
      <c r="G2">
        <f>averages!Q2</f>
        <v>0.43255399999999999</v>
      </c>
      <c r="H2">
        <f>averages!R2</f>
        <v>2.0671390000000001</v>
      </c>
      <c r="I2">
        <f>'std. dev'!P2</f>
        <v>0.49973648265456438</v>
      </c>
      <c r="J2">
        <f>averages!F2</f>
        <v>55</v>
      </c>
      <c r="K2">
        <f>averages!K2</f>
        <v>102</v>
      </c>
      <c r="L2">
        <f>averages!L2</f>
        <v>76</v>
      </c>
      <c r="M2">
        <f>averages!M2 + averages!N2</f>
        <v>102</v>
      </c>
      <c r="N2">
        <v>1.1000000000000001</v>
      </c>
    </row>
    <row r="3" spans="1:15" x14ac:dyDescent="0.25">
      <c r="A3" t="s">
        <v>45</v>
      </c>
      <c r="B3" t="s">
        <v>30</v>
      </c>
      <c r="C3" t="s">
        <v>49</v>
      </c>
      <c r="D3" t="s">
        <v>31</v>
      </c>
      <c r="E3">
        <f>averages!E3</f>
        <v>229.29130000000001</v>
      </c>
      <c r="F3">
        <f>averages!P3</f>
        <v>0.4294713</v>
      </c>
      <c r="G3">
        <f>averages!Q3</f>
        <v>0.40763700000000003</v>
      </c>
      <c r="H3">
        <f>averages!R3</f>
        <v>0.45933400000000002</v>
      </c>
      <c r="I3">
        <f>'std. dev'!P3</f>
        <v>2.0051002202993363E-2</v>
      </c>
      <c r="J3">
        <f>averages!F3</f>
        <v>38</v>
      </c>
      <c r="K3">
        <f>averages!K3</f>
        <v>152</v>
      </c>
      <c r="L3">
        <f>averages!L3</f>
        <v>116</v>
      </c>
      <c r="M3">
        <f>averages!M3 + averages!N3</f>
        <v>152</v>
      </c>
      <c r="N3">
        <v>2.1</v>
      </c>
    </row>
    <row r="4" spans="1:15" x14ac:dyDescent="0.25">
      <c r="A4" t="s">
        <v>46</v>
      </c>
      <c r="B4" t="s">
        <v>30</v>
      </c>
      <c r="C4" t="s">
        <v>49</v>
      </c>
      <c r="D4" t="s">
        <v>31</v>
      </c>
      <c r="E4">
        <f>averages!E4</f>
        <v>1.1469000000000003</v>
      </c>
      <c r="F4">
        <f>averages!P4</f>
        <v>0.46383319999999995</v>
      </c>
      <c r="G4">
        <f>averages!Q4</f>
        <v>0.40731000000000001</v>
      </c>
      <c r="H4">
        <f>averages!R4</f>
        <v>0.58520899999999998</v>
      </c>
      <c r="I4">
        <f>'std. dev'!P4</f>
        <v>5.4722875330159002E-2</v>
      </c>
      <c r="J4">
        <f>averages!F4</f>
        <v>158</v>
      </c>
      <c r="K4">
        <f>averages!K4</f>
        <v>52</v>
      </c>
      <c r="L4">
        <f>averages!L4</f>
        <v>36</v>
      </c>
      <c r="M4">
        <f>averages!M4 + averages!N4</f>
        <v>52</v>
      </c>
      <c r="N4">
        <v>3.1</v>
      </c>
    </row>
    <row r="5" spans="1:15" x14ac:dyDescent="0.25">
      <c r="A5" t="s">
        <v>47</v>
      </c>
      <c r="B5" t="s">
        <v>30</v>
      </c>
      <c r="C5" t="s">
        <v>49</v>
      </c>
      <c r="D5" t="s">
        <v>31</v>
      </c>
      <c r="E5">
        <f>averages!E6</f>
        <v>12.055899999999998</v>
      </c>
      <c r="F5">
        <f>averages!P6</f>
        <v>5.7338600000000017E-2</v>
      </c>
      <c r="G5">
        <f>averages!Q6</f>
        <v>4.7461000000000003E-2</v>
      </c>
      <c r="H5">
        <f>averages!R6</f>
        <v>0.12404800000000001</v>
      </c>
      <c r="I5">
        <f>'std. dev'!P6</f>
        <v>2.3473981039061526E-2</v>
      </c>
      <c r="J5">
        <f>averages!F6</f>
        <v>19</v>
      </c>
      <c r="K5">
        <f>averages!K6</f>
        <v>92</v>
      </c>
      <c r="L5">
        <f>averages!L6</f>
        <v>58</v>
      </c>
      <c r="M5">
        <f>averages!M6 + averages!N6</f>
        <v>92</v>
      </c>
      <c r="N5">
        <v>4.0999999999999996</v>
      </c>
    </row>
    <row r="6" spans="1:15" x14ac:dyDescent="0.25">
      <c r="A6" t="s">
        <v>48</v>
      </c>
      <c r="B6" t="s">
        <v>30</v>
      </c>
      <c r="C6" t="s">
        <v>49</v>
      </c>
      <c r="D6" t="s">
        <v>32</v>
      </c>
      <c r="E6">
        <f>averages!E5</f>
        <v>469.55069999999989</v>
      </c>
      <c r="F6">
        <f>averages!P5</f>
        <v>0.58966359999999995</v>
      </c>
      <c r="G6">
        <f>averages!Q5</f>
        <v>0.53590499999999996</v>
      </c>
      <c r="H6">
        <f>averages!R5</f>
        <v>0.85341400000000001</v>
      </c>
      <c r="I6">
        <f>'std. dev'!P5</f>
        <v>9.6073143448335549E-2</v>
      </c>
      <c r="J6">
        <f>averages!F5</f>
        <v>27</v>
      </c>
      <c r="K6">
        <f>averages!K5</f>
        <v>197</v>
      </c>
      <c r="L6">
        <f>averages!L5</f>
        <v>132</v>
      </c>
      <c r="M6">
        <f>averages!M5 + averages!N5</f>
        <v>225</v>
      </c>
      <c r="N6">
        <v>5.0999999999999996</v>
      </c>
      <c r="O6">
        <v>420.13156442374998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EB5786-F383-4073-85CA-4D9620A667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optimtraj_demos</vt:lpstr>
      <vt:lpstr>averages</vt:lpstr>
      <vt:lpstr>std. dev</vt:lpstr>
      <vt:lpstr>table_ot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</dc:creator>
  <cp:lastModifiedBy>Nelson Rosa</cp:lastModifiedBy>
  <dcterms:created xsi:type="dcterms:W3CDTF">2015-06-05T18:17:20Z</dcterms:created>
  <dcterms:modified xsi:type="dcterms:W3CDTF">2026-06-24T18:55:59Z</dcterms:modified>
</cp:coreProperties>
</file>