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Amplify Benchmark\"/>
    </mc:Choice>
  </mc:AlternateContent>
  <xr:revisionPtr revIDLastSave="0" documentId="13_ncr:1_{8C9C7EDE-E126-4BE1-BD6B-B7C3CFA3EE9E}" xr6:coauthVersionLast="47" xr6:coauthVersionMax="47" xr10:uidLastSave="{00000000-0000-0000-0000-000000000000}"/>
  <bookViews>
    <workbookView xWindow="-105" yWindow="0" windowWidth="26010" windowHeight="20985" activeTab="3" xr2:uid="{ABA3B928-2EC6-44E3-AEA7-F48D40BD5B05}"/>
  </bookViews>
  <sheets>
    <sheet name="neos_benchmark" sheetId="6" r:id="rId1"/>
    <sheet name="averages" sheetId="1" r:id="rId2"/>
    <sheet name="std. dev" sheetId="3" r:id="rId3"/>
    <sheet name="table_pre" sheetId="8" r:id="rId4"/>
    <sheet name="table_ns" sheetId="7" r:id="rId5"/>
    <sheet name="table_kc" sheetId="9" r:id="rId6"/>
  </sheets>
  <definedNames>
    <definedName name="ExternalData_1" localSheetId="0" hidden="1">neos_benchmark!$A$1:$AJ$261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9" l="1"/>
  <c r="G3" i="9"/>
  <c r="H3" i="9"/>
  <c r="I3" i="9"/>
  <c r="J3" i="9"/>
  <c r="K3" i="9"/>
  <c r="L3" i="9"/>
  <c r="M3" i="9"/>
  <c r="N3" i="9"/>
  <c r="F4" i="9"/>
  <c r="G4" i="9"/>
  <c r="H4" i="9"/>
  <c r="I4" i="9"/>
  <c r="J4" i="9"/>
  <c r="K4" i="9"/>
  <c r="L4" i="9"/>
  <c r="M4" i="9"/>
  <c r="N4" i="9"/>
  <c r="F5" i="9"/>
  <c r="G5" i="9"/>
  <c r="H5" i="9"/>
  <c r="I5" i="9"/>
  <c r="J5" i="9"/>
  <c r="K5" i="9"/>
  <c r="L5" i="9"/>
  <c r="M5" i="9"/>
  <c r="N5" i="9"/>
  <c r="F6" i="9"/>
  <c r="G6" i="9"/>
  <c r="H6" i="9"/>
  <c r="I6" i="9"/>
  <c r="J6" i="9"/>
  <c r="K6" i="9"/>
  <c r="L6" i="9"/>
  <c r="M6" i="9"/>
  <c r="N6" i="9"/>
  <c r="F7" i="9"/>
  <c r="G7" i="9"/>
  <c r="H7" i="9"/>
  <c r="I7" i="9"/>
  <c r="J7" i="9"/>
  <c r="K7" i="9"/>
  <c r="L7" i="9"/>
  <c r="M7" i="9"/>
  <c r="N7" i="9"/>
  <c r="F8" i="9"/>
  <c r="G8" i="9"/>
  <c r="H8" i="9"/>
  <c r="I8" i="9"/>
  <c r="J8" i="9"/>
  <c r="K8" i="9"/>
  <c r="L8" i="9"/>
  <c r="M8" i="9"/>
  <c r="N8" i="9"/>
  <c r="F9" i="9"/>
  <c r="G9" i="9"/>
  <c r="H9" i="9"/>
  <c r="I9" i="9"/>
  <c r="J9" i="9"/>
  <c r="K9" i="9"/>
  <c r="L9" i="9"/>
  <c r="M9" i="9"/>
  <c r="N9" i="9"/>
  <c r="F10" i="9"/>
  <c r="G10" i="9"/>
  <c r="H10" i="9"/>
  <c r="I10" i="9"/>
  <c r="J10" i="9"/>
  <c r="K10" i="9"/>
  <c r="L10" i="9"/>
  <c r="M10" i="9"/>
  <c r="N10" i="9"/>
  <c r="E3" i="9"/>
  <c r="E4" i="9"/>
  <c r="E5" i="9"/>
  <c r="E6" i="9"/>
  <c r="E7" i="9"/>
  <c r="E8" i="9"/>
  <c r="E9" i="9"/>
  <c r="E10" i="9"/>
  <c r="E2" i="9"/>
  <c r="AE17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G18" i="1"/>
  <c r="F18" i="8" s="1"/>
  <c r="AI2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B27" i="3"/>
  <c r="A27" i="3" s="1" a="1"/>
  <c r="A27" i="3" s="1"/>
  <c r="B25" i="3"/>
  <c r="D25" i="3" s="1" a="1"/>
  <c r="D25" i="3" s="1"/>
  <c r="B26" i="3"/>
  <c r="E26" i="3" s="1" a="1"/>
  <c r="E26" i="3" s="1"/>
  <c r="B7" i="1"/>
  <c r="W7" i="1" s="1"/>
  <c r="B8" i="1"/>
  <c r="AI8" i="1" s="1"/>
  <c r="B9" i="1"/>
  <c r="I9" i="3" s="1"/>
  <c r="B10" i="1"/>
  <c r="AC10" i="3" s="1"/>
  <c r="B11" i="1"/>
  <c r="S11" i="3" s="1"/>
  <c r="B12" i="1"/>
  <c r="K12" i="3" s="1"/>
  <c r="B13" i="1"/>
  <c r="G13" i="3" s="1"/>
  <c r="B14" i="1"/>
  <c r="G14" i="3" s="1"/>
  <c r="B15" i="1"/>
  <c r="Q15" i="1" s="1"/>
  <c r="B16" i="1"/>
  <c r="I16" i="3" s="1"/>
  <c r="B17" i="1"/>
  <c r="G17" i="3" s="1"/>
  <c r="B18" i="1"/>
  <c r="L18" i="3" s="1"/>
  <c r="B19" i="1"/>
  <c r="AB19" i="3" s="1"/>
  <c r="B20" i="1"/>
  <c r="X20" i="3" s="1"/>
  <c r="B21" i="1"/>
  <c r="AC21" i="3" s="1"/>
  <c r="B22" i="1"/>
  <c r="N22" i="3" s="1"/>
  <c r="B23" i="1"/>
  <c r="I23" i="3" s="1"/>
  <c r="B24" i="1"/>
  <c r="R24" i="3" s="1"/>
  <c r="B25" i="1"/>
  <c r="AC25" i="3" s="1"/>
  <c r="B26" i="1"/>
  <c r="AG26" i="3" s="1"/>
  <c r="B27" i="1"/>
  <c r="M27" i="1" s="1"/>
  <c r="B14" i="3"/>
  <c r="C14" i="3" s="1" a="1"/>
  <c r="C14" i="3" s="1"/>
  <c r="B15" i="3"/>
  <c r="C15" i="3" s="1" a="1"/>
  <c r="C15" i="3" s="1"/>
  <c r="B16" i="3"/>
  <c r="D16" i="3" s="1" a="1"/>
  <c r="D16" i="3" s="1"/>
  <c r="B17" i="3"/>
  <c r="C17" i="3" s="1" a="1"/>
  <c r="C17" i="3" s="1"/>
  <c r="B18" i="3"/>
  <c r="C18" i="3" s="1" a="1"/>
  <c r="C18" i="3" s="1"/>
  <c r="B19" i="3"/>
  <c r="E19" i="3" s="1" a="1"/>
  <c r="E19" i="3" s="1"/>
  <c r="B20" i="3"/>
  <c r="C20" i="3" s="1" a="1"/>
  <c r="C20" i="3" s="1"/>
  <c r="B21" i="3"/>
  <c r="D21" i="3" s="1" a="1"/>
  <c r="D21" i="3" s="1"/>
  <c r="B22" i="3"/>
  <c r="A22" i="3" s="1" a="1"/>
  <c r="A22" i="3" s="1"/>
  <c r="B23" i="3"/>
  <c r="E23" i="3" s="1" a="1"/>
  <c r="E23" i="3" s="1"/>
  <c r="B24" i="3"/>
  <c r="E24" i="3" s="1" a="1"/>
  <c r="E24" i="3" s="1"/>
  <c r="B13" i="3"/>
  <c r="D13" i="3" s="1" a="1"/>
  <c r="D13" i="3" s="1"/>
  <c r="B12" i="3"/>
  <c r="E12" i="3" s="1" a="1"/>
  <c r="E12" i="3" s="1"/>
  <c r="B11" i="3"/>
  <c r="C11" i="3" s="1" a="1"/>
  <c r="C11" i="3" s="1"/>
  <c r="B10" i="3"/>
  <c r="A10" i="3" s="1" a="1"/>
  <c r="A10" i="3" s="1"/>
  <c r="B9" i="3"/>
  <c r="B8" i="3"/>
  <c r="C8" i="3" s="1" a="1"/>
  <c r="C8" i="3" s="1"/>
  <c r="B7" i="3"/>
  <c r="E7" i="3" s="1" a="1"/>
  <c r="E7" i="3" s="1"/>
  <c r="B6" i="3"/>
  <c r="D6" i="3" s="1" a="1"/>
  <c r="D6" i="3" s="1"/>
  <c r="B5" i="3"/>
  <c r="C5" i="3" s="1" a="1"/>
  <c r="C5" i="3" s="1"/>
  <c r="B4" i="3"/>
  <c r="C4" i="3" s="1" a="1"/>
  <c r="C4" i="3" s="1"/>
  <c r="B3" i="3"/>
  <c r="D3" i="3" s="1" a="1"/>
  <c r="D3" i="3" s="1"/>
  <c r="B2" i="3"/>
  <c r="C2" i="3" s="1" a="1"/>
  <c r="C2" i="3" s="1"/>
  <c r="A1" i="3"/>
  <c r="B6" i="1"/>
  <c r="L6" i="3" s="1"/>
  <c r="B5" i="1"/>
  <c r="Y5" i="3" s="1"/>
  <c r="B4" i="1"/>
  <c r="AB4" i="3" s="1"/>
  <c r="B3" i="1"/>
  <c r="Z3" i="1" s="1"/>
  <c r="K3" i="8" s="1"/>
  <c r="B2" i="1"/>
  <c r="AK2" i="3" s="1" a="1"/>
  <c r="AK2" i="3" s="1"/>
  <c r="Q17" i="1" l="1"/>
  <c r="O17" i="1"/>
  <c r="AF8" i="1"/>
  <c r="D8" i="8" s="1"/>
  <c r="D27" i="3" a="1"/>
  <c r="D27" i="3" s="1"/>
  <c r="H22" i="3"/>
  <c r="AP22" i="1" a="1"/>
  <c r="AP22" i="1" s="1"/>
  <c r="T26" i="1"/>
  <c r="Z20" i="1"/>
  <c r="K20" i="8" s="1"/>
  <c r="AG19" i="1"/>
  <c r="F19" i="8" s="1"/>
  <c r="Q25" i="1"/>
  <c r="I25" i="1"/>
  <c r="AA18" i="1"/>
  <c r="E25" i="1" a="1"/>
  <c r="E25" i="1" s="1"/>
  <c r="H25" i="1"/>
  <c r="Z18" i="1"/>
  <c r="K18" i="8" s="1"/>
  <c r="S25" i="3"/>
  <c r="Y22" i="1"/>
  <c r="U18" i="1"/>
  <c r="O25" i="3"/>
  <c r="X22" i="1"/>
  <c r="AJ17" i="1"/>
  <c r="M25" i="3"/>
  <c r="W22" i="1"/>
  <c r="AI17" i="1"/>
  <c r="L22" i="3"/>
  <c r="U22" i="1"/>
  <c r="V17" i="1"/>
  <c r="K22" i="3"/>
  <c r="S22" i="1"/>
  <c r="U17" i="1"/>
  <c r="J22" i="3"/>
  <c r="AD20" i="1"/>
  <c r="L20" i="8" s="1"/>
  <c r="M20" i="8" s="1"/>
  <c r="P17" i="1"/>
  <c r="G22" i="3"/>
  <c r="S21" i="3"/>
  <c r="R20" i="1"/>
  <c r="N17" i="1"/>
  <c r="L20" i="3"/>
  <c r="Q20" i="1"/>
  <c r="M17" i="1"/>
  <c r="W18" i="3"/>
  <c r="AI19" i="1"/>
  <c r="H17" i="1"/>
  <c r="P18" i="3"/>
  <c r="AH19" i="1"/>
  <c r="G19" i="8" s="1"/>
  <c r="P9" i="1"/>
  <c r="O18" i="3"/>
  <c r="T25" i="1"/>
  <c r="AF19" i="1"/>
  <c r="D19" i="8" s="1"/>
  <c r="AP23" i="1" a="1"/>
  <c r="AP23" i="1" s="1"/>
  <c r="C27" i="3" a="1"/>
  <c r="C27" i="3" s="1"/>
  <c r="AC17" i="3"/>
  <c r="D26" i="3" a="1"/>
  <c r="D26" i="3" s="1"/>
  <c r="AB17" i="3"/>
  <c r="D25" i="1" a="1"/>
  <c r="D25" i="1" s="1"/>
  <c r="P25" i="1"/>
  <c r="AF18" i="1"/>
  <c r="D18" i="8" s="1"/>
  <c r="AO17" i="1" a="1"/>
  <c r="AO17" i="1" s="1"/>
  <c r="Y17" i="3"/>
  <c r="C25" i="1" a="1"/>
  <c r="C25" i="1" s="1"/>
  <c r="L25" i="1"/>
  <c r="AE18" i="1"/>
  <c r="C18" i="8" s="1"/>
  <c r="AN17" i="1" a="1"/>
  <c r="AN17" i="1" s="1"/>
  <c r="J17" i="8" s="1"/>
  <c r="V17" i="3"/>
  <c r="J25" i="1"/>
  <c r="AC18" i="1"/>
  <c r="D24" i="3" a="1"/>
  <c r="D24" i="3" s="1"/>
  <c r="AB13" i="3"/>
  <c r="AF2" i="1"/>
  <c r="D2" i="8" s="1"/>
  <c r="U16" i="1"/>
  <c r="N14" i="1"/>
  <c r="F13" i="1"/>
  <c r="AA4" i="1"/>
  <c r="AC2" i="3"/>
  <c r="AA16" i="3"/>
  <c r="AG13" i="3"/>
  <c r="T16" i="1"/>
  <c r="M14" i="1"/>
  <c r="Z4" i="1"/>
  <c r="K4" i="8" s="1"/>
  <c r="X2" i="3"/>
  <c r="Z16" i="3"/>
  <c r="AE13" i="3"/>
  <c r="AA2" i="1"/>
  <c r="AF5" i="1"/>
  <c r="D5" i="8" s="1"/>
  <c r="X2" i="1"/>
  <c r="AH13" i="1"/>
  <c r="G13" i="8" s="1"/>
  <c r="AO4" i="1" a="1"/>
  <c r="AO4" i="1" s="1"/>
  <c r="C3" i="7" s="1"/>
  <c r="G16" i="1"/>
  <c r="X13" i="1"/>
  <c r="H4" i="1"/>
  <c r="H2" i="3"/>
  <c r="H13" i="3"/>
  <c r="S2" i="1"/>
  <c r="AK2" i="1" a="1"/>
  <c r="AK2" i="1" s="1"/>
  <c r="I2" i="8" s="1"/>
  <c r="P2" i="1"/>
  <c r="AI16" i="1"/>
  <c r="AE15" i="1"/>
  <c r="C15" i="8" s="1"/>
  <c r="V13" i="1"/>
  <c r="V5" i="1"/>
  <c r="AO2" i="1" a="1"/>
  <c r="AO2" i="1" s="1"/>
  <c r="C2" i="7" s="1"/>
  <c r="AJ14" i="3"/>
  <c r="AC5" i="3"/>
  <c r="AL2" i="1" a="1"/>
  <c r="AL2" i="1" s="1"/>
  <c r="M2" i="1"/>
  <c r="V22" i="1"/>
  <c r="AH16" i="1"/>
  <c r="G16" i="8" s="1"/>
  <c r="AA15" i="1"/>
  <c r="U13" i="1"/>
  <c r="T5" i="1"/>
  <c r="AP2" i="1" a="1"/>
  <c r="AP2" i="1" s="1"/>
  <c r="E22" i="3" a="1"/>
  <c r="E22" i="3" s="1"/>
  <c r="N25" i="3"/>
  <c r="AD17" i="3"/>
  <c r="AI14" i="3"/>
  <c r="AA5" i="3"/>
  <c r="N16" i="1"/>
  <c r="W16" i="3"/>
  <c r="Y2" i="1"/>
  <c r="L16" i="1"/>
  <c r="K16" i="1"/>
  <c r="U2" i="1"/>
  <c r="AH14" i="1"/>
  <c r="G14" i="8" s="1"/>
  <c r="N14" i="3"/>
  <c r="P5" i="3"/>
  <c r="W4" i="1"/>
  <c r="U4" i="1"/>
  <c r="S4" i="1"/>
  <c r="R16" i="3"/>
  <c r="R4" i="1"/>
  <c r="AG13" i="1"/>
  <c r="F13" i="8" s="1"/>
  <c r="Y5" i="1"/>
  <c r="AN4" i="1" a="1"/>
  <c r="AN4" i="1" s="1"/>
  <c r="J4" i="8" s="1"/>
  <c r="T13" i="3"/>
  <c r="X5" i="1"/>
  <c r="AG15" i="1"/>
  <c r="F15" i="8" s="1"/>
  <c r="W5" i="1"/>
  <c r="AD5" i="3"/>
  <c r="AM5" i="1" a="1"/>
  <c r="AM5" i="1" s="1"/>
  <c r="L2" i="1"/>
  <c r="T13" i="1"/>
  <c r="C22" i="3" a="1"/>
  <c r="C22" i="3" s="1"/>
  <c r="R22" i="1"/>
  <c r="W14" i="1"/>
  <c r="N5" i="1"/>
  <c r="Y14" i="3"/>
  <c r="V14" i="1"/>
  <c r="K5" i="1"/>
  <c r="AI22" i="3"/>
  <c r="AK20" i="1" a="1"/>
  <c r="AK20" i="1" s="1"/>
  <c r="I20" i="8" s="1"/>
  <c r="AB26" i="1"/>
  <c r="P22" i="1"/>
  <c r="T18" i="1"/>
  <c r="AB16" i="1"/>
  <c r="U14" i="1"/>
  <c r="L13" i="1"/>
  <c r="J5" i="1"/>
  <c r="AP19" i="1" a="1"/>
  <c r="AP19" i="1" s="1"/>
  <c r="AH22" i="3"/>
  <c r="R17" i="3"/>
  <c r="L14" i="3"/>
  <c r="AJ4" i="3"/>
  <c r="AE2" i="1"/>
  <c r="C2" i="8" s="1"/>
  <c r="AP13" i="1" a="1"/>
  <c r="AP13" i="1" s="1"/>
  <c r="D13" i="7" s="1"/>
  <c r="R2" i="3"/>
  <c r="Y13" i="3"/>
  <c r="AB5" i="1"/>
  <c r="W13" i="3"/>
  <c r="J16" i="1"/>
  <c r="AF13" i="1"/>
  <c r="D13" i="8" s="1"/>
  <c r="P4" i="1"/>
  <c r="K2" i="3"/>
  <c r="M16" i="3"/>
  <c r="W13" i="1"/>
  <c r="G4" i="1"/>
  <c r="G15" i="3"/>
  <c r="AF14" i="3"/>
  <c r="Z5" i="3"/>
  <c r="S13" i="1"/>
  <c r="I2" i="1"/>
  <c r="AE16" i="1"/>
  <c r="C16" i="8" s="1"/>
  <c r="R13" i="1"/>
  <c r="AO22" i="1" a="1"/>
  <c r="AO22" i="1" s="1"/>
  <c r="AJ22" i="3"/>
  <c r="R5" i="3"/>
  <c r="W26" i="1"/>
  <c r="O22" i="1"/>
  <c r="S18" i="1"/>
  <c r="Y16" i="1"/>
  <c r="S14" i="1"/>
  <c r="J13" i="1"/>
  <c r="AF4" i="1"/>
  <c r="D4" i="8" s="1"/>
  <c r="AN19" i="1" a="1"/>
  <c r="AN19" i="1" s="1"/>
  <c r="J19" i="8" s="1"/>
  <c r="C6" i="3" a="1"/>
  <c r="C6" i="3" s="1"/>
  <c r="T22" i="3"/>
  <c r="M17" i="3"/>
  <c r="I14" i="3"/>
  <c r="AG4" i="3"/>
  <c r="L14" i="1"/>
  <c r="X16" i="3"/>
  <c r="O16" i="3"/>
  <c r="Q4" i="1"/>
  <c r="O2" i="3"/>
  <c r="N16" i="3"/>
  <c r="U13" i="3"/>
  <c r="T2" i="1"/>
  <c r="D20" i="3" a="1"/>
  <c r="D20" i="3" s="1"/>
  <c r="AD24" i="3"/>
  <c r="AA14" i="3"/>
  <c r="AM13" i="1" a="1"/>
  <c r="AM13" i="1" s="1"/>
  <c r="Q22" i="1"/>
  <c r="AD16" i="1"/>
  <c r="L16" i="8" s="1"/>
  <c r="AN22" i="1" a="1"/>
  <c r="AN22" i="1" s="1"/>
  <c r="J22" i="8" s="1"/>
  <c r="D10" i="3" a="1"/>
  <c r="D10" i="3" s="1"/>
  <c r="AJ2" i="1"/>
  <c r="V26" i="1"/>
  <c r="R21" i="1"/>
  <c r="Q18" i="1"/>
  <c r="W16" i="1"/>
  <c r="Q14" i="1"/>
  <c r="I13" i="1"/>
  <c r="AC4" i="1"/>
  <c r="AO18" i="1" a="1"/>
  <c r="AO18" i="1" s="1"/>
  <c r="F22" i="3"/>
  <c r="O22" i="3"/>
  <c r="H17" i="3"/>
  <c r="AJ13" i="3"/>
  <c r="AC4" i="3"/>
  <c r="AD2" i="1"/>
  <c r="L2" i="8" s="1"/>
  <c r="S16" i="1"/>
  <c r="AO16" i="1" a="1"/>
  <c r="AO16" i="1" s="1"/>
  <c r="T2" i="3"/>
  <c r="K14" i="1"/>
  <c r="J14" i="1"/>
  <c r="AE5" i="1"/>
  <c r="C5" i="8" s="1"/>
  <c r="AO13" i="1" a="1"/>
  <c r="AO13" i="1" s="1"/>
  <c r="C13" i="7" s="1"/>
  <c r="Q2" i="3"/>
  <c r="X13" i="3"/>
  <c r="AN5" i="1" a="1"/>
  <c r="AN5" i="1" s="1"/>
  <c r="J5" i="8" s="1"/>
  <c r="P2" i="3"/>
  <c r="V2" i="1"/>
  <c r="Z5" i="1"/>
  <c r="K5" i="8" s="1"/>
  <c r="F16" i="1"/>
  <c r="L16" i="3"/>
  <c r="AG16" i="1"/>
  <c r="F16" i="8" s="1"/>
  <c r="R5" i="1"/>
  <c r="AK13" i="1" a="1"/>
  <c r="AK13" i="1" s="1"/>
  <c r="I13" i="8" s="1"/>
  <c r="K2" i="1"/>
  <c r="AF16" i="1"/>
  <c r="D16" i="8" s="1"/>
  <c r="AG14" i="1"/>
  <c r="F14" i="8" s="1"/>
  <c r="O5" i="1"/>
  <c r="W5" i="3"/>
  <c r="AL13" i="1" a="1"/>
  <c r="AL13" i="1" s="1"/>
  <c r="AG26" i="1"/>
  <c r="F26" i="8" s="1"/>
  <c r="N13" i="1"/>
  <c r="AG2" i="1"/>
  <c r="F2" i="8" s="1"/>
  <c r="U26" i="1"/>
  <c r="AJ20" i="1"/>
  <c r="O18" i="1"/>
  <c r="V16" i="1"/>
  <c r="P14" i="1"/>
  <c r="H13" i="1"/>
  <c r="AB4" i="1"/>
  <c r="AN18" i="1" a="1"/>
  <c r="AN18" i="1" s="1"/>
  <c r="J18" i="8" s="1"/>
  <c r="AD2" i="3"/>
  <c r="M22" i="3"/>
  <c r="AJ16" i="3"/>
  <c r="AH13" i="3"/>
  <c r="O4" i="3"/>
  <c r="R8" i="3"/>
  <c r="Y11" i="1"/>
  <c r="AJ8" i="1"/>
  <c r="E10" i="3" a="1"/>
  <c r="E10" i="3" s="1"/>
  <c r="Q25" i="3"/>
  <c r="S22" i="3"/>
  <c r="R18" i="3"/>
  <c r="M14" i="3"/>
  <c r="AJ11" i="3"/>
  <c r="N8" i="3"/>
  <c r="W11" i="1"/>
  <c r="AH8" i="1"/>
  <c r="G8" i="8" s="1"/>
  <c r="P25" i="3"/>
  <c r="R22" i="3"/>
  <c r="AI11" i="3"/>
  <c r="X11" i="3"/>
  <c r="S8" i="1"/>
  <c r="AH11" i="3"/>
  <c r="AG11" i="3"/>
  <c r="AA8" i="1"/>
  <c r="S26" i="1"/>
  <c r="F25" i="1"/>
  <c r="Z24" i="1"/>
  <c r="K24" i="8" s="1"/>
  <c r="N11" i="1"/>
  <c r="U11" i="3"/>
  <c r="AF26" i="3"/>
  <c r="AG22" i="3"/>
  <c r="R11" i="3"/>
  <c r="G26" i="1"/>
  <c r="AJ22" i="1"/>
  <c r="M22" i="1"/>
  <c r="AE19" i="1"/>
  <c r="C19" i="8" s="1"/>
  <c r="E19" i="8" s="1"/>
  <c r="N18" i="1"/>
  <c r="F14" i="1"/>
  <c r="K11" i="1"/>
  <c r="O8" i="1"/>
  <c r="M4" i="1"/>
  <c r="AO14" i="1" a="1"/>
  <c r="AO14" i="1" s="1"/>
  <c r="C21" i="3" a="1"/>
  <c r="C21" i="3" s="1"/>
  <c r="F17" i="3"/>
  <c r="AA26" i="3"/>
  <c r="AF22" i="3"/>
  <c r="Q17" i="3"/>
  <c r="AC14" i="3"/>
  <c r="P11" i="3"/>
  <c r="AF4" i="3"/>
  <c r="AM14" i="1" a="1"/>
  <c r="AM14" i="1" s="1"/>
  <c r="N2" i="1"/>
  <c r="F26" i="1"/>
  <c r="AI22" i="1"/>
  <c r="J22" i="1"/>
  <c r="Z19" i="1"/>
  <c r="K19" i="8" s="1"/>
  <c r="G18" i="1"/>
  <c r="AI14" i="1"/>
  <c r="AI13" i="1"/>
  <c r="G13" i="1"/>
  <c r="J11" i="1"/>
  <c r="M8" i="1"/>
  <c r="M5" i="1"/>
  <c r="K4" i="1"/>
  <c r="AN14" i="1" a="1"/>
  <c r="AN14" i="1" s="1"/>
  <c r="J14" i="8" s="1"/>
  <c r="F13" i="3"/>
  <c r="W26" i="3"/>
  <c r="AE22" i="3"/>
  <c r="J20" i="3"/>
  <c r="P17" i="3"/>
  <c r="AB14" i="3"/>
  <c r="V13" i="3"/>
  <c r="O11" i="3"/>
  <c r="AD4" i="3"/>
  <c r="O11" i="1"/>
  <c r="AM19" i="1" a="1"/>
  <c r="AM19" i="1" s="1"/>
  <c r="N11" i="3"/>
  <c r="V11" i="1"/>
  <c r="U11" i="1"/>
  <c r="T11" i="1"/>
  <c r="D4" i="3" a="1"/>
  <c r="D4" i="3" s="1"/>
  <c r="P8" i="1"/>
  <c r="F19" i="3"/>
  <c r="F11" i="3"/>
  <c r="G26" i="3"/>
  <c r="AC22" i="3"/>
  <c r="F8" i="3"/>
  <c r="AJ25" i="3"/>
  <c r="AB22" i="3"/>
  <c r="M11" i="3"/>
  <c r="AL21" i="1" a="1"/>
  <c r="AL21" i="1" s="1"/>
  <c r="AC25" i="1"/>
  <c r="AE22" i="1"/>
  <c r="C22" i="8" s="1"/>
  <c r="G22" i="1"/>
  <c r="S19" i="1"/>
  <c r="AH17" i="1"/>
  <c r="G17" i="8" s="1"/>
  <c r="AD14" i="1"/>
  <c r="L14" i="8" s="1"/>
  <c r="AI11" i="1"/>
  <c r="AI10" i="1"/>
  <c r="I8" i="1"/>
  <c r="I5" i="1"/>
  <c r="F4" i="1"/>
  <c r="AP11" i="1" a="1"/>
  <c r="AP11" i="1" s="1"/>
  <c r="D11" i="7" s="1"/>
  <c r="F5" i="3"/>
  <c r="AI25" i="3"/>
  <c r="Z22" i="3"/>
  <c r="Z19" i="3"/>
  <c r="U14" i="3"/>
  <c r="S13" i="3"/>
  <c r="K11" i="3"/>
  <c r="I4" i="3"/>
  <c r="AL26" i="1" a="1"/>
  <c r="AL26" i="1" s="1"/>
  <c r="J2" i="1"/>
  <c r="Z25" i="1"/>
  <c r="K25" i="8" s="1"/>
  <c r="AD22" i="1"/>
  <c r="L22" i="8" s="1"/>
  <c r="F22" i="1"/>
  <c r="R19" i="1"/>
  <c r="AE17" i="1"/>
  <c r="C17" i="8" s="1"/>
  <c r="X16" i="1"/>
  <c r="AA14" i="1"/>
  <c r="AD13" i="1"/>
  <c r="L13" i="8" s="1"/>
  <c r="AH11" i="1"/>
  <c r="G11" i="8" s="1"/>
  <c r="AH9" i="1"/>
  <c r="G9" i="8" s="1"/>
  <c r="AC7" i="1"/>
  <c r="H5" i="1"/>
  <c r="X3" i="1"/>
  <c r="AO11" i="1" a="1"/>
  <c r="AO11" i="1" s="1"/>
  <c r="E17" i="3" a="1"/>
  <c r="E17" i="3" s="1"/>
  <c r="F4" i="3"/>
  <c r="AH25" i="3"/>
  <c r="Y22" i="3"/>
  <c r="V19" i="3"/>
  <c r="AI16" i="3"/>
  <c r="S14" i="3"/>
  <c r="P13" i="3"/>
  <c r="I11" i="3"/>
  <c r="AK25" i="3" a="1"/>
  <c r="AK25" i="3" s="1"/>
  <c r="S11" i="1"/>
  <c r="Y11" i="3"/>
  <c r="Q26" i="1"/>
  <c r="K26" i="1"/>
  <c r="U8" i="1"/>
  <c r="J26" i="1"/>
  <c r="I26" i="1"/>
  <c r="AH25" i="1"/>
  <c r="G25" i="8" s="1"/>
  <c r="AH22" i="1"/>
  <c r="G22" i="8" s="1"/>
  <c r="I22" i="1"/>
  <c r="I11" i="1"/>
  <c r="AG19" i="3"/>
  <c r="U19" i="1"/>
  <c r="AJ11" i="1"/>
  <c r="F11" i="1"/>
  <c r="Y25" i="1"/>
  <c r="AC22" i="1"/>
  <c r="AH21" i="1"/>
  <c r="G21" i="8" s="1"/>
  <c r="O19" i="1"/>
  <c r="AC17" i="1"/>
  <c r="Z14" i="1"/>
  <c r="K14" i="8" s="1"/>
  <c r="AC13" i="1"/>
  <c r="AF11" i="1"/>
  <c r="D11" i="8" s="1"/>
  <c r="AD9" i="1"/>
  <c r="L9" i="8" s="1"/>
  <c r="AJ5" i="1"/>
  <c r="AJ4" i="1"/>
  <c r="AN11" i="1" a="1"/>
  <c r="AN11" i="1" s="1"/>
  <c r="J11" i="8" s="1"/>
  <c r="D17" i="3" a="1"/>
  <c r="D17" i="3" s="1"/>
  <c r="AH2" i="3"/>
  <c r="Z25" i="3"/>
  <c r="X22" i="3"/>
  <c r="G19" i="3"/>
  <c r="R14" i="3"/>
  <c r="K13" i="3"/>
  <c r="J9" i="3"/>
  <c r="AK14" i="3" a="1"/>
  <c r="AK14" i="3" s="1"/>
  <c r="Y8" i="1"/>
  <c r="V8" i="1"/>
  <c r="N22" i="1"/>
  <c r="L11" i="1"/>
  <c r="V19" i="1"/>
  <c r="K8" i="1"/>
  <c r="AG22" i="1"/>
  <c r="F22" i="8" s="1"/>
  <c r="H22" i="1"/>
  <c r="T27" i="1"/>
  <c r="V25" i="1"/>
  <c r="AB22" i="1"/>
  <c r="AF21" i="1"/>
  <c r="D21" i="8" s="1"/>
  <c r="I19" i="1"/>
  <c r="Y17" i="1"/>
  <c r="Y14" i="1"/>
  <c r="AB13" i="1"/>
  <c r="AC11" i="1"/>
  <c r="Z9" i="1"/>
  <c r="K9" i="8" s="1"/>
  <c r="AI5" i="1"/>
  <c r="AH4" i="1"/>
  <c r="G4" i="8" s="1"/>
  <c r="H4" i="8" s="1"/>
  <c r="AO9" i="1" a="1"/>
  <c r="AO9" i="1" s="1"/>
  <c r="C10" i="7" s="1"/>
  <c r="D14" i="3" a="1"/>
  <c r="D14" i="3" s="1"/>
  <c r="AG2" i="3"/>
  <c r="Y25" i="3"/>
  <c r="W22" i="3"/>
  <c r="AI18" i="3"/>
  <c r="P14" i="3"/>
  <c r="J13" i="3"/>
  <c r="AE8" i="3"/>
  <c r="AL2" i="3" a="1"/>
  <c r="AL2" i="3" s="1"/>
  <c r="E2" i="7" s="1"/>
  <c r="Z11" i="1"/>
  <c r="K11" i="8" s="1"/>
  <c r="AC8" i="1"/>
  <c r="AB11" i="3"/>
  <c r="Q11" i="1"/>
  <c r="V11" i="3"/>
  <c r="X24" i="1"/>
  <c r="Z23" i="1"/>
  <c r="K23" i="8" s="1"/>
  <c r="AF25" i="1"/>
  <c r="D25" i="8" s="1"/>
  <c r="J8" i="1"/>
  <c r="AA19" i="3"/>
  <c r="AH2" i="1"/>
  <c r="G2" i="8" s="1"/>
  <c r="AH26" i="1"/>
  <c r="G26" i="8" s="1"/>
  <c r="H26" i="8" s="1"/>
  <c r="U25" i="1"/>
  <c r="Z22" i="1"/>
  <c r="K22" i="8" s="1"/>
  <c r="AB21" i="1"/>
  <c r="F19" i="1"/>
  <c r="X17" i="1"/>
  <c r="X14" i="1"/>
  <c r="AA13" i="1"/>
  <c r="AA11" i="1"/>
  <c r="Q9" i="1"/>
  <c r="AH5" i="1"/>
  <c r="G5" i="8" s="1"/>
  <c r="AG4" i="1"/>
  <c r="F4" i="8" s="1"/>
  <c r="AN25" i="1" a="1"/>
  <c r="AN25" i="1" s="1"/>
  <c r="J25" i="8" s="1"/>
  <c r="AO8" i="1" a="1"/>
  <c r="AO8" i="1" s="1"/>
  <c r="C9" i="7" s="1"/>
  <c r="E27" i="3" a="1"/>
  <c r="E27" i="3" s="1"/>
  <c r="AE2" i="3"/>
  <c r="V25" i="3"/>
  <c r="U22" i="3"/>
  <c r="AC18" i="3"/>
  <c r="Y16" i="3"/>
  <c r="O14" i="3"/>
  <c r="I13" i="3"/>
  <c r="AA8" i="3"/>
  <c r="AL22" i="3" a="1"/>
  <c r="AL22" i="3" s="1"/>
  <c r="AK3" i="1" a="1"/>
  <c r="AK3" i="1" s="1"/>
  <c r="I3" i="8" s="1"/>
  <c r="L24" i="1"/>
  <c r="AK15" i="3" a="1"/>
  <c r="AK15" i="3" s="1"/>
  <c r="J2" i="9" s="1"/>
  <c r="L15" i="3"/>
  <c r="AF15" i="3"/>
  <c r="AP15" i="1" a="1"/>
  <c r="AP15" i="1" s="1"/>
  <c r="I15" i="1"/>
  <c r="K2" i="9" s="1"/>
  <c r="AC15" i="1"/>
  <c r="Q15" i="3"/>
  <c r="F15" i="3"/>
  <c r="Z15" i="1"/>
  <c r="K15" i="8" s="1"/>
  <c r="H15" i="3"/>
  <c r="AC15" i="3"/>
  <c r="R15" i="1"/>
  <c r="Z15" i="3"/>
  <c r="K15" i="1"/>
  <c r="AH15" i="1"/>
  <c r="G15" i="8" s="1"/>
  <c r="H15" i="8" s="1"/>
  <c r="AA15" i="3"/>
  <c r="AI15" i="1"/>
  <c r="L15" i="1"/>
  <c r="I15" i="3"/>
  <c r="AL15" i="3" a="1"/>
  <c r="AL15" i="3" s="1"/>
  <c r="K15" i="3"/>
  <c r="AI15" i="3"/>
  <c r="M15" i="3"/>
  <c r="AJ15" i="3"/>
  <c r="N15" i="3"/>
  <c r="U15" i="1"/>
  <c r="M2" i="9" s="1"/>
  <c r="P15" i="3"/>
  <c r="W15" i="1"/>
  <c r="R15" i="3"/>
  <c r="X15" i="1"/>
  <c r="W15" i="3"/>
  <c r="X15" i="3"/>
  <c r="W27" i="1"/>
  <c r="AC24" i="1"/>
  <c r="AG23" i="1"/>
  <c r="F23" i="8" s="1"/>
  <c r="H21" i="1"/>
  <c r="G20" i="1"/>
  <c r="G15" i="1"/>
  <c r="F2" i="9" s="1"/>
  <c r="I12" i="1"/>
  <c r="H10" i="1"/>
  <c r="AF7" i="1"/>
  <c r="D7" i="8" s="1"/>
  <c r="AE6" i="1"/>
  <c r="C6" i="8" s="1"/>
  <c r="AA3" i="1"/>
  <c r="AO6" i="1" a="1"/>
  <c r="AO6" i="1" s="1"/>
  <c r="C7" i="7" s="1"/>
  <c r="E8" i="3" a="1"/>
  <c r="E8" i="3" s="1"/>
  <c r="F23" i="3"/>
  <c r="T27" i="3"/>
  <c r="J26" i="3"/>
  <c r="AJ24" i="3"/>
  <c r="AB23" i="3"/>
  <c r="Y21" i="3"/>
  <c r="T20" i="3"/>
  <c r="K19" i="3"/>
  <c r="I18" i="3"/>
  <c r="S15" i="3"/>
  <c r="AA12" i="3"/>
  <c r="P9" i="3"/>
  <c r="H7" i="3"/>
  <c r="AK19" i="1" a="1"/>
  <c r="AK19" i="1" s="1"/>
  <c r="I19" i="8" s="1"/>
  <c r="V27" i="1"/>
  <c r="Y26" i="1"/>
  <c r="AB25" i="1"/>
  <c r="AB24" i="1"/>
  <c r="AD23" i="1"/>
  <c r="L23" i="8" s="1"/>
  <c r="G21" i="1"/>
  <c r="AJ19" i="1"/>
  <c r="G19" i="1"/>
  <c r="F18" i="1"/>
  <c r="F15" i="1"/>
  <c r="H12" i="1"/>
  <c r="G10" i="1"/>
  <c r="AE7" i="1"/>
  <c r="C7" i="8" s="1"/>
  <c r="AD6" i="1"/>
  <c r="L6" i="8" s="1"/>
  <c r="AP24" i="1" a="1"/>
  <c r="AP24" i="1" s="1"/>
  <c r="AO15" i="1" a="1"/>
  <c r="AO15" i="1" s="1"/>
  <c r="U2" i="3"/>
  <c r="Q27" i="3"/>
  <c r="I26" i="3"/>
  <c r="AF24" i="3"/>
  <c r="AA23" i="3"/>
  <c r="V21" i="3"/>
  <c r="S20" i="3"/>
  <c r="I19" i="3"/>
  <c r="AJ17" i="3"/>
  <c r="O15" i="3"/>
  <c r="Z12" i="3"/>
  <c r="M9" i="3"/>
  <c r="AF6" i="3"/>
  <c r="AL3" i="3" a="1"/>
  <c r="AL3" i="3" s="1"/>
  <c r="E4" i="7" s="1"/>
  <c r="L3" i="3"/>
  <c r="AF3" i="3"/>
  <c r="AP3" i="1" a="1"/>
  <c r="AP3" i="1" s="1"/>
  <c r="D4" i="7" s="1"/>
  <c r="U3" i="1"/>
  <c r="S3" i="3"/>
  <c r="S3" i="1"/>
  <c r="Y3" i="3"/>
  <c r="G3" i="3"/>
  <c r="AB3" i="3"/>
  <c r="I3" i="3"/>
  <c r="AD3" i="3"/>
  <c r="J3" i="3"/>
  <c r="AE3" i="3"/>
  <c r="K3" i="1"/>
  <c r="AF3" i="1"/>
  <c r="D3" i="8" s="1"/>
  <c r="N3" i="3"/>
  <c r="H3" i="1"/>
  <c r="AE3" i="1"/>
  <c r="C3" i="8" s="1"/>
  <c r="O3" i="3"/>
  <c r="I3" i="1"/>
  <c r="AG3" i="1"/>
  <c r="F3" i="8" s="1"/>
  <c r="P3" i="3"/>
  <c r="Q3" i="3"/>
  <c r="T3" i="3"/>
  <c r="U3" i="3"/>
  <c r="V3" i="3"/>
  <c r="W3" i="3"/>
  <c r="X3" i="3"/>
  <c r="R3" i="1"/>
  <c r="Z3" i="3"/>
  <c r="AA3" i="3"/>
  <c r="V3" i="1"/>
  <c r="AC3" i="3"/>
  <c r="W3" i="1"/>
  <c r="H3" i="3"/>
  <c r="AB3" i="1"/>
  <c r="K3" i="3"/>
  <c r="U27" i="1"/>
  <c r="AA24" i="1"/>
  <c r="AA23" i="1"/>
  <c r="F21" i="1"/>
  <c r="AJ15" i="1"/>
  <c r="F10" i="1"/>
  <c r="AD7" i="1"/>
  <c r="L7" i="8" s="1"/>
  <c r="AA6" i="1"/>
  <c r="Y3" i="1"/>
  <c r="AO24" i="1" a="1"/>
  <c r="AO24" i="1" s="1"/>
  <c r="AN15" i="1" a="1"/>
  <c r="AN15" i="1" s="1"/>
  <c r="J15" i="8" s="1"/>
  <c r="E21" i="3" a="1"/>
  <c r="E21" i="3" s="1"/>
  <c r="D8" i="3" a="1"/>
  <c r="D8" i="3" s="1"/>
  <c r="F20" i="3"/>
  <c r="M27" i="3"/>
  <c r="H26" i="3"/>
  <c r="AE24" i="3"/>
  <c r="Z23" i="3"/>
  <c r="T21" i="3"/>
  <c r="P20" i="3"/>
  <c r="H19" i="3"/>
  <c r="J15" i="3"/>
  <c r="U12" i="3"/>
  <c r="K9" i="3"/>
  <c r="AC6" i="3"/>
  <c r="K27" i="3"/>
  <c r="Y23" i="3"/>
  <c r="R12" i="3"/>
  <c r="AB6" i="3"/>
  <c r="AJ3" i="3"/>
  <c r="AK21" i="1" a="1"/>
  <c r="AK21" i="1" s="1"/>
  <c r="I21" i="8" s="1"/>
  <c r="S27" i="1"/>
  <c r="Y24" i="1"/>
  <c r="Y23" i="1"/>
  <c r="AG21" i="1"/>
  <c r="F21" i="8" s="1"/>
  <c r="AF15" i="1"/>
  <c r="D15" i="8" s="1"/>
  <c r="AJ12" i="1"/>
  <c r="AG10" i="1"/>
  <c r="F10" i="8" s="1"/>
  <c r="AE9" i="1"/>
  <c r="C9" i="8" s="1"/>
  <c r="AB7" i="1"/>
  <c r="Y6" i="1"/>
  <c r="T3" i="1"/>
  <c r="AO23" i="1" a="1"/>
  <c r="AO23" i="1" s="1"/>
  <c r="F18" i="3"/>
  <c r="J27" i="3"/>
  <c r="AC24" i="3"/>
  <c r="X23" i="3"/>
  <c r="Q21" i="3"/>
  <c r="K20" i="3"/>
  <c r="AJ18" i="3"/>
  <c r="Q12" i="3"/>
  <c r="AA6" i="3"/>
  <c r="AI3" i="3"/>
  <c r="W23" i="3"/>
  <c r="X6" i="3"/>
  <c r="AH3" i="3"/>
  <c r="A15" i="3" a="1"/>
  <c r="A15" i="3" s="1"/>
  <c r="D15" i="3" a="1"/>
  <c r="D15" i="3" s="1"/>
  <c r="W23" i="1"/>
  <c r="AE12" i="1"/>
  <c r="C12" i="8" s="1"/>
  <c r="AN3" i="1" a="1"/>
  <c r="AN3" i="1" s="1"/>
  <c r="J3" i="8" s="1"/>
  <c r="O12" i="3"/>
  <c r="O6" i="3"/>
  <c r="AG3" i="3"/>
  <c r="AF12" i="1"/>
  <c r="D12" i="8" s="1"/>
  <c r="E12" i="8" s="1"/>
  <c r="AA7" i="1"/>
  <c r="AO3" i="1" a="1"/>
  <c r="AO3" i="1" s="1"/>
  <c r="C4" i="7" s="1"/>
  <c r="I27" i="3"/>
  <c r="Z24" i="3"/>
  <c r="P21" i="3"/>
  <c r="P12" i="3"/>
  <c r="AI10" i="3"/>
  <c r="L9" i="3"/>
  <c r="AF9" i="3"/>
  <c r="F9" i="3"/>
  <c r="AP9" i="1" a="1"/>
  <c r="AP9" i="1" s="1"/>
  <c r="D10" i="7" s="1"/>
  <c r="O9" i="1"/>
  <c r="AI9" i="1"/>
  <c r="G9" i="3"/>
  <c r="AB9" i="3"/>
  <c r="W9" i="1"/>
  <c r="S9" i="3"/>
  <c r="T9" i="3"/>
  <c r="N9" i="1"/>
  <c r="AJ9" i="1"/>
  <c r="Q9" i="3"/>
  <c r="I9" i="1"/>
  <c r="AF9" i="1"/>
  <c r="D9" i="8" s="1"/>
  <c r="AK9" i="3" a="1"/>
  <c r="AK9" i="3" s="1"/>
  <c r="R9" i="3"/>
  <c r="AN9" i="1" a="1"/>
  <c r="AN9" i="1" s="1"/>
  <c r="J9" i="8" s="1"/>
  <c r="J9" i="1"/>
  <c r="AG9" i="1"/>
  <c r="F9" i="8" s="1"/>
  <c r="U9" i="3"/>
  <c r="AL9" i="3" a="1"/>
  <c r="AL9" i="3" s="1"/>
  <c r="E10" i="7" s="1"/>
  <c r="V9" i="3"/>
  <c r="X9" i="3"/>
  <c r="Z9" i="3"/>
  <c r="AA9" i="3"/>
  <c r="AC9" i="3"/>
  <c r="T9" i="1"/>
  <c r="AD9" i="3"/>
  <c r="AE9" i="3"/>
  <c r="V9" i="1"/>
  <c r="H9" i="3"/>
  <c r="AG9" i="3"/>
  <c r="X9" i="1"/>
  <c r="N9" i="3"/>
  <c r="F9" i="1"/>
  <c r="AC9" i="1"/>
  <c r="O9" i="3"/>
  <c r="AK23" i="1" a="1"/>
  <c r="AK23" i="1" s="1"/>
  <c r="I23" i="8" s="1"/>
  <c r="O27" i="1"/>
  <c r="U24" i="1"/>
  <c r="AE21" i="1"/>
  <c r="C21" i="8" s="1"/>
  <c r="AB20" i="1"/>
  <c r="AD15" i="1"/>
  <c r="L15" i="8" s="1"/>
  <c r="AE10" i="1"/>
  <c r="C10" i="8" s="1"/>
  <c r="AB9" i="1"/>
  <c r="X7" i="1"/>
  <c r="T6" i="1"/>
  <c r="P3" i="1"/>
  <c r="E13" i="3" a="1"/>
  <c r="E13" i="3" s="1"/>
  <c r="E6" i="3" a="1"/>
  <c r="E6" i="3" s="1"/>
  <c r="AI26" i="3"/>
  <c r="X24" i="3"/>
  <c r="S23" i="3"/>
  <c r="O21" i="3"/>
  <c r="I20" i="3"/>
  <c r="AH18" i="3"/>
  <c r="AE10" i="3"/>
  <c r="A4" i="3" a="1"/>
  <c r="A4" i="3" s="1"/>
  <c r="E4" i="3" a="1"/>
  <c r="E4" i="3" s="1"/>
  <c r="A14" i="3" a="1"/>
  <c r="A14" i="3" s="1"/>
  <c r="E14" i="3" a="1"/>
  <c r="E14" i="3" s="1"/>
  <c r="V8" i="3"/>
  <c r="F8" i="1"/>
  <c r="Z8" i="1"/>
  <c r="K8" i="8" s="1"/>
  <c r="P8" i="3"/>
  <c r="AN8" i="1" a="1"/>
  <c r="AN8" i="1" s="1"/>
  <c r="J8" i="8" s="1"/>
  <c r="L8" i="1"/>
  <c r="AG8" i="1"/>
  <c r="F8" i="8" s="1"/>
  <c r="G8" i="3"/>
  <c r="AB8" i="3"/>
  <c r="H8" i="3"/>
  <c r="AC8" i="3"/>
  <c r="X8" i="1"/>
  <c r="AK8" i="3" a="1"/>
  <c r="AK8" i="3" s="1"/>
  <c r="W8" i="3"/>
  <c r="AP8" i="1" a="1"/>
  <c r="AP8" i="1" s="1"/>
  <c r="D9" i="7" s="1"/>
  <c r="Q8" i="1"/>
  <c r="X8" i="3"/>
  <c r="R8" i="1"/>
  <c r="AL8" i="3" a="1"/>
  <c r="AL8" i="3" s="1"/>
  <c r="E9" i="7" s="1"/>
  <c r="Y8" i="3"/>
  <c r="Z8" i="3"/>
  <c r="AD8" i="3"/>
  <c r="AF8" i="3"/>
  <c r="I8" i="3"/>
  <c r="AG8" i="3"/>
  <c r="J8" i="3"/>
  <c r="AH8" i="3"/>
  <c r="AB8" i="1"/>
  <c r="AI8" i="3"/>
  <c r="K8" i="3"/>
  <c r="L8" i="3"/>
  <c r="AJ8" i="3"/>
  <c r="G8" i="1"/>
  <c r="AD8" i="1"/>
  <c r="L8" i="8" s="1"/>
  <c r="M8" i="3"/>
  <c r="H8" i="1"/>
  <c r="AE8" i="1"/>
  <c r="C8" i="8" s="1"/>
  <c r="E8" i="8" s="1"/>
  <c r="S8" i="3"/>
  <c r="N8" i="1"/>
  <c r="T8" i="3"/>
  <c r="AM23" i="1" a="1"/>
  <c r="AM23" i="1" s="1"/>
  <c r="R26" i="1"/>
  <c r="R25" i="1"/>
  <c r="S24" i="1"/>
  <c r="V23" i="1"/>
  <c r="AC21" i="1"/>
  <c r="AA20" i="1"/>
  <c r="AD19" i="1"/>
  <c r="L19" i="8" s="1"/>
  <c r="AB18" i="1"/>
  <c r="Z17" i="1"/>
  <c r="K17" i="8" s="1"/>
  <c r="AB15" i="1"/>
  <c r="AD12" i="1"/>
  <c r="L12" i="8" s="1"/>
  <c r="AD10" i="1"/>
  <c r="L10" i="8" s="1"/>
  <c r="AA9" i="1"/>
  <c r="W8" i="1"/>
  <c r="R6" i="1"/>
  <c r="O3" i="1"/>
  <c r="AO12" i="1" a="1"/>
  <c r="AO12" i="1" s="1"/>
  <c r="C12" i="7" s="1"/>
  <c r="C13" i="3" a="1"/>
  <c r="C13" i="3" s="1"/>
  <c r="N2" i="3"/>
  <c r="W24" i="3"/>
  <c r="P23" i="3"/>
  <c r="N21" i="3"/>
  <c r="AI19" i="3"/>
  <c r="AG18" i="3"/>
  <c r="W17" i="3"/>
  <c r="AD10" i="3"/>
  <c r="U8" i="3"/>
  <c r="R3" i="3"/>
  <c r="V6" i="3"/>
  <c r="H6" i="1"/>
  <c r="AB6" i="1"/>
  <c r="M6" i="3"/>
  <c r="AH6" i="3"/>
  <c r="K6" i="1"/>
  <c r="AF6" i="1"/>
  <c r="D6" i="8" s="1"/>
  <c r="S6" i="3"/>
  <c r="Y6" i="3"/>
  <c r="Z6" i="3"/>
  <c r="F6" i="3"/>
  <c r="W6" i="1"/>
  <c r="AL6" i="3" a="1"/>
  <c r="AL6" i="3" s="1"/>
  <c r="E7" i="7" s="1"/>
  <c r="H6" i="3"/>
  <c r="AG6" i="3"/>
  <c r="I6" i="1"/>
  <c r="AG6" i="1"/>
  <c r="F6" i="8" s="1"/>
  <c r="I6" i="3"/>
  <c r="AI6" i="3"/>
  <c r="J6" i="1"/>
  <c r="AH6" i="1"/>
  <c r="G6" i="8" s="1"/>
  <c r="J6" i="3"/>
  <c r="AJ6" i="3"/>
  <c r="K6" i="3"/>
  <c r="N6" i="3"/>
  <c r="P6" i="3"/>
  <c r="Q6" i="3"/>
  <c r="R6" i="3"/>
  <c r="S6" i="1"/>
  <c r="T6" i="3"/>
  <c r="U6" i="3"/>
  <c r="U6" i="1"/>
  <c r="W6" i="3"/>
  <c r="AN6" i="1" a="1"/>
  <c r="AN6" i="1" s="1"/>
  <c r="J6" i="8" s="1"/>
  <c r="V6" i="1"/>
  <c r="AD6" i="3"/>
  <c r="AC6" i="1"/>
  <c r="AE6" i="3"/>
  <c r="L27" i="3"/>
  <c r="AF27" i="3"/>
  <c r="AO27" i="1" a="1"/>
  <c r="AO27" i="1" s="1"/>
  <c r="AL27" i="3" a="1"/>
  <c r="AL27" i="3" s="1"/>
  <c r="O27" i="3"/>
  <c r="AJ27" i="3"/>
  <c r="Y27" i="1"/>
  <c r="AA27" i="3"/>
  <c r="F27" i="3"/>
  <c r="R27" i="3"/>
  <c r="Z27" i="1"/>
  <c r="K27" i="8" s="1"/>
  <c r="S27" i="3"/>
  <c r="F27" i="1"/>
  <c r="AA27" i="1"/>
  <c r="AB27" i="3"/>
  <c r="N27" i="1"/>
  <c r="AI27" i="1"/>
  <c r="G27" i="3"/>
  <c r="AD27" i="3"/>
  <c r="P27" i="1"/>
  <c r="H27" i="3"/>
  <c r="AE27" i="3"/>
  <c r="Q27" i="1"/>
  <c r="N27" i="3"/>
  <c r="P27" i="3"/>
  <c r="T23" i="1"/>
  <c r="M3" i="3"/>
  <c r="V12" i="3"/>
  <c r="V12" i="1"/>
  <c r="W12" i="3"/>
  <c r="N12" i="1"/>
  <c r="AI12" i="1"/>
  <c r="AK12" i="3" a="1"/>
  <c r="AK12" i="3" s="1"/>
  <c r="N12" i="3"/>
  <c r="AI12" i="3"/>
  <c r="AN12" i="1" a="1"/>
  <c r="AN12" i="1" s="1"/>
  <c r="J12" i="8" s="1"/>
  <c r="F12" i="1"/>
  <c r="AA12" i="1"/>
  <c r="X12" i="3"/>
  <c r="J12" i="1"/>
  <c r="AG12" i="1"/>
  <c r="F12" i="8" s="1"/>
  <c r="Y12" i="3"/>
  <c r="K12" i="1"/>
  <c r="AH12" i="1"/>
  <c r="G12" i="8" s="1"/>
  <c r="H12" i="8" s="1"/>
  <c r="AL12" i="3" a="1"/>
  <c r="AL12" i="3" s="1"/>
  <c r="E12" i="7" s="1"/>
  <c r="AC12" i="3"/>
  <c r="H12" i="3"/>
  <c r="AE12" i="3"/>
  <c r="I12" i="3"/>
  <c r="AF12" i="3"/>
  <c r="J12" i="3"/>
  <c r="AG12" i="3"/>
  <c r="F12" i="3"/>
  <c r="T12" i="1"/>
  <c r="L12" i="3"/>
  <c r="AJ12" i="3"/>
  <c r="AP12" i="1" a="1"/>
  <c r="AP12" i="1" s="1"/>
  <c r="W12" i="1"/>
  <c r="M12" i="3"/>
  <c r="X12" i="1"/>
  <c r="S12" i="3"/>
  <c r="G12" i="1"/>
  <c r="T12" i="3"/>
  <c r="V10" i="3"/>
  <c r="X10" i="1"/>
  <c r="S10" i="3"/>
  <c r="M10" i="1"/>
  <c r="AH10" i="1"/>
  <c r="G10" i="8" s="1"/>
  <c r="AK10" i="3" a="1"/>
  <c r="AK10" i="3" s="1"/>
  <c r="J10" i="3"/>
  <c r="K10" i="3"/>
  <c r="AF10" i="3"/>
  <c r="Z10" i="1"/>
  <c r="K10" i="8" s="1"/>
  <c r="M10" i="3"/>
  <c r="AJ10" i="3"/>
  <c r="Y10" i="1"/>
  <c r="N10" i="3"/>
  <c r="AA10" i="1"/>
  <c r="O10" i="3"/>
  <c r="P10" i="3"/>
  <c r="R10" i="3"/>
  <c r="U10" i="3"/>
  <c r="W10" i="3"/>
  <c r="X10" i="3"/>
  <c r="L10" i="1"/>
  <c r="AJ10" i="1"/>
  <c r="Z10" i="3"/>
  <c r="O10" i="1"/>
  <c r="AA10" i="3"/>
  <c r="P10" i="1"/>
  <c r="H10" i="3"/>
  <c r="AG10" i="3"/>
  <c r="U10" i="1"/>
  <c r="I10" i="3"/>
  <c r="AH10" i="3"/>
  <c r="Q24" i="1"/>
  <c r="AC12" i="1"/>
  <c r="Q6" i="1"/>
  <c r="N3" i="1"/>
  <c r="V26" i="3"/>
  <c r="X26" i="3"/>
  <c r="AO26" i="1" a="1"/>
  <c r="AO26" i="1" s="1"/>
  <c r="P26" i="1"/>
  <c r="AJ26" i="1"/>
  <c r="AK26" i="3" a="1"/>
  <c r="AK26" i="3" s="1"/>
  <c r="O26" i="3"/>
  <c r="AJ26" i="3"/>
  <c r="H26" i="1"/>
  <c r="Y26" i="3"/>
  <c r="N26" i="1"/>
  <c r="AI26" i="1"/>
  <c r="AM26" i="1" a="1"/>
  <c r="AM26" i="1" s="1"/>
  <c r="Z26" i="3"/>
  <c r="O26" i="1"/>
  <c r="K26" i="3"/>
  <c r="AH26" i="3"/>
  <c r="X26" i="1"/>
  <c r="M26" i="3"/>
  <c r="AN26" i="1" a="1"/>
  <c r="AN26" i="1" s="1"/>
  <c r="J26" i="8" s="1"/>
  <c r="Z26" i="1"/>
  <c r="K26" i="8" s="1"/>
  <c r="N26" i="3"/>
  <c r="AP26" i="1" a="1"/>
  <c r="AP26" i="1" s="1"/>
  <c r="AA26" i="1"/>
  <c r="AL26" i="3" a="1"/>
  <c r="AL26" i="3" s="1"/>
  <c r="T26" i="3"/>
  <c r="U26" i="3"/>
  <c r="A21" i="1" a="1"/>
  <c r="A21" i="1" s="1"/>
  <c r="P8" i="9" s="1"/>
  <c r="C8" i="9" s="1"/>
  <c r="M26" i="1"/>
  <c r="Y15" i="1"/>
  <c r="AE26" i="3"/>
  <c r="S24" i="3"/>
  <c r="I21" i="3"/>
  <c r="AE19" i="3"/>
  <c r="Z18" i="3"/>
  <c r="U17" i="3"/>
  <c r="AB10" i="3"/>
  <c r="Q8" i="3"/>
  <c r="L7" i="3"/>
  <c r="AF7" i="3"/>
  <c r="Q7" i="1"/>
  <c r="Y7" i="3"/>
  <c r="V7" i="1"/>
  <c r="AK7" i="3" a="1"/>
  <c r="AK7" i="3" s="1"/>
  <c r="P7" i="3"/>
  <c r="Q7" i="3"/>
  <c r="M7" i="1"/>
  <c r="AH7" i="1"/>
  <c r="G7" i="8" s="1"/>
  <c r="AB7" i="3"/>
  <c r="Y7" i="1"/>
  <c r="AL7" i="3" a="1"/>
  <c r="AL7" i="3" s="1"/>
  <c r="E8" i="7" s="1"/>
  <c r="AC7" i="3"/>
  <c r="Z7" i="1"/>
  <c r="K7" i="8" s="1"/>
  <c r="AD7" i="3"/>
  <c r="G7" i="3"/>
  <c r="AE7" i="3"/>
  <c r="I7" i="3"/>
  <c r="AH7" i="3"/>
  <c r="K7" i="3"/>
  <c r="AJ7" i="3"/>
  <c r="M7" i="3"/>
  <c r="N7" i="3"/>
  <c r="K7" i="1"/>
  <c r="AI7" i="1"/>
  <c r="O7" i="3"/>
  <c r="R7" i="3"/>
  <c r="N7" i="1"/>
  <c r="S7" i="3"/>
  <c r="O7" i="1"/>
  <c r="X7" i="3"/>
  <c r="AP7" i="1" a="1"/>
  <c r="AP7" i="1" s="1"/>
  <c r="D8" i="7" s="1"/>
  <c r="U7" i="1"/>
  <c r="Z7" i="3"/>
  <c r="L27" i="1"/>
  <c r="AC10" i="1"/>
  <c r="T7" i="1"/>
  <c r="F10" i="3"/>
  <c r="U24" i="3"/>
  <c r="O23" i="3"/>
  <c r="M21" i="3"/>
  <c r="G12" i="3"/>
  <c r="G6" i="3"/>
  <c r="A26" i="3" a="1"/>
  <c r="A26" i="3" s="1"/>
  <c r="C26" i="3" a="1"/>
  <c r="C26" i="3" s="1"/>
  <c r="K27" i="1"/>
  <c r="P24" i="1"/>
  <c r="Q23" i="1"/>
  <c r="AA21" i="1"/>
  <c r="Y20" i="1"/>
  <c r="X19" i="1"/>
  <c r="AB12" i="1"/>
  <c r="AB10" i="1"/>
  <c r="Y9" i="1"/>
  <c r="S7" i="1"/>
  <c r="P6" i="1"/>
  <c r="M3" i="1"/>
  <c r="AN21" i="1" a="1"/>
  <c r="AN21" i="1" s="1"/>
  <c r="J21" i="8" s="1"/>
  <c r="E18" i="3" a="1"/>
  <c r="E18" i="3" s="1"/>
  <c r="N23" i="3"/>
  <c r="D7" i="3" a="1"/>
  <c r="D7" i="3" s="1"/>
  <c r="C7" i="3" a="1"/>
  <c r="C7" i="3" s="1"/>
  <c r="L25" i="3"/>
  <c r="AF25" i="3"/>
  <c r="K25" i="3"/>
  <c r="AG25" i="3"/>
  <c r="G25" i="1"/>
  <c r="AA25" i="1"/>
  <c r="X25" i="3"/>
  <c r="S25" i="1"/>
  <c r="G25" i="3"/>
  <c r="AD25" i="3"/>
  <c r="W25" i="1"/>
  <c r="H25" i="3"/>
  <c r="AE25" i="3"/>
  <c r="F25" i="3"/>
  <c r="X25" i="1"/>
  <c r="R25" i="3"/>
  <c r="AP25" i="1" a="1"/>
  <c r="AP25" i="1" s="1"/>
  <c r="K25" i="1"/>
  <c r="AG25" i="1"/>
  <c r="F25" i="8" s="1"/>
  <c r="T25" i="3"/>
  <c r="M25" i="1"/>
  <c r="AI25" i="1"/>
  <c r="AL25" i="3" a="1"/>
  <c r="AL25" i="3" s="1"/>
  <c r="U25" i="3"/>
  <c r="N25" i="1"/>
  <c r="AJ25" i="1"/>
  <c r="AA25" i="3"/>
  <c r="AB25" i="3"/>
  <c r="A15" i="1" a="1"/>
  <c r="A15" i="1" s="1"/>
  <c r="P2" i="9" s="1"/>
  <c r="C2" i="9" s="1"/>
  <c r="A25" i="3" a="1"/>
  <c r="A25" i="3" s="1"/>
  <c r="E25" i="3" a="1"/>
  <c r="E25" i="3" s="1"/>
  <c r="C25" i="3" a="1"/>
  <c r="C25" i="3" s="1"/>
  <c r="J27" i="1"/>
  <c r="L26" i="1"/>
  <c r="O25" i="1"/>
  <c r="O24" i="1"/>
  <c r="P23" i="1"/>
  <c r="X21" i="1"/>
  <c r="X20" i="1"/>
  <c r="W19" i="1"/>
  <c r="W18" i="1"/>
  <c r="W17" i="1"/>
  <c r="V15" i="1"/>
  <c r="N2" i="9" s="1"/>
  <c r="Z12" i="1"/>
  <c r="K12" i="8" s="1"/>
  <c r="W10" i="1"/>
  <c r="U9" i="1"/>
  <c r="T8" i="1"/>
  <c r="R7" i="1"/>
  <c r="O6" i="1"/>
  <c r="L3" i="1"/>
  <c r="AP20" i="1" a="1"/>
  <c r="AP20" i="1" s="1"/>
  <c r="D18" i="3" a="1"/>
  <c r="D18" i="3" s="1"/>
  <c r="E5" i="3" a="1"/>
  <c r="E5" i="3" s="1"/>
  <c r="F7" i="3"/>
  <c r="AI27" i="3"/>
  <c r="AD26" i="3"/>
  <c r="W25" i="3"/>
  <c r="M23" i="3"/>
  <c r="AJ20" i="3"/>
  <c r="AD19" i="3"/>
  <c r="Y18" i="3"/>
  <c r="S17" i="3"/>
  <c r="Y10" i="3"/>
  <c r="O8" i="3"/>
  <c r="AK27" i="3" a="1"/>
  <c r="AK27" i="3" s="1"/>
  <c r="Z6" i="1"/>
  <c r="K6" i="8" s="1"/>
  <c r="V24" i="3"/>
  <c r="T24" i="3"/>
  <c r="R24" i="1"/>
  <c r="L24" i="3"/>
  <c r="AG24" i="3"/>
  <c r="AN24" i="1" a="1"/>
  <c r="AN24" i="1" s="1"/>
  <c r="J24" i="8" s="1"/>
  <c r="J24" i="1"/>
  <c r="AD24" i="1"/>
  <c r="L24" i="8" s="1"/>
  <c r="M24" i="8" s="1"/>
  <c r="N24" i="3"/>
  <c r="F24" i="3"/>
  <c r="I24" i="1"/>
  <c r="AF24" i="1"/>
  <c r="D24" i="8" s="1"/>
  <c r="O24" i="3"/>
  <c r="K24" i="1"/>
  <c r="AG24" i="1"/>
  <c r="F24" i="8" s="1"/>
  <c r="Y24" i="3"/>
  <c r="T24" i="1"/>
  <c r="AL24" i="3" a="1"/>
  <c r="AL24" i="3" s="1"/>
  <c r="AA24" i="3"/>
  <c r="V24" i="1"/>
  <c r="AB24" i="3"/>
  <c r="W24" i="1"/>
  <c r="J24" i="3"/>
  <c r="AH24" i="3"/>
  <c r="K24" i="3"/>
  <c r="AI24" i="3"/>
  <c r="AJ27" i="1"/>
  <c r="I27" i="1"/>
  <c r="N24" i="1"/>
  <c r="O23" i="1"/>
  <c r="T21" i="1"/>
  <c r="W20" i="1"/>
  <c r="T15" i="1"/>
  <c r="L2" i="9" s="1"/>
  <c r="Y12" i="1"/>
  <c r="V10" i="1"/>
  <c r="S9" i="1"/>
  <c r="P7" i="1"/>
  <c r="N6" i="1"/>
  <c r="J3" i="1"/>
  <c r="AO20" i="1" a="1"/>
  <c r="AO20" i="1" s="1"/>
  <c r="AP10" i="1" a="1"/>
  <c r="AP10" i="1" s="1"/>
  <c r="D5" i="7" s="1"/>
  <c r="D5" i="3" a="1"/>
  <c r="D5" i="3" s="1"/>
  <c r="AH27" i="3"/>
  <c r="AC26" i="3"/>
  <c r="Q24" i="3"/>
  <c r="AH20" i="3"/>
  <c r="AC19" i="3"/>
  <c r="AH15" i="3"/>
  <c r="T10" i="3"/>
  <c r="AL23" i="3" a="1"/>
  <c r="AL23" i="3" s="1"/>
  <c r="L23" i="3"/>
  <c r="AF23" i="3"/>
  <c r="H23" i="3"/>
  <c r="AC23" i="3"/>
  <c r="I23" i="1"/>
  <c r="AC23" i="1"/>
  <c r="U23" i="3"/>
  <c r="U23" i="1"/>
  <c r="T23" i="3"/>
  <c r="R23" i="1"/>
  <c r="V23" i="3"/>
  <c r="S23" i="1"/>
  <c r="G23" i="3"/>
  <c r="AE23" i="3"/>
  <c r="F23" i="1"/>
  <c r="AB23" i="1"/>
  <c r="J23" i="3"/>
  <c r="AH23" i="3"/>
  <c r="H23" i="1"/>
  <c r="AE23" i="1"/>
  <c r="C23" i="8" s="1"/>
  <c r="AK23" i="3" a="1"/>
  <c r="AK23" i="3" s="1"/>
  <c r="K23" i="3"/>
  <c r="AI23" i="3"/>
  <c r="J23" i="1"/>
  <c r="AF23" i="1"/>
  <c r="D23" i="8" s="1"/>
  <c r="Q23" i="3"/>
  <c r="R23" i="3"/>
  <c r="AH27" i="1"/>
  <c r="G27" i="8" s="1"/>
  <c r="H27" i="1"/>
  <c r="M24" i="1"/>
  <c r="N23" i="1"/>
  <c r="S21" i="1"/>
  <c r="V20" i="1"/>
  <c r="S15" i="1"/>
  <c r="U12" i="1"/>
  <c r="T10" i="1"/>
  <c r="R9" i="1"/>
  <c r="L7" i="1"/>
  <c r="M6" i="1"/>
  <c r="G3" i="1"/>
  <c r="AO10" i="1" a="1"/>
  <c r="AO10" i="1" s="1"/>
  <c r="C5" i="7" s="1"/>
  <c r="D11" i="3" a="1"/>
  <c r="D11" i="3" s="1"/>
  <c r="AG27" i="3"/>
  <c r="AB26" i="3"/>
  <c r="P24" i="3"/>
  <c r="AG20" i="3"/>
  <c r="U18" i="3"/>
  <c r="AG15" i="3"/>
  <c r="Q10" i="3"/>
  <c r="AI7" i="3"/>
  <c r="AK24" i="3" a="1"/>
  <c r="AK24" i="3" s="1"/>
  <c r="L6" i="1"/>
  <c r="AN10" i="1" a="1"/>
  <c r="AN10" i="1" s="1"/>
  <c r="J10" i="8" s="1"/>
  <c r="F3" i="3"/>
  <c r="AC27" i="3"/>
  <c r="M24" i="3"/>
  <c r="AF20" i="3"/>
  <c r="AE15" i="3"/>
  <c r="L10" i="3"/>
  <c r="AG7" i="3"/>
  <c r="Z27" i="3"/>
  <c r="I24" i="3"/>
  <c r="AC20" i="3"/>
  <c r="AD15" i="3"/>
  <c r="G10" i="3"/>
  <c r="AA7" i="3"/>
  <c r="AK6" i="3" a="1"/>
  <c r="AK6" i="3" s="1"/>
  <c r="AF27" i="1"/>
  <c r="D27" i="8" s="1"/>
  <c r="H24" i="3"/>
  <c r="X6" i="1"/>
  <c r="Q3" i="1"/>
  <c r="G27" i="1"/>
  <c r="M23" i="1"/>
  <c r="A11" i="3" a="1"/>
  <c r="A11" i="3" s="1"/>
  <c r="E11" i="3" a="1"/>
  <c r="E11" i="3" s="1"/>
  <c r="Q21" i="1"/>
  <c r="P15" i="1"/>
  <c r="R12" i="1"/>
  <c r="R10" i="1"/>
  <c r="G24" i="1"/>
  <c r="K23" i="1"/>
  <c r="P20" i="1"/>
  <c r="O15" i="1"/>
  <c r="A19" i="1" a="1"/>
  <c r="A19" i="1" s="1"/>
  <c r="P6" i="9" s="1"/>
  <c r="C6" i="9" s="1"/>
  <c r="L19" i="3"/>
  <c r="AF19" i="3"/>
  <c r="Y19" i="1"/>
  <c r="W19" i="3"/>
  <c r="H19" i="1"/>
  <c r="AC19" i="1"/>
  <c r="AL19" i="3" a="1"/>
  <c r="AL19" i="3" s="1"/>
  <c r="O19" i="3"/>
  <c r="AJ19" i="3"/>
  <c r="T19" i="1"/>
  <c r="X19" i="3"/>
  <c r="AA19" i="1"/>
  <c r="Y19" i="3"/>
  <c r="AB19" i="1"/>
  <c r="AK19" i="3" a="1"/>
  <c r="AK19" i="3" s="1"/>
  <c r="J19" i="3"/>
  <c r="AH19" i="3"/>
  <c r="N19" i="1"/>
  <c r="M19" i="3"/>
  <c r="P19" i="1"/>
  <c r="N19" i="3"/>
  <c r="AO19" i="1" a="1"/>
  <c r="AO19" i="1" s="1"/>
  <c r="Q19" i="1"/>
  <c r="T19" i="3"/>
  <c r="U19" i="3"/>
  <c r="AM6" i="1" a="1"/>
  <c r="AM6" i="1" s="1"/>
  <c r="AD27" i="1"/>
  <c r="L27" i="8" s="1"/>
  <c r="AF26" i="1"/>
  <c r="D26" i="8" s="1"/>
  <c r="F24" i="1"/>
  <c r="O20" i="1"/>
  <c r="M19" i="1"/>
  <c r="P12" i="1"/>
  <c r="N10" i="1"/>
  <c r="L9" i="1"/>
  <c r="G7" i="1"/>
  <c r="AI3" i="1"/>
  <c r="AP27" i="1" a="1"/>
  <c r="AP27" i="1" s="1"/>
  <c r="X27" i="3"/>
  <c r="R26" i="3"/>
  <c r="G24" i="3"/>
  <c r="AG21" i="3"/>
  <c r="Y20" i="3"/>
  <c r="S19" i="3"/>
  <c r="N18" i="3"/>
  <c r="Y15" i="3"/>
  <c r="AI9" i="3"/>
  <c r="V7" i="3"/>
  <c r="AF10" i="1"/>
  <c r="D10" i="8" s="1"/>
  <c r="AN23" i="1" a="1"/>
  <c r="AN23" i="1" s="1"/>
  <c r="J23" i="8" s="1"/>
  <c r="F3" i="1"/>
  <c r="L23" i="1"/>
  <c r="I7" i="1"/>
  <c r="P21" i="1"/>
  <c r="Q12" i="1"/>
  <c r="Q10" i="1"/>
  <c r="F6" i="1"/>
  <c r="AJ3" i="1"/>
  <c r="A24" i="3" a="1"/>
  <c r="A24" i="3" s="1"/>
  <c r="C24" i="3" a="1"/>
  <c r="C24" i="3" s="1"/>
  <c r="AC27" i="1"/>
  <c r="AE26" i="1"/>
  <c r="C26" i="8" s="1"/>
  <c r="AI24" i="1"/>
  <c r="M20" i="1"/>
  <c r="M15" i="1"/>
  <c r="K10" i="1"/>
  <c r="K9" i="1"/>
  <c r="AN27" i="1" a="1"/>
  <c r="AN27" i="1" s="1"/>
  <c r="J27" i="8" s="1"/>
  <c r="W27" i="3"/>
  <c r="Q26" i="3"/>
  <c r="AJ23" i="3"/>
  <c r="R19" i="3"/>
  <c r="M18" i="3"/>
  <c r="V15" i="3"/>
  <c r="AH12" i="3"/>
  <c r="AH9" i="3"/>
  <c r="U7" i="3"/>
  <c r="A9" i="3" a="1"/>
  <c r="A9" i="3" s="1"/>
  <c r="C9" i="3" a="1"/>
  <c r="C9" i="3" s="1"/>
  <c r="AG27" i="1"/>
  <c r="F27" i="8" s="1"/>
  <c r="S12" i="1"/>
  <c r="S10" i="1"/>
  <c r="J7" i="1"/>
  <c r="L21" i="3"/>
  <c r="AF21" i="3"/>
  <c r="AO21" i="1" a="1"/>
  <c r="AO21" i="1" s="1"/>
  <c r="W21" i="1"/>
  <c r="Z21" i="3"/>
  <c r="I21" i="1"/>
  <c r="AD21" i="1"/>
  <c r="L21" i="8" s="1"/>
  <c r="R21" i="3"/>
  <c r="U21" i="1"/>
  <c r="J21" i="3"/>
  <c r="AH21" i="3"/>
  <c r="L21" i="1"/>
  <c r="AI21" i="1"/>
  <c r="K21" i="3"/>
  <c r="AI21" i="3"/>
  <c r="M21" i="1"/>
  <c r="AJ21" i="1"/>
  <c r="AL21" i="3" a="1"/>
  <c r="AL21" i="3" s="1"/>
  <c r="U21" i="3"/>
  <c r="V21" i="1"/>
  <c r="AK21" i="3" a="1"/>
  <c r="AK21" i="3" s="1"/>
  <c r="W21" i="3"/>
  <c r="Y21" i="1"/>
  <c r="X21" i="3"/>
  <c r="Z21" i="1"/>
  <c r="K21" i="8" s="1"/>
  <c r="G21" i="3"/>
  <c r="AD21" i="3"/>
  <c r="F21" i="3"/>
  <c r="AP21" i="1" a="1"/>
  <c r="AP21" i="1" s="1"/>
  <c r="H21" i="3"/>
  <c r="AE21" i="3"/>
  <c r="H24" i="1"/>
  <c r="G6" i="1"/>
  <c r="V20" i="3"/>
  <c r="N20" i="1"/>
  <c r="AH20" i="1"/>
  <c r="G20" i="8" s="1"/>
  <c r="AK20" i="3" a="1"/>
  <c r="AK20" i="3" s="1"/>
  <c r="N20" i="3"/>
  <c r="AI20" i="3"/>
  <c r="AN20" i="1" a="1"/>
  <c r="AN20" i="1" s="1"/>
  <c r="J20" i="8" s="1"/>
  <c r="S20" i="1"/>
  <c r="AA20" i="3"/>
  <c r="J20" i="1"/>
  <c r="AE20" i="1"/>
  <c r="C20" i="8" s="1"/>
  <c r="Q20" i="3"/>
  <c r="T20" i="1"/>
  <c r="R20" i="3"/>
  <c r="U20" i="1"/>
  <c r="AL20" i="3" a="1"/>
  <c r="AL20" i="3" s="1"/>
  <c r="AB20" i="3"/>
  <c r="F20" i="1"/>
  <c r="AC20" i="1"/>
  <c r="G20" i="3"/>
  <c r="AD20" i="3"/>
  <c r="H20" i="1"/>
  <c r="AF20" i="1"/>
  <c r="D20" i="8" s="1"/>
  <c r="H20" i="3"/>
  <c r="AE20" i="3"/>
  <c r="I20" i="1"/>
  <c r="AG20" i="1"/>
  <c r="F20" i="8" s="1"/>
  <c r="M20" i="3"/>
  <c r="O20" i="3"/>
  <c r="M9" i="1"/>
  <c r="H7" i="1"/>
  <c r="S26" i="3"/>
  <c r="AJ21" i="3"/>
  <c r="Z20" i="3"/>
  <c r="AB15" i="3"/>
  <c r="AJ9" i="3"/>
  <c r="W7" i="3"/>
  <c r="AK3" i="3" a="1"/>
  <c r="AK3" i="3" s="1"/>
  <c r="G23" i="1"/>
  <c r="N15" i="1"/>
  <c r="A17" i="1" a="1"/>
  <c r="A17" i="1" s="1"/>
  <c r="P4" i="9" s="1"/>
  <c r="C4" i="9" s="1"/>
  <c r="L17" i="3"/>
  <c r="AF17" i="3"/>
  <c r="G17" i="1"/>
  <c r="AA17" i="1"/>
  <c r="T17" i="3"/>
  <c r="F17" i="1"/>
  <c r="AB17" i="1"/>
  <c r="K17" i="3"/>
  <c r="AG17" i="3"/>
  <c r="AP17" i="1" a="1"/>
  <c r="AP17" i="1" s="1"/>
  <c r="S17" i="1"/>
  <c r="N17" i="3"/>
  <c r="R17" i="1"/>
  <c r="O17" i="3"/>
  <c r="T17" i="1"/>
  <c r="AL17" i="3" a="1"/>
  <c r="AL17" i="3" s="1"/>
  <c r="AK17" i="3" a="1"/>
  <c r="AK17" i="3" s="1"/>
  <c r="X17" i="3"/>
  <c r="AD17" i="1"/>
  <c r="L17" i="8" s="1"/>
  <c r="Z17" i="3"/>
  <c r="I17" i="1"/>
  <c r="AF17" i="1"/>
  <c r="D17" i="8" s="1"/>
  <c r="AA17" i="3"/>
  <c r="J17" i="1"/>
  <c r="AG17" i="1"/>
  <c r="F17" i="8" s="1"/>
  <c r="I17" i="3"/>
  <c r="AH17" i="3"/>
  <c r="J17" i="3"/>
  <c r="AI17" i="3"/>
  <c r="AB27" i="1"/>
  <c r="AE25" i="1"/>
  <c r="C25" i="8" s="1"/>
  <c r="E25" i="8" s="1"/>
  <c r="AI23" i="1"/>
  <c r="L20" i="1"/>
  <c r="J18" i="1"/>
  <c r="J15" i="1"/>
  <c r="M12" i="1"/>
  <c r="H9" i="1"/>
  <c r="AD3" i="1"/>
  <c r="L3" i="8" s="1"/>
  <c r="M3" i="8" s="1"/>
  <c r="C3" i="3" a="1"/>
  <c r="C3" i="3" s="1"/>
  <c r="V27" i="3"/>
  <c r="J25" i="3"/>
  <c r="AB21" i="3"/>
  <c r="W20" i="3"/>
  <c r="Q19" i="3"/>
  <c r="U15" i="3"/>
  <c r="Y9" i="3"/>
  <c r="T7" i="3"/>
  <c r="E16" i="3" a="1"/>
  <c r="E16" i="3" s="1"/>
  <c r="C16" i="3" a="1"/>
  <c r="C16" i="3" s="1"/>
  <c r="R27" i="1"/>
  <c r="X23" i="1"/>
  <c r="A12" i="3" a="1"/>
  <c r="A12" i="3" s="1"/>
  <c r="C12" i="3" a="1"/>
  <c r="C12" i="3" s="1"/>
  <c r="D12" i="3" a="1"/>
  <c r="D12" i="3" s="1"/>
  <c r="AL6" i="1" a="1"/>
  <c r="AL6" i="1" s="1"/>
  <c r="AE27" i="1"/>
  <c r="C27" i="8" s="1"/>
  <c r="Y27" i="3"/>
  <c r="AJ24" i="1"/>
  <c r="O21" i="1"/>
  <c r="V18" i="3"/>
  <c r="P18" i="1"/>
  <c r="AJ18" i="1"/>
  <c r="K18" i="3"/>
  <c r="AF18" i="3"/>
  <c r="R18" i="1"/>
  <c r="AL18" i="3" a="1"/>
  <c r="AL18" i="3" s="1"/>
  <c r="X18" i="3"/>
  <c r="I18" i="1"/>
  <c r="AD18" i="1"/>
  <c r="L18" i="8" s="1"/>
  <c r="M18" i="8" s="1"/>
  <c r="G18" i="3"/>
  <c r="AD18" i="3"/>
  <c r="K18" i="1"/>
  <c r="AH18" i="1"/>
  <c r="G18" i="8" s="1"/>
  <c r="H18" i="8" s="1"/>
  <c r="H18" i="3"/>
  <c r="AE18" i="3"/>
  <c r="L18" i="1"/>
  <c r="AI18" i="1"/>
  <c r="AK18" i="3" a="1"/>
  <c r="AK18" i="3" s="1"/>
  <c r="Q18" i="3"/>
  <c r="AP18" i="1" a="1"/>
  <c r="AP18" i="1" s="1"/>
  <c r="V18" i="1"/>
  <c r="S18" i="3"/>
  <c r="X18" i="1"/>
  <c r="T18" i="3"/>
  <c r="Y18" i="1"/>
  <c r="AA18" i="3"/>
  <c r="AB18" i="3"/>
  <c r="AJ23" i="1"/>
  <c r="N21" i="1"/>
  <c r="L19" i="1"/>
  <c r="M18" i="1"/>
  <c r="O12" i="1"/>
  <c r="F7" i="1"/>
  <c r="AH3" i="1"/>
  <c r="G3" i="8" s="1"/>
  <c r="AO7" i="1" a="1"/>
  <c r="AO7" i="1" s="1"/>
  <c r="C8" i="7" s="1"/>
  <c r="E3" i="3" a="1"/>
  <c r="E3" i="3" s="1"/>
  <c r="A23" i="3" a="1"/>
  <c r="A23" i="3" s="1"/>
  <c r="D23" i="3" a="1"/>
  <c r="D23" i="3" s="1"/>
  <c r="C23" i="3" a="1"/>
  <c r="C23" i="3" s="1"/>
  <c r="AD26" i="1"/>
  <c r="L26" i="8" s="1"/>
  <c r="AH24" i="1"/>
  <c r="G24" i="8" s="1"/>
  <c r="K21" i="1"/>
  <c r="K19" i="1"/>
  <c r="L17" i="1"/>
  <c r="J10" i="1"/>
  <c r="AJ7" i="1"/>
  <c r="AJ6" i="1"/>
  <c r="AN7" i="1" a="1"/>
  <c r="AN7" i="1" s="1"/>
  <c r="J7" i="8" s="1"/>
  <c r="E9" i="3" a="1"/>
  <c r="E9" i="3" s="1"/>
  <c r="P26" i="3"/>
  <c r="AG23" i="3"/>
  <c r="AD12" i="3"/>
  <c r="W2" i="3"/>
  <c r="AB2" i="3"/>
  <c r="O2" i="1"/>
  <c r="AI2" i="1"/>
  <c r="S2" i="3"/>
  <c r="L2" i="3"/>
  <c r="AI2" i="3"/>
  <c r="Q2" i="1"/>
  <c r="AM2" i="1" a="1"/>
  <c r="AM2" i="1" s="1"/>
  <c r="M2" i="3"/>
  <c r="AJ2" i="3"/>
  <c r="R2" i="1"/>
  <c r="V2" i="3"/>
  <c r="Z2" i="1"/>
  <c r="K2" i="8" s="1"/>
  <c r="Y2" i="3"/>
  <c r="G2" i="1"/>
  <c r="AB2" i="1"/>
  <c r="Z2" i="3"/>
  <c r="H2" i="1"/>
  <c r="AC2" i="1"/>
  <c r="I2" i="3"/>
  <c r="AF2" i="3"/>
  <c r="AN2" i="1" a="1"/>
  <c r="AN2" i="1" s="1"/>
  <c r="J2" i="8" s="1"/>
  <c r="J2" i="3"/>
  <c r="V16" i="3"/>
  <c r="R16" i="1"/>
  <c r="H16" i="3"/>
  <c r="AC16" i="3"/>
  <c r="P16" i="1"/>
  <c r="AL16" i="3" a="1"/>
  <c r="AL16" i="3" s="1"/>
  <c r="T16" i="3"/>
  <c r="H16" i="1"/>
  <c r="AC16" i="1"/>
  <c r="S16" i="3"/>
  <c r="Z16" i="1"/>
  <c r="K16" i="8" s="1"/>
  <c r="M16" i="8" s="1"/>
  <c r="U16" i="3"/>
  <c r="AN16" i="1" a="1"/>
  <c r="AN16" i="1" s="1"/>
  <c r="J16" i="8" s="1"/>
  <c r="AA16" i="1"/>
  <c r="AK16" i="3" a="1"/>
  <c r="AK16" i="3" s="1"/>
  <c r="AB16" i="3"/>
  <c r="AD16" i="3"/>
  <c r="G16" i="3"/>
  <c r="AE16" i="3"/>
  <c r="M16" i="1"/>
  <c r="AJ16" i="1"/>
  <c r="AL16" i="1" a="1"/>
  <c r="AL16" i="1" s="1"/>
  <c r="J16" i="3"/>
  <c r="AG16" i="3"/>
  <c r="O16" i="1"/>
  <c r="K16" i="3"/>
  <c r="AH16" i="3"/>
  <c r="F16" i="3"/>
  <c r="Q16" i="1"/>
  <c r="P16" i="3"/>
  <c r="Q16" i="3"/>
  <c r="W2" i="1"/>
  <c r="X27" i="1"/>
  <c r="AC26" i="1"/>
  <c r="AD25" i="1"/>
  <c r="L25" i="8" s="1"/>
  <c r="M25" i="8" s="1"/>
  <c r="AE24" i="1"/>
  <c r="C24" i="8" s="1"/>
  <c r="AH23" i="1"/>
  <c r="G23" i="8" s="1"/>
  <c r="J21" i="1"/>
  <c r="K20" i="1"/>
  <c r="J19" i="1"/>
  <c r="H18" i="1"/>
  <c r="K17" i="1"/>
  <c r="I16" i="1"/>
  <c r="H15" i="1"/>
  <c r="L12" i="1"/>
  <c r="I10" i="1"/>
  <c r="G9" i="1"/>
  <c r="AG7" i="1"/>
  <c r="F7" i="8" s="1"/>
  <c r="AI6" i="1"/>
  <c r="AC3" i="1"/>
  <c r="AO25" i="1" a="1"/>
  <c r="AO25" i="1" s="1"/>
  <c r="AP16" i="1" a="1"/>
  <c r="AP16" i="1" s="1"/>
  <c r="AP6" i="1" a="1"/>
  <c r="AP6" i="1" s="1"/>
  <c r="D7" i="7" s="1"/>
  <c r="D22" i="3" a="1"/>
  <c r="D22" i="3" s="1"/>
  <c r="E15" i="3" a="1"/>
  <c r="E15" i="3" s="1"/>
  <c r="D9" i="3" a="1"/>
  <c r="D9" i="3" s="1"/>
  <c r="F26" i="3"/>
  <c r="AA2" i="3"/>
  <c r="U27" i="3"/>
  <c r="L26" i="3"/>
  <c r="I25" i="3"/>
  <c r="AD23" i="3"/>
  <c r="AA21" i="3"/>
  <c r="U20" i="3"/>
  <c r="P19" i="3"/>
  <c r="J18" i="3"/>
  <c r="AF16" i="3"/>
  <c r="T15" i="3"/>
  <c r="AB12" i="3"/>
  <c r="W9" i="3"/>
  <c r="J7" i="3"/>
  <c r="AL10" i="3" a="1"/>
  <c r="AL10" i="3" s="1"/>
  <c r="E5" i="7" s="1"/>
  <c r="AE14" i="3"/>
  <c r="H14" i="3"/>
  <c r="O13" i="3"/>
  <c r="AA11" i="3"/>
  <c r="AJ5" i="3"/>
  <c r="AI4" i="3"/>
  <c r="H4" i="3"/>
  <c r="AK5" i="3" a="1"/>
  <c r="AK5" i="3" s="1"/>
  <c r="T4" i="1"/>
  <c r="AP14" i="1" a="1"/>
  <c r="AP14" i="1" s="1"/>
  <c r="E20" i="3" a="1"/>
  <c r="E20" i="3" s="1"/>
  <c r="AD14" i="3"/>
  <c r="M13" i="3"/>
  <c r="Z11" i="3"/>
  <c r="AG5" i="3"/>
  <c r="AH4" i="3"/>
  <c r="G4" i="3"/>
  <c r="AK4" i="3" a="1"/>
  <c r="AK4" i="3" s="1"/>
  <c r="V14" i="3"/>
  <c r="T14" i="1"/>
  <c r="AL14" i="3" a="1"/>
  <c r="AL14" i="3" s="1"/>
  <c r="Z14" i="3"/>
  <c r="O14" i="1"/>
  <c r="AJ14" i="1"/>
  <c r="Q14" i="3"/>
  <c r="G14" i="1"/>
  <c r="AB14" i="1"/>
  <c r="AK14" i="1" a="1"/>
  <c r="AK14" i="1" s="1"/>
  <c r="I14" i="8" s="1"/>
  <c r="AF14" i="1"/>
  <c r="D14" i="8" s="1"/>
  <c r="I14" i="1"/>
  <c r="P13" i="1"/>
  <c r="AE11" i="1"/>
  <c r="C11" i="8" s="1"/>
  <c r="E11" i="8" s="1"/>
  <c r="H11" i="1"/>
  <c r="AD5" i="1"/>
  <c r="L5" i="8" s="1"/>
  <c r="G5" i="1"/>
  <c r="O4" i="1"/>
  <c r="AN13" i="1" a="1"/>
  <c r="AN13" i="1" s="1"/>
  <c r="J13" i="8" s="1"/>
  <c r="X14" i="3"/>
  <c r="AD13" i="3"/>
  <c r="T11" i="3"/>
  <c r="V4" i="3"/>
  <c r="J4" i="1"/>
  <c r="AD4" i="1"/>
  <c r="L4" i="8" s="1"/>
  <c r="M4" i="8" s="1"/>
  <c r="AL4" i="3" a="1"/>
  <c r="AL4" i="3" s="1"/>
  <c r="E3" i="7" s="1"/>
  <c r="J4" i="3"/>
  <c r="AE4" i="3"/>
  <c r="I4" i="1"/>
  <c r="AE4" i="1"/>
  <c r="C4" i="8" s="1"/>
  <c r="P4" i="3"/>
  <c r="S4" i="3"/>
  <c r="U4" i="3"/>
  <c r="W4" i="3"/>
  <c r="V4" i="1"/>
  <c r="AL5" i="1" a="1"/>
  <c r="AL5" i="1" s="1"/>
  <c r="L5" i="3"/>
  <c r="AF5" i="3"/>
  <c r="S5" i="1"/>
  <c r="AL5" i="3" a="1"/>
  <c r="AL5" i="3" s="1"/>
  <c r="E6" i="7" s="1"/>
  <c r="V5" i="3"/>
  <c r="U5" i="1"/>
  <c r="G5" i="3"/>
  <c r="AB5" i="3"/>
  <c r="J5" i="3"/>
  <c r="AE5" i="3"/>
  <c r="M5" i="3"/>
  <c r="AH5" i="3"/>
  <c r="N5" i="3"/>
  <c r="AI5" i="3"/>
  <c r="AO5" i="1" a="1"/>
  <c r="AO5" i="1" s="1"/>
  <c r="C6" i="7" s="1"/>
  <c r="L5" i="1"/>
  <c r="AG5" i="1"/>
  <c r="F5" i="8" s="1"/>
  <c r="H5" i="8" s="1"/>
  <c r="A19" i="3" a="1"/>
  <c r="A19" i="3" s="1"/>
  <c r="D19" i="3" a="1"/>
  <c r="D19" i="3" s="1"/>
  <c r="L13" i="3"/>
  <c r="AF13" i="3"/>
  <c r="K13" i="1"/>
  <c r="AE13" i="1"/>
  <c r="C13" i="8" s="1"/>
  <c r="E13" i="8" s="1"/>
  <c r="AL13" i="3" a="1"/>
  <c r="AL13" i="3" s="1"/>
  <c r="E13" i="7" s="1"/>
  <c r="N13" i="3"/>
  <c r="AI13" i="3"/>
  <c r="Y13" i="1"/>
  <c r="Z13" i="3"/>
  <c r="Q13" i="1"/>
  <c r="AL14" i="1" a="1"/>
  <c r="AL14" i="1" s="1"/>
  <c r="AE14" i="1"/>
  <c r="C14" i="8" s="1"/>
  <c r="H14" i="1"/>
  <c r="O13" i="1"/>
  <c r="AD11" i="1"/>
  <c r="L11" i="8" s="1"/>
  <c r="G11" i="1"/>
  <c r="AC5" i="1"/>
  <c r="F5" i="1"/>
  <c r="N4" i="1"/>
  <c r="AP5" i="1" a="1"/>
  <c r="AP5" i="1" s="1"/>
  <c r="D6" i="7" s="1"/>
  <c r="C19" i="3" a="1"/>
  <c r="C19" i="3" s="1"/>
  <c r="C10" i="3" a="1"/>
  <c r="C10" i="3" s="1"/>
  <c r="F14" i="3"/>
  <c r="P22" i="3"/>
  <c r="W14" i="3"/>
  <c r="AC13" i="3"/>
  <c r="X5" i="3"/>
  <c r="AA4" i="3"/>
  <c r="AK22" i="3" a="1"/>
  <c r="AK22" i="3" s="1"/>
  <c r="Z4" i="3"/>
  <c r="L11" i="3"/>
  <c r="AF11" i="3"/>
  <c r="M11" i="1"/>
  <c r="AG11" i="1"/>
  <c r="F11" i="8" s="1"/>
  <c r="J11" i="3"/>
  <c r="AE11" i="3"/>
  <c r="X11" i="1"/>
  <c r="AL11" i="3" a="1"/>
  <c r="AL11" i="3" s="1"/>
  <c r="E11" i="7" s="1"/>
  <c r="W11" i="3"/>
  <c r="P11" i="1"/>
  <c r="AC14" i="1"/>
  <c r="AJ13" i="1"/>
  <c r="M13" i="1"/>
  <c r="AB11" i="1"/>
  <c r="AA5" i="1"/>
  <c r="AI4" i="1"/>
  <c r="L4" i="1"/>
  <c r="AP4" i="1" a="1"/>
  <c r="AP4" i="1" s="1"/>
  <c r="D3" i="7" s="1"/>
  <c r="T14" i="3"/>
  <c r="AA13" i="3"/>
  <c r="Q11" i="3"/>
  <c r="U5" i="3"/>
  <c r="Y4" i="3"/>
  <c r="T5" i="3"/>
  <c r="X4" i="3"/>
  <c r="S5" i="3"/>
  <c r="T4" i="3"/>
  <c r="R4" i="3"/>
  <c r="Q5" i="3"/>
  <c r="Q4" i="3"/>
  <c r="O5" i="3"/>
  <c r="N4" i="3"/>
  <c r="AK13" i="3" a="1"/>
  <c r="AK13" i="3" s="1"/>
  <c r="H11" i="3"/>
  <c r="K5" i="3"/>
  <c r="M4" i="3"/>
  <c r="AK11" i="3" a="1"/>
  <c r="AK11" i="3" s="1"/>
  <c r="Q5" i="1"/>
  <c r="Y4" i="1"/>
  <c r="AH14" i="3"/>
  <c r="K14" i="3"/>
  <c r="R13" i="3"/>
  <c r="AD11" i="3"/>
  <c r="G11" i="3"/>
  <c r="I5" i="3"/>
  <c r="L4" i="3"/>
  <c r="V22" i="3"/>
  <c r="L22" i="1"/>
  <c r="Q22" i="3"/>
  <c r="T22" i="1"/>
  <c r="I22" i="3"/>
  <c r="AD22" i="3"/>
  <c r="K22" i="1"/>
  <c r="AF22" i="1"/>
  <c r="D22" i="8" s="1"/>
  <c r="AA22" i="1"/>
  <c r="R14" i="1"/>
  <c r="Z13" i="1"/>
  <c r="K13" i="8" s="1"/>
  <c r="R11" i="1"/>
  <c r="P5" i="1"/>
  <c r="X4" i="1"/>
  <c r="AA22" i="3"/>
  <c r="AG14" i="3"/>
  <c r="J14" i="3"/>
  <c r="Q13" i="3"/>
  <c r="AC11" i="3"/>
  <c r="H5" i="3"/>
  <c r="K4" i="3"/>
  <c r="H19" i="8"/>
  <c r="AL12" i="1" a="1"/>
  <c r="AL12" i="1" s="1"/>
  <c r="AM25" i="1" a="1"/>
  <c r="AM25" i="1" s="1"/>
  <c r="C26" i="1" a="1"/>
  <c r="C26" i="1" s="1"/>
  <c r="AK6" i="1" a="1"/>
  <c r="AK6" i="1" s="1"/>
  <c r="I6" i="8" s="1"/>
  <c r="AM12" i="1" a="1"/>
  <c r="AM12" i="1" s="1"/>
  <c r="AL19" i="1" a="1"/>
  <c r="AL19" i="1" s="1"/>
  <c r="AK26" i="1" a="1"/>
  <c r="AK26" i="1" s="1"/>
  <c r="I26" i="8" s="1"/>
  <c r="AK7" i="1" a="1"/>
  <c r="AK7" i="1" s="1"/>
  <c r="I7" i="8" s="1"/>
  <c r="AL20" i="1" a="1"/>
  <c r="AL20" i="1" s="1"/>
  <c r="AK27" i="1" a="1"/>
  <c r="AK27" i="1" s="1"/>
  <c r="I27" i="8" s="1"/>
  <c r="AM7" i="1" a="1"/>
  <c r="AM7" i="1" s="1"/>
  <c r="AM27" i="1" a="1"/>
  <c r="AM27" i="1" s="1"/>
  <c r="A14" i="1" a="1"/>
  <c r="A14" i="1" s="1"/>
  <c r="AL8" i="1" a="1"/>
  <c r="AL8" i="1" s="1"/>
  <c r="AK15" i="1" a="1"/>
  <c r="AK15" i="1" s="1"/>
  <c r="AM21" i="1" a="1"/>
  <c r="AM21" i="1" s="1"/>
  <c r="AL27" i="1" a="1"/>
  <c r="AL27" i="1" s="1"/>
  <c r="AM8" i="1" a="1"/>
  <c r="AM8" i="1" s="1"/>
  <c r="AL15" i="1" a="1"/>
  <c r="AL15" i="1" s="1"/>
  <c r="H2" i="9" s="1"/>
  <c r="AK22" i="1" a="1"/>
  <c r="AK22" i="1" s="1"/>
  <c r="I22" i="8" s="1"/>
  <c r="AK9" i="1" a="1"/>
  <c r="AK9" i="1" s="1"/>
  <c r="I9" i="8" s="1"/>
  <c r="AM15" i="1" a="1"/>
  <c r="AM15" i="1" s="1"/>
  <c r="I2" i="9" s="1"/>
  <c r="AL22" i="1" a="1"/>
  <c r="AL22" i="1" s="1"/>
  <c r="AK8" i="1" a="1"/>
  <c r="AK8" i="1" s="1"/>
  <c r="I8" i="8" s="1"/>
  <c r="AL9" i="1" a="1"/>
  <c r="AL9" i="1" s="1"/>
  <c r="AK16" i="1" a="1"/>
  <c r="AK16" i="1" s="1"/>
  <c r="I16" i="8" s="1"/>
  <c r="AM22" i="1" a="1"/>
  <c r="AM22" i="1" s="1"/>
  <c r="E27" i="1" a="1"/>
  <c r="E27" i="1" s="1"/>
  <c r="AM20" i="1" a="1"/>
  <c r="AM20" i="1" s="1"/>
  <c r="AM9" i="1" a="1"/>
  <c r="AM9" i="1" s="1"/>
  <c r="AL3" i="1" a="1"/>
  <c r="AL3" i="1" s="1"/>
  <c r="AK10" i="1" a="1"/>
  <c r="AK10" i="1" s="1"/>
  <c r="I10" i="8" s="1"/>
  <c r="AM16" i="1" a="1"/>
  <c r="AM16" i="1" s="1"/>
  <c r="AL23" i="1" a="1"/>
  <c r="AL23" i="1" s="1"/>
  <c r="D27" i="1" a="1"/>
  <c r="D27" i="1" s="1"/>
  <c r="C27" i="1" a="1"/>
  <c r="C27" i="1" s="1"/>
  <c r="AK4" i="1" a="1"/>
  <c r="AK4" i="1" s="1"/>
  <c r="I4" i="8" s="1"/>
  <c r="AM10" i="1" a="1"/>
  <c r="AM10" i="1" s="1"/>
  <c r="AL17" i="1" a="1"/>
  <c r="AL17" i="1" s="1"/>
  <c r="AK24" i="1" a="1"/>
  <c r="AK24" i="1" s="1"/>
  <c r="I24" i="8" s="1"/>
  <c r="AL7" i="1" a="1"/>
  <c r="AL7" i="1" s="1"/>
  <c r="AL4" i="1" a="1"/>
  <c r="AL4" i="1" s="1"/>
  <c r="AK11" i="1" a="1"/>
  <c r="AK11" i="1" s="1"/>
  <c r="I11" i="8" s="1"/>
  <c r="AM17" i="1" a="1"/>
  <c r="AM17" i="1" s="1"/>
  <c r="AL24" i="1" a="1"/>
  <c r="AL24" i="1" s="1"/>
  <c r="AM3" i="1" a="1"/>
  <c r="AM3" i="1" s="1"/>
  <c r="AL10" i="1" a="1"/>
  <c r="AL10" i="1" s="1"/>
  <c r="AK17" i="1" a="1"/>
  <c r="AK17" i="1" s="1"/>
  <c r="I17" i="8" s="1"/>
  <c r="AM4" i="1" a="1"/>
  <c r="AM4" i="1" s="1"/>
  <c r="AL11" i="1" a="1"/>
  <c r="AL11" i="1" s="1"/>
  <c r="AK18" i="1" a="1"/>
  <c r="AK18" i="1" s="1"/>
  <c r="I18" i="8" s="1"/>
  <c r="AM24" i="1" a="1"/>
  <c r="AM24" i="1" s="1"/>
  <c r="E26" i="1" a="1"/>
  <c r="E26" i="1" s="1"/>
  <c r="AK5" i="1" a="1"/>
  <c r="AK5" i="1" s="1"/>
  <c r="I5" i="8" s="1"/>
  <c r="AM11" i="1" a="1"/>
  <c r="AM11" i="1" s="1"/>
  <c r="AL18" i="1" a="1"/>
  <c r="AL18" i="1" s="1"/>
  <c r="AK25" i="1" a="1"/>
  <c r="AK25" i="1" s="1"/>
  <c r="I25" i="8" s="1"/>
  <c r="AK12" i="1" a="1"/>
  <c r="AK12" i="1" s="1"/>
  <c r="I12" i="8" s="1"/>
  <c r="AM18" i="1" a="1"/>
  <c r="AM18" i="1" s="1"/>
  <c r="AL25" i="1" a="1"/>
  <c r="AL25" i="1" s="1"/>
  <c r="D26" i="1" a="1"/>
  <c r="D26" i="1" s="1"/>
  <c r="A11" i="1" a="1"/>
  <c r="A11" i="1" s="1"/>
  <c r="A26" i="1" a="1"/>
  <c r="A26" i="1" s="1"/>
  <c r="A27" i="1" a="1"/>
  <c r="A27" i="1" s="1"/>
  <c r="A25" i="1" a="1"/>
  <c r="A25" i="1" s="1"/>
  <c r="A13" i="1" a="1"/>
  <c r="A13" i="1" s="1"/>
  <c r="A8" i="1" a="1"/>
  <c r="A8" i="1" s="1"/>
  <c r="A7" i="1" a="1"/>
  <c r="A7" i="1" s="1"/>
  <c r="A18" i="1" a="1"/>
  <c r="A18" i="1" s="1"/>
  <c r="P5" i="9" s="1"/>
  <c r="C5" i="9" s="1"/>
  <c r="A16" i="1" a="1"/>
  <c r="A16" i="1" s="1"/>
  <c r="P3" i="9" s="1"/>
  <c r="C3" i="9" s="1"/>
  <c r="A12" i="1" a="1"/>
  <c r="A12" i="1" s="1"/>
  <c r="A20" i="1" a="1"/>
  <c r="A20" i="1" s="1"/>
  <c r="P7" i="9" s="1"/>
  <c r="C7" i="9" s="1"/>
  <c r="A10" i="1" a="1"/>
  <c r="A10" i="1" s="1"/>
  <c r="A9" i="1" a="1"/>
  <c r="A9" i="1" s="1"/>
  <c r="A24" i="1" a="1"/>
  <c r="A24" i="1" s="1"/>
  <c r="A23" i="1" a="1"/>
  <c r="A23" i="1" s="1"/>
  <c r="P10" i="9" s="1"/>
  <c r="C10" i="9" s="1"/>
  <c r="A22" i="1" a="1"/>
  <c r="A22" i="1" s="1"/>
  <c r="P9" i="9" s="1"/>
  <c r="C9" i="9" s="1"/>
  <c r="D15" i="1" a="1"/>
  <c r="D15" i="1" s="1"/>
  <c r="E17" i="1" a="1"/>
  <c r="E17" i="1" s="1"/>
  <c r="C19" i="1" a="1"/>
  <c r="C19" i="1" s="1"/>
  <c r="C14" i="1" a="1"/>
  <c r="C14" i="1" s="1"/>
  <c r="E15" i="1" a="1"/>
  <c r="E15" i="1" s="1"/>
  <c r="E14" i="1" a="1"/>
  <c r="E14" i="1" s="1"/>
  <c r="D19" i="1" a="1"/>
  <c r="D19" i="1" s="1"/>
  <c r="D14" i="1" a="1"/>
  <c r="D14" i="1" s="1"/>
  <c r="C24" i="1" a="1"/>
  <c r="C24" i="1" s="1"/>
  <c r="E21" i="1" a="1"/>
  <c r="E21" i="1" s="1"/>
  <c r="D21" i="1" a="1"/>
  <c r="D21" i="1" s="1"/>
  <c r="D18" i="1" a="1"/>
  <c r="D18" i="1" s="1"/>
  <c r="E18" i="1" a="1"/>
  <c r="E18" i="1" s="1"/>
  <c r="D17" i="1" a="1"/>
  <c r="D17" i="1" s="1"/>
  <c r="E22" i="1" a="1"/>
  <c r="E22" i="1" s="1"/>
  <c r="A17" i="3" a="1"/>
  <c r="A17" i="3" s="1"/>
  <c r="A16" i="3" a="1"/>
  <c r="A16" i="3" s="1"/>
  <c r="C17" i="1" a="1"/>
  <c r="C17" i="1" s="1"/>
  <c r="C22" i="1" a="1"/>
  <c r="C22" i="1" s="1"/>
  <c r="C21" i="1" a="1"/>
  <c r="C21" i="1" s="1"/>
  <c r="C20" i="1" a="1"/>
  <c r="C20" i="1" s="1"/>
  <c r="E23" i="1" a="1"/>
  <c r="E23" i="1" s="1"/>
  <c r="C16" i="1" a="1"/>
  <c r="C16" i="1" s="1"/>
  <c r="D16" i="1" a="1"/>
  <c r="D16" i="1" s="1"/>
  <c r="D23" i="1" a="1"/>
  <c r="D23" i="1" s="1"/>
  <c r="E16" i="1" a="1"/>
  <c r="E16" i="1" s="1"/>
  <c r="D22" i="1" a="1"/>
  <c r="D22" i="1" s="1"/>
  <c r="E20" i="1" a="1"/>
  <c r="E20" i="1" s="1"/>
  <c r="E24" i="1" a="1"/>
  <c r="E24" i="1" s="1"/>
  <c r="C23" i="1" a="1"/>
  <c r="C23" i="1" s="1"/>
  <c r="D20" i="1" a="1"/>
  <c r="D20" i="1" s="1"/>
  <c r="C18" i="1" a="1"/>
  <c r="C18" i="1" s="1"/>
  <c r="D24" i="1" a="1"/>
  <c r="D24" i="1" s="1"/>
  <c r="C15" i="1" a="1"/>
  <c r="C15" i="1" s="1"/>
  <c r="E19" i="1" a="1"/>
  <c r="E19" i="1" s="1"/>
  <c r="A21" i="3" a="1"/>
  <c r="A21" i="3" s="1"/>
  <c r="A20" i="3" a="1"/>
  <c r="A20" i="3" s="1"/>
  <c r="A18" i="3" a="1"/>
  <c r="A18" i="3" s="1"/>
  <c r="B9" i="7"/>
  <c r="D12" i="7"/>
  <c r="B3" i="7"/>
  <c r="C11" i="7"/>
  <c r="D2" i="7"/>
  <c r="C13" i="1" a="1"/>
  <c r="C13" i="1" s="1"/>
  <c r="D13" i="1" a="1"/>
  <c r="D13" i="1" s="1"/>
  <c r="C7" i="1" a="1"/>
  <c r="C7" i="1" s="1"/>
  <c r="D7" i="1" a="1"/>
  <c r="D7" i="1" s="1"/>
  <c r="E7" i="1" a="1"/>
  <c r="E7" i="1" s="1"/>
  <c r="D12" i="1" a="1"/>
  <c r="D12" i="1" s="1"/>
  <c r="E12" i="1" a="1"/>
  <c r="E12" i="1" s="1"/>
  <c r="E13" i="1" a="1"/>
  <c r="E13" i="1" s="1"/>
  <c r="A5" i="1" a="1"/>
  <c r="A5" i="1" s="1"/>
  <c r="A4" i="1" a="1"/>
  <c r="A4" i="1" s="1"/>
  <c r="D5" i="1" a="1"/>
  <c r="D5" i="1" s="1"/>
  <c r="E5" i="1" a="1"/>
  <c r="E5" i="1" s="1"/>
  <c r="C12" i="1" a="1"/>
  <c r="C12" i="1" s="1"/>
  <c r="F2" i="3"/>
  <c r="G2" i="3"/>
  <c r="D2" i="1" a="1"/>
  <c r="D2" i="1" s="1"/>
  <c r="C9" i="1" a="1"/>
  <c r="C9" i="1" s="1"/>
  <c r="A3" i="3" a="1"/>
  <c r="A3" i="3" s="1"/>
  <c r="D6" i="1" a="1"/>
  <c r="D6" i="1" s="1"/>
  <c r="D8" i="1" a="1"/>
  <c r="D8" i="1" s="1"/>
  <c r="E2" i="1" a="1"/>
  <c r="E2" i="1" s="1"/>
  <c r="D9" i="1" a="1"/>
  <c r="D9" i="1" s="1"/>
  <c r="C3" i="1" a="1"/>
  <c r="C3" i="1" s="1"/>
  <c r="E9" i="1" a="1"/>
  <c r="E9" i="1" s="1"/>
  <c r="A5" i="3" a="1"/>
  <c r="A5" i="3" s="1"/>
  <c r="D3" i="1" a="1"/>
  <c r="D3" i="1" s="1"/>
  <c r="C10" i="1" a="1"/>
  <c r="C10" i="1" s="1"/>
  <c r="A6" i="3" a="1"/>
  <c r="A6" i="3" s="1"/>
  <c r="E3" i="1" a="1"/>
  <c r="E3" i="1" s="1"/>
  <c r="D10" i="1" a="1"/>
  <c r="D10" i="1" s="1"/>
  <c r="A7" i="3" a="1"/>
  <c r="A7" i="3" s="1"/>
  <c r="C6" i="1" a="1"/>
  <c r="C6" i="1" s="1"/>
  <c r="E6" i="1" a="1"/>
  <c r="E6" i="1" s="1"/>
  <c r="F2" i="1"/>
  <c r="C4" i="1" a="1"/>
  <c r="C4" i="1" s="1"/>
  <c r="E10" i="1" a="1"/>
  <c r="E10" i="1" s="1"/>
  <c r="A8" i="3" a="1"/>
  <c r="A8" i="3" s="1"/>
  <c r="D4" i="1" a="1"/>
  <c r="D4" i="1" s="1"/>
  <c r="C11" i="1" a="1"/>
  <c r="C11" i="1" s="1"/>
  <c r="E4" i="1" a="1"/>
  <c r="E4" i="1" s="1"/>
  <c r="D11" i="1" a="1"/>
  <c r="D11" i="1" s="1"/>
  <c r="C8" i="1" a="1"/>
  <c r="C8" i="1" s="1"/>
  <c r="C2" i="1" a="1"/>
  <c r="C2" i="1" s="1"/>
  <c r="E8" i="1" a="1"/>
  <c r="E8" i="1" s="1"/>
  <c r="A3" i="1" a="1"/>
  <c r="A3" i="1" s="1"/>
  <c r="C5" i="1" a="1"/>
  <c r="C5" i="1" s="1"/>
  <c r="E11" i="1" a="1"/>
  <c r="E11" i="1" s="1"/>
  <c r="A13" i="3" a="1"/>
  <c r="A13" i="3" s="1"/>
  <c r="A6" i="1" a="1"/>
  <c r="A6" i="1" s="1"/>
  <c r="D2" i="3" a="1"/>
  <c r="D2" i="3" s="1"/>
  <c r="E2" i="3" a="1"/>
  <c r="E2" i="3" s="1"/>
  <c r="A2" i="3" a="1"/>
  <c r="A2" i="3" s="1"/>
  <c r="A2" i="1" a="1"/>
  <c r="A2" i="1" s="1"/>
  <c r="A1" i="1"/>
  <c r="E26" i="8" l="1"/>
  <c r="H2" i="8"/>
  <c r="B6" i="7"/>
  <c r="E4" i="8"/>
  <c r="H3" i="8"/>
  <c r="E2" i="8"/>
  <c r="E18" i="8"/>
  <c r="H23" i="8"/>
  <c r="M12" i="8"/>
  <c r="H14" i="8"/>
  <c r="I15" i="8"/>
  <c r="G2" i="9"/>
  <c r="E16" i="8"/>
  <c r="E23" i="8"/>
  <c r="M15" i="8"/>
  <c r="E15" i="8"/>
  <c r="H13" i="8"/>
  <c r="M10" i="8"/>
  <c r="E21" i="8"/>
  <c r="H21" i="8"/>
  <c r="E5" i="8"/>
  <c r="M11" i="8"/>
  <c r="B7" i="7"/>
  <c r="H10" i="8"/>
  <c r="B12" i="7"/>
  <c r="M13" i="8"/>
  <c r="M2" i="8"/>
  <c r="H17" i="8"/>
  <c r="H25" i="8"/>
  <c r="E10" i="8"/>
  <c r="B11" i="7"/>
  <c r="M5" i="8"/>
  <c r="E17" i="8"/>
  <c r="M22" i="8"/>
  <c r="E9" i="8"/>
  <c r="E7" i="8"/>
  <c r="E27" i="8"/>
  <c r="M7" i="8"/>
  <c r="H22" i="8"/>
  <c r="H16" i="8"/>
  <c r="H9" i="8"/>
  <c r="H11" i="8"/>
  <c r="E6" i="8"/>
  <c r="E24" i="8"/>
  <c r="M19" i="8"/>
  <c r="E20" i="8"/>
  <c r="M17" i="8"/>
  <c r="H20" i="8"/>
  <c r="M23" i="8"/>
  <c r="M14" i="8"/>
  <c r="M21" i="8"/>
  <c r="M27" i="8"/>
  <c r="M9" i="8"/>
  <c r="H8" i="8"/>
  <c r="E22" i="8"/>
  <c r="B13" i="7"/>
  <c r="B2" i="7"/>
  <c r="E14" i="8"/>
  <c r="H24" i="8"/>
  <c r="M8" i="8"/>
  <c r="B8" i="7"/>
  <c r="M6" i="8"/>
  <c r="B10" i="7"/>
  <c r="M26" i="8"/>
  <c r="H7" i="8"/>
  <c r="H27" i="8"/>
  <c r="H6" i="8"/>
  <c r="E3" i="8"/>
  <c r="B4" i="7"/>
  <c r="B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B58490-6CFC-42E5-B4EA-77692C70F813}" keepAlive="1" name="Query - neos_benchmark" description="Connection to the 'neos_benchmark' query in the workbook." type="5" refreshedVersion="8" background="1" saveData="1">
    <dbPr connection="Provider=Microsoft.Mashup.OleDb.1;Data Source=$Workbook$;Location=neos_benchmark;Extended Properties=&quot;&quot;" command="SELECT * FROM [neos_benchmar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<sst xmlns="http://schemas.openxmlformats.org/spreadsheetml/2006/main" count="1209" uniqueCount="141">
  <si>
    <t>model</t>
  </si>
  <si>
    <t>run</t>
  </si>
  <si>
    <t>solver</t>
  </si>
  <si>
    <t>version</t>
  </si>
  <si>
    <t>exit_status</t>
  </si>
  <si>
    <t>obj1</t>
  </si>
  <si>
    <t>obj2</t>
  </si>
  <si>
    <t>iterations</t>
  </si>
  <si>
    <t>obj_eval</t>
  </si>
  <si>
    <t>grad_eval</t>
  </si>
  <si>
    <t>eq_eval</t>
  </si>
  <si>
    <t>ineq_eval</t>
  </si>
  <si>
    <t>eq_jac</t>
  </si>
  <si>
    <t>ineq_jac</t>
  </si>
  <si>
    <t>hess_eval</t>
  </si>
  <si>
    <t>constraint_violation_unscaled</t>
  </si>
  <si>
    <t>cpu_ipopt</t>
  </si>
  <si>
    <t>cpu_nlp</t>
  </si>
  <si>
    <t>ampl_elapsed_time</t>
  </si>
  <si>
    <t>ampl_system_time</t>
  </si>
  <si>
    <t>ampl_user_time</t>
  </si>
  <si>
    <t>ampl_time</t>
  </si>
  <si>
    <t>solve_elapsed_time</t>
  </si>
  <si>
    <t>solve_system_time</t>
  </si>
  <si>
    <t>solve_user_time</t>
  </si>
  <si>
    <t>solve_time</t>
  </si>
  <si>
    <t>nvars</t>
  </si>
  <si>
    <t>snvars</t>
  </si>
  <si>
    <t>ncons</t>
  </si>
  <si>
    <t>sncons</t>
  </si>
  <si>
    <t>total_vars</t>
  </si>
  <si>
    <t>total_eq</t>
  </si>
  <si>
    <t>total_ineq</t>
  </si>
  <si>
    <t>acrobot</t>
  </si>
  <si>
    <t>Ipopt</t>
  </si>
  <si>
    <t>cart-pendulum-time</t>
  </si>
  <si>
    <t>cart-pendulum-utot</t>
  </si>
  <si>
    <t>five-link-mc-kelly</t>
  </si>
  <si>
    <t>five-link-phc-kelly</t>
  </si>
  <si>
    <t>five-link-tropic</t>
  </si>
  <si>
    <t>grasp</t>
  </si>
  <si>
    <t>moving-block</t>
  </si>
  <si>
    <t>spot-col3</t>
  </si>
  <si>
    <t>spot-rk1</t>
  </si>
  <si>
    <t>spot-rk4</t>
  </si>
  <si>
    <t/>
  </si>
  <si>
    <t>3.14.12</t>
  </si>
  <si>
    <t>avg. elapsed time</t>
  </si>
  <si>
    <t>tic</t>
  </si>
  <si>
    <t>toc</t>
  </si>
  <si>
    <t>avg. tic-toc</t>
  </si>
  <si>
    <t>max tic-toc</t>
  </si>
  <si>
    <t>min tic-toc</t>
  </si>
  <si>
    <t>min elapsed time</t>
  </si>
  <si>
    <t>max elapsed time</t>
  </si>
  <si>
    <t>Demo</t>
  </si>
  <si>
    <t>Elapsed Time</t>
  </si>
  <si>
    <t>Elapsed Time Min</t>
  </si>
  <si>
    <t>Elapsed Time Max</t>
  </si>
  <si>
    <t>Elapsed Time Std. Dev.</t>
  </si>
  <si>
    <t>acrobat</t>
  </si>
  <si>
    <t>cart-pole (force)</t>
  </si>
  <si>
    <t>cart-pole (time)</t>
  </si>
  <si>
    <t>moving block</t>
  </si>
  <si>
    <t>five-link biped</t>
  </si>
  <si>
    <t>five-link biped (phc)</t>
  </si>
  <si>
    <t>planar 7-DOF biped</t>
  </si>
  <si>
    <t>kinematic car</t>
  </si>
  <si>
    <t>spot</t>
  </si>
  <si>
    <t>RK4</t>
  </si>
  <si>
    <t>RK1</t>
  </si>
  <si>
    <t>COL3</t>
  </si>
  <si>
    <t>TRAP</t>
  </si>
  <si>
    <t>N/A</t>
  </si>
  <si>
    <t>HS</t>
  </si>
  <si>
    <t>Constraints Relative Reduction</t>
  </si>
  <si>
    <t>Presolve Constraints</t>
  </si>
  <si>
    <t>Initial Constraints</t>
  </si>
  <si>
    <t>Variables Relative Reduction</t>
  </si>
  <si>
    <t>Presolve Variables</t>
  </si>
  <si>
    <t>Initial Variables</t>
  </si>
  <si>
    <t>grasp-cbc</t>
  </si>
  <si>
    <t>grasp-gurobi</t>
  </si>
  <si>
    <t>grasp-highs</t>
  </si>
  <si>
    <t>grasp-knitro</t>
  </si>
  <si>
    <t>grasp-raposa</t>
  </si>
  <si>
    <t>grasp-scip</t>
  </si>
  <si>
    <t>kinematic-car-conopt</t>
  </si>
  <si>
    <t>kinematic-car-filter</t>
  </si>
  <si>
    <t>kinematic-car-gurobi</t>
  </si>
  <si>
    <t>kinematic-car-ipopt</t>
  </si>
  <si>
    <t>kinematic-car-knitro</t>
  </si>
  <si>
    <t>kinematic-car-lancelot</t>
  </si>
  <si>
    <t>kinematic-car-snopt</t>
  </si>
  <si>
    <t>CBC</t>
  </si>
  <si>
    <t>2.10.10</t>
  </si>
  <si>
    <t>Knitro</t>
  </si>
  <si>
    <t>15.1.0</t>
  </si>
  <si>
    <t>HiGHS</t>
  </si>
  <si>
    <t>1.11.0</t>
  </si>
  <si>
    <t>RAPOSa</t>
  </si>
  <si>
    <t>v4.4.1</t>
  </si>
  <si>
    <t>SCIP</t>
  </si>
  <si>
    <t>9.2.2</t>
  </si>
  <si>
    <t>CONOPT</t>
  </si>
  <si>
    <t>4.38.1</t>
  </si>
  <si>
    <t>SNOPT</t>
  </si>
  <si>
    <t>7.6.1</t>
  </si>
  <si>
    <t>filterSQP</t>
  </si>
  <si>
    <t>20020316</t>
  </si>
  <si>
    <t>grasp-conopt</t>
  </si>
  <si>
    <t>kinematic-car-loqo</t>
  </si>
  <si>
    <t>kinematic-car-minos</t>
  </si>
  <si>
    <t>exit_code</t>
  </si>
  <si>
    <t>solved</t>
  </si>
  <si>
    <t>solved?</t>
  </si>
  <si>
    <t>XML-RPC rejected</t>
  </si>
  <si>
    <t>failure</t>
  </si>
  <si>
    <t>infeasible</t>
  </si>
  <si>
    <t>NEOS Round Trip</t>
  </si>
  <si>
    <t>Local/NEOS Wall Time</t>
  </si>
  <si>
    <t>AMPL Time</t>
  </si>
  <si>
    <t>Solve Time</t>
  </si>
  <si>
    <t>Time Ratio</t>
  </si>
  <si>
    <t>Library</t>
  </si>
  <si>
    <t>Solver</t>
  </si>
  <si>
    <t>RK Method</t>
  </si>
  <si>
    <t>Objective</t>
  </si>
  <si>
    <t>Wall Time (s)</t>
  </si>
  <si>
    <t>Wall Time Min</t>
  </si>
  <si>
    <t>Wall Time Max</t>
  </si>
  <si>
    <t>Wall Time Std. Dev</t>
  </si>
  <si>
    <t>Iterates</t>
  </si>
  <si>
    <t># Vars.</t>
  </si>
  <si>
    <t># Eq. Cons.</t>
  </si>
  <si>
    <t># of Ineq. Constr.</t>
  </si>
  <si>
    <t>Order</t>
  </si>
  <si>
    <t>Model</t>
  </si>
  <si>
    <t>Kinematic Car</t>
  </si>
  <si>
    <t>Amplify</t>
  </si>
  <si>
    <t>Converged?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</si>
</sst>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AF0E66-C842-4144-A201-2731D634FB27}" autoFormatId="16" applyNumberFormats="0" applyBorderFormats="0" applyFontFormats="0" applyPatternFormats="0" applyAlignmentFormats="0" applyWidthHeightFormats="0">
  <queryTableRefresh nextId="49">
    <queryTableFields count="36">
      <queryTableField id="1" name="model" tableColumnId="1"/>
      <queryTableField id="2" name="run" tableColumnId="2"/>
      <queryTableField id="3" name="solver" tableColumnId="3"/>
      <queryTableField id="4" name="version" tableColumnId="4"/>
      <queryTableField id="5" name="exit_status" tableColumnId="5"/>
      <queryTableField id="44" name="exit_code" tableColumnId="19"/>
      <queryTableField id="6" name="obj1" tableColumnId="6"/>
      <queryTableField id="7" name="obj2" tableColumnId="7"/>
      <queryTableField id="8" name="iterations" tableColumnId="8"/>
      <queryTableField id="9" name="obj_eval" tableColumnId="9"/>
      <queryTableField id="10" name="grad_eval" tableColumnId="10"/>
      <queryTableField id="11" name="eq_eval" tableColumnId="11"/>
      <queryTableField id="12" name="ineq_eval" tableColumnId="12"/>
      <queryTableField id="13" name="eq_jac" tableColumnId="13"/>
      <queryTableField id="14" name="ineq_jac" tableColumnId="14"/>
      <queryTableField id="15" name="hess_eval" tableColumnId="15"/>
      <queryTableField id="16" name="constraint_violation_unscaled" tableColumnId="16"/>
      <queryTableField id="17" name="cpu_ipopt" tableColumnId="17"/>
      <queryTableField id="18" name="cpu_nlp" tableColumnId="18"/>
      <queryTableField id="39" name="total_vars" tableColumnId="39"/>
      <queryTableField id="40" name="total_eq" tableColumnId="40"/>
      <queryTableField id="41" name="total_ineq" tableColumnId="41"/>
      <queryTableField id="27" name="ampl_elapsed_time" tableColumnId="27"/>
      <queryTableField id="28" name="ampl_system_time" tableColumnId="28"/>
      <queryTableField id="29" name="ampl_user_time" tableColumnId="29"/>
      <queryTableField id="30" name="ampl_time" tableColumnId="30"/>
      <queryTableField id="31" name="solve_elapsed_time" tableColumnId="31"/>
      <queryTableField id="32" name="solve_system_time" tableColumnId="32"/>
      <queryTableField id="33" name="solve_user_time" tableColumnId="33"/>
      <queryTableField id="34" name="solve_time" tableColumnId="34"/>
      <queryTableField id="35" name="nvars" tableColumnId="35"/>
      <queryTableField id="36" name="snvars" tableColumnId="36"/>
      <queryTableField id="37" name="ncons" tableColumnId="37"/>
      <queryTableField id="38" name="sncons" tableColumnId="38"/>
      <queryTableField id="42" name="tic" tableColumnId="42"/>
      <queryTableField id="43" name="toc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6B321-6DF7-4F48-B794-F5A35AC1A152}" name="neos_benchmark" displayName="neos_benchmark" ref="A1:AJ261" tableType="queryTable" totalsRowShown="0">
  <autoFilter ref="A1:AJ261" xr:uid="{5396B321-6DF7-4F48-B794-F5A35AC1A152}"/>
  <tableColumns count="36">
    <tableColumn id="1" xr3:uid="{7EDD4E6F-8E27-4189-8B05-8F35A3130637}" uniqueName="1" name="model" queryTableFieldId="1" dataDxfId="5"/>
    <tableColumn id="2" xr3:uid="{8FF09B2C-DBEC-4AC2-B01B-C9E4EB73DD17}" uniqueName="2" name="run" queryTableFieldId="2"/>
    <tableColumn id="3" xr3:uid="{EF83DB35-07B8-4FBA-9CED-834E0DF4D704}" uniqueName="3" name="solver" queryTableFieldId="3" dataDxfId="4"/>
    <tableColumn id="4" xr3:uid="{B182AD89-3087-4248-8FD7-DFD3EB279D23}" uniqueName="4" name="version" queryTableFieldId="4" dataDxfId="3"/>
    <tableColumn id="5" xr3:uid="{761AD302-5C83-45D3-9FF3-2B3C44F4641C}" uniqueName="5" name="exit_status" queryTableFieldId="5" dataDxfId="2"/>
    <tableColumn id="19" xr3:uid="{6E194A47-6CF2-41B7-B7CB-5996C5CBB840}" uniqueName="19" name="exit_code" queryTableFieldId="44"/>
    <tableColumn id="6" xr3:uid="{52B9B04B-1FC6-4C50-BCFC-711AE9817173}" uniqueName="6" name="obj1" queryTableFieldId="6"/>
    <tableColumn id="7" xr3:uid="{ECF00515-035A-4FCE-A81E-0BBB0E25CC54}" uniqueName="7" name="obj2" queryTableFieldId="7"/>
    <tableColumn id="8" xr3:uid="{41D256EA-F946-4BE5-8CD6-3977F0462282}" uniqueName="8" name="iterations" queryTableFieldId="8"/>
    <tableColumn id="9" xr3:uid="{C14B38D1-47B9-4797-813D-63ABC569831B}" uniqueName="9" name="obj_eval" queryTableFieldId="9"/>
    <tableColumn id="10" xr3:uid="{619424D5-57AA-4F09-B3ED-84854326CB4A}" uniqueName="10" name="grad_eval" queryTableFieldId="10"/>
    <tableColumn id="11" xr3:uid="{AD7AA912-CBB2-4FDE-9DD8-5A5CDB048969}" uniqueName="11" name="eq_eval" queryTableFieldId="11"/>
    <tableColumn id="12" xr3:uid="{3CAAE386-7E95-4B76-B030-8BAF7CBADFA6}" uniqueName="12" name="ineq_eval" queryTableFieldId="12"/>
    <tableColumn id="13" xr3:uid="{351DA28A-18B6-4684-B540-6F0D67FD7F4A}" uniqueName="13" name="eq_jac" queryTableFieldId="13"/>
    <tableColumn id="14" xr3:uid="{4DF65AAB-7C9C-47C9-BF57-2DE30A6C26D3}" uniqueName="14" name="ineq_jac" queryTableFieldId="14"/>
    <tableColumn id="15" xr3:uid="{5FCDE955-E579-44CC-BA54-44F8A09129F8}" uniqueName="15" name="hess_eval" queryTableFieldId="15"/>
    <tableColumn id="16" xr3:uid="{4E24D7E6-3F69-4907-B2B0-6A102E059CA3}" uniqueName="16" name="constraint_violation_unscaled" queryTableFieldId="16"/>
    <tableColumn id="17" xr3:uid="{B421A4A8-162E-4125-922A-03462D4ED6E7}" uniqueName="17" name="cpu_ipopt" queryTableFieldId="17" dataDxfId="1"/>
    <tableColumn id="18" xr3:uid="{BDA8BE4E-F31F-4284-A0A6-6F695B42312C}" uniqueName="18" name="cpu_nlp" queryTableFieldId="18" dataDxfId="0"/>
    <tableColumn id="39" xr3:uid="{1DDE512E-B7F8-4F64-A331-DCA77C73481F}" uniqueName="39" name="total_vars" queryTableFieldId="39"/>
    <tableColumn id="40" xr3:uid="{585726D7-1B50-4B56-A778-4C506F594D3B}" uniqueName="40" name="total_eq" queryTableFieldId="40"/>
    <tableColumn id="41" xr3:uid="{8AC293E0-CE1C-4EEF-BDEE-BDE867004D27}" uniqueName="41" name="total_ineq" queryTableFieldId="41"/>
    <tableColumn id="27" xr3:uid="{52995636-62D7-4F2D-986D-54AFE7855539}" uniqueName="27" name="ampl_elapsed_time" queryTableFieldId="27"/>
    <tableColumn id="28" xr3:uid="{777F6B32-E02B-406D-9157-79E45190D06A}" uniqueName="28" name="ampl_system_time" queryTableFieldId="28"/>
    <tableColumn id="29" xr3:uid="{743580C5-C63B-4EAC-B574-94A2B1C12406}" uniqueName="29" name="ampl_user_time" queryTableFieldId="29"/>
    <tableColumn id="30" xr3:uid="{B2212CCA-FFF3-4771-B77E-D3CF77545E94}" uniqueName="30" name="ampl_time" queryTableFieldId="30"/>
    <tableColumn id="31" xr3:uid="{AE445BB2-07FD-45B8-A030-0274383B82FB}" uniqueName="31" name="solve_elapsed_time" queryTableFieldId="31"/>
    <tableColumn id="32" xr3:uid="{F8BA0787-5AA4-4EB9-84E8-2CA7D29FA58B}" uniqueName="32" name="solve_system_time" queryTableFieldId="32"/>
    <tableColumn id="33" xr3:uid="{397CDEA3-138F-4E0F-8ACC-4564423152FA}" uniqueName="33" name="solve_user_time" queryTableFieldId="33"/>
    <tableColumn id="34" xr3:uid="{ABC6A749-D82D-4681-A246-07253CFBF1AD}" uniqueName="34" name="solve_time" queryTableFieldId="34"/>
    <tableColumn id="35" xr3:uid="{4AFFBDAD-6E9A-4905-83D1-F1F035DFDB33}" uniqueName="35" name="nvars" queryTableFieldId="35"/>
    <tableColumn id="36" xr3:uid="{1D0C6831-65EE-440C-9E90-DA852667212B}" uniqueName="36" name="snvars" queryTableFieldId="36"/>
    <tableColumn id="37" xr3:uid="{58F76A9F-AF6F-4C0B-8F28-71FB841F7FBC}" uniqueName="37" name="ncons" queryTableFieldId="37"/>
    <tableColumn id="38" xr3:uid="{60542308-D25A-417E-8D2B-6B4E490D54C4}" uniqueName="38" name="sncons" queryTableFieldId="38"/>
    <tableColumn id="42" xr3:uid="{92C65A6E-4CD3-40DB-8EE8-C05F22478FC8}" uniqueName="42" name="tic" queryTableFieldId="42"/>
    <tableColumn id="43" xr3:uid="{5DC9FDC8-38A0-4A4A-B14E-6893B8B70A4E}" uniqueName="43" name="toc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E568-D92F-4336-8E45-51B0E8C703D0}">
  <dimension ref="A1:AJ261"/>
  <sheetViews>
    <sheetView topLeftCell="A49" workbookViewId="0">
      <selection activeCell="U104" sqref="U104"/>
    </sheetView>
  </sheetViews>
  <sheetFormatPr defaultRowHeight="15" x14ac:dyDescent="0.25"/>
  <cols>
    <col min="1" max="1" width="21.5703125" bestFit="1" customWidth="1"/>
    <col min="2" max="2" width="6.28515625" bestFit="1" customWidth="1"/>
    <col min="3" max="3" width="8.85546875" bestFit="1" customWidth="1"/>
    <col min="4" max="4" width="10" bestFit="1" customWidth="1"/>
    <col min="5" max="5" width="16.28515625" bestFit="1" customWidth="1"/>
    <col min="6" max="9" width="12" bestFit="1" customWidth="1"/>
    <col min="10" max="10" width="10.7109375" bestFit="1" customWidth="1"/>
    <col min="11" max="11" width="11.7109375" bestFit="1" customWidth="1"/>
    <col min="12" max="12" width="10.140625" bestFit="1" customWidth="1"/>
    <col min="13" max="13" width="11.85546875" bestFit="1" customWidth="1"/>
    <col min="14" max="14" width="9" bestFit="1" customWidth="1"/>
    <col min="15" max="15" width="10.7109375" bestFit="1" customWidth="1"/>
    <col min="16" max="16" width="12.140625" bestFit="1" customWidth="1"/>
    <col min="17" max="17" width="30.7109375" bestFit="1" customWidth="1"/>
    <col min="18" max="18" width="12.140625" bestFit="1" customWidth="1"/>
    <col min="19" max="19" width="10.28515625" bestFit="1" customWidth="1"/>
    <col min="20" max="20" width="12" bestFit="1" customWidth="1"/>
    <col min="21" max="21" width="10.5703125" bestFit="1" customWidth="1"/>
    <col min="22" max="22" width="12.28515625" bestFit="1" customWidth="1"/>
    <col min="23" max="23" width="21" bestFit="1" customWidth="1"/>
    <col min="24" max="24" width="20.42578125" bestFit="1" customWidth="1"/>
    <col min="25" max="25" width="17.7109375" bestFit="1" customWidth="1"/>
    <col min="26" max="26" width="12.7109375" bestFit="1" customWidth="1"/>
    <col min="27" max="27" width="21.42578125" bestFit="1" customWidth="1"/>
    <col min="28" max="28" width="20.85546875" bestFit="1" customWidth="1"/>
    <col min="29" max="29" width="18.140625" bestFit="1" customWidth="1"/>
    <col min="30" max="30" width="13.140625" bestFit="1" customWidth="1"/>
    <col min="31" max="31" width="8.140625" bestFit="1" customWidth="1"/>
    <col min="32" max="32" width="9.140625" bestFit="1" customWidth="1"/>
    <col min="33" max="33" width="8.7109375" bestFit="1" customWidth="1"/>
    <col min="34" max="34" width="9.7109375" bestFit="1" customWidth="1"/>
    <col min="35" max="36" width="8" bestFit="1" customWidth="1"/>
    <col min="38" max="38" width="8.7109375" bestFit="1" customWidth="1"/>
    <col min="39" max="39" width="9.7109375" bestFit="1" customWidth="1"/>
    <col min="40" max="40" width="12" bestFit="1" customWidth="1"/>
    <col min="41" max="41" width="10.5703125" bestFit="1" customWidth="1"/>
    <col min="42" max="42" width="12.28515625" bestFit="1" customWidth="1"/>
    <col min="43" max="44" width="8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30</v>
      </c>
      <c r="U1" t="s">
        <v>31</v>
      </c>
      <c r="V1" t="s">
        <v>32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48</v>
      </c>
      <c r="AJ1" t="s">
        <v>49</v>
      </c>
    </row>
    <row r="2" spans="1:36" x14ac:dyDescent="0.25">
      <c r="A2" t="s">
        <v>33</v>
      </c>
      <c r="B2">
        <v>1</v>
      </c>
      <c r="C2" t="s">
        <v>34</v>
      </c>
      <c r="D2" t="s">
        <v>46</v>
      </c>
      <c r="E2" t="s">
        <v>114</v>
      </c>
      <c r="F2">
        <v>0</v>
      </c>
      <c r="G2">
        <v>69.877641620638073</v>
      </c>
      <c r="I2">
        <v>14</v>
      </c>
      <c r="J2">
        <v>26</v>
      </c>
      <c r="K2">
        <v>15</v>
      </c>
      <c r="L2">
        <v>26</v>
      </c>
      <c r="M2">
        <v>26</v>
      </c>
      <c r="N2">
        <v>15</v>
      </c>
      <c r="O2">
        <v>15</v>
      </c>
      <c r="P2">
        <v>14</v>
      </c>
      <c r="Q2">
        <v>1.4210854715202004E-14</v>
      </c>
      <c r="R2">
        <v>1.7999999999999999E-2</v>
      </c>
      <c r="S2">
        <v>6.0000000000000001E-3</v>
      </c>
      <c r="T2">
        <v>132</v>
      </c>
      <c r="U2">
        <v>116</v>
      </c>
      <c r="V2">
        <v>18</v>
      </c>
      <c r="W2">
        <v>3.8210999999999995E-2</v>
      </c>
      <c r="X2">
        <v>1.4159999999999999E-2</v>
      </c>
      <c r="Y2">
        <v>2.7290999999999999E-2</v>
      </c>
      <c r="Z2">
        <v>4.1451000000000002E-2</v>
      </c>
      <c r="AA2">
        <v>3.1125E-2</v>
      </c>
      <c r="AB2">
        <v>2.807E-3</v>
      </c>
      <c r="AC2">
        <v>2.7782999999999999E-2</v>
      </c>
      <c r="AD2">
        <v>3.0589999999999999E-2</v>
      </c>
      <c r="AE2">
        <v>8779</v>
      </c>
      <c r="AF2">
        <v>132</v>
      </c>
      <c r="AG2">
        <v>8824</v>
      </c>
      <c r="AH2">
        <v>134</v>
      </c>
      <c r="AI2">
        <v>32920</v>
      </c>
      <c r="AJ2">
        <v>44187</v>
      </c>
    </row>
    <row r="3" spans="1:36" x14ac:dyDescent="0.25">
      <c r="A3" t="s">
        <v>33</v>
      </c>
      <c r="B3">
        <v>2</v>
      </c>
      <c r="C3" t="s">
        <v>34</v>
      </c>
      <c r="D3" t="s">
        <v>46</v>
      </c>
      <c r="E3" t="s">
        <v>114</v>
      </c>
      <c r="F3">
        <v>0</v>
      </c>
      <c r="G3">
        <v>69.877641620638073</v>
      </c>
      <c r="I3">
        <v>14</v>
      </c>
      <c r="J3">
        <v>26</v>
      </c>
      <c r="K3">
        <v>15</v>
      </c>
      <c r="L3">
        <v>26</v>
      </c>
      <c r="M3">
        <v>26</v>
      </c>
      <c r="N3">
        <v>15</v>
      </c>
      <c r="O3">
        <v>15</v>
      </c>
      <c r="P3">
        <v>14</v>
      </c>
      <c r="Q3">
        <v>1.4210854715202004E-14</v>
      </c>
      <c r="R3">
        <v>1.7000000000000001E-2</v>
      </c>
      <c r="S3">
        <v>4.0000000000000001E-3</v>
      </c>
      <c r="T3">
        <v>132</v>
      </c>
      <c r="U3">
        <v>116</v>
      </c>
      <c r="V3">
        <v>18</v>
      </c>
      <c r="W3">
        <v>3.7900999999999997E-2</v>
      </c>
      <c r="X3">
        <v>1.4851999999999999E-2</v>
      </c>
      <c r="Y3">
        <v>2.6755999999999999E-2</v>
      </c>
      <c r="Z3">
        <v>4.1607999999999999E-2</v>
      </c>
      <c r="AA3">
        <v>2.9713999999999997E-2</v>
      </c>
      <c r="AB3">
        <v>4.0039999999999997E-3</v>
      </c>
      <c r="AC3">
        <v>2.4964E-2</v>
      </c>
      <c r="AD3">
        <v>2.8968000000000001E-2</v>
      </c>
      <c r="AE3">
        <v>8779</v>
      </c>
      <c r="AF3">
        <v>132</v>
      </c>
      <c r="AG3">
        <v>8824</v>
      </c>
      <c r="AH3">
        <v>134</v>
      </c>
      <c r="AI3">
        <v>41485</v>
      </c>
      <c r="AJ3">
        <v>61666</v>
      </c>
    </row>
    <row r="4" spans="1:36" x14ac:dyDescent="0.25">
      <c r="A4" t="s">
        <v>33</v>
      </c>
      <c r="B4">
        <v>3</v>
      </c>
      <c r="C4" t="s">
        <v>34</v>
      </c>
      <c r="D4" t="s">
        <v>46</v>
      </c>
      <c r="E4" t="s">
        <v>114</v>
      </c>
      <c r="F4">
        <v>0</v>
      </c>
      <c r="G4">
        <v>69.877641620638073</v>
      </c>
      <c r="I4">
        <v>14</v>
      </c>
      <c r="J4">
        <v>26</v>
      </c>
      <c r="K4">
        <v>15</v>
      </c>
      <c r="L4">
        <v>26</v>
      </c>
      <c r="M4">
        <v>26</v>
      </c>
      <c r="N4">
        <v>15</v>
      </c>
      <c r="O4">
        <v>15</v>
      </c>
      <c r="P4">
        <v>14</v>
      </c>
      <c r="Q4">
        <v>1.4210854715202004E-14</v>
      </c>
      <c r="R4">
        <v>3.2000000000000001E-2</v>
      </c>
      <c r="S4">
        <v>8.9999999999999993E-3</v>
      </c>
      <c r="T4">
        <v>132</v>
      </c>
      <c r="U4">
        <v>116</v>
      </c>
      <c r="V4">
        <v>18</v>
      </c>
      <c r="W4">
        <v>5.3497999999999997E-2</v>
      </c>
      <c r="X4">
        <v>1.5087E-2</v>
      </c>
      <c r="Y4">
        <v>4.3290999999999996E-2</v>
      </c>
      <c r="Z4">
        <v>5.8377999999999999E-2</v>
      </c>
      <c r="AA4">
        <v>5.1542999999999999E-2</v>
      </c>
      <c r="AB4">
        <v>4.0969999999999999E-3</v>
      </c>
      <c r="AC4">
        <v>4.6618E-2</v>
      </c>
      <c r="AD4">
        <v>5.0714999999999996E-2</v>
      </c>
      <c r="AE4">
        <v>8779</v>
      </c>
      <c r="AF4">
        <v>132</v>
      </c>
      <c r="AG4">
        <v>8824</v>
      </c>
      <c r="AH4">
        <v>134</v>
      </c>
      <c r="AI4">
        <v>81147</v>
      </c>
      <c r="AJ4">
        <v>85112</v>
      </c>
    </row>
    <row r="5" spans="1:36" x14ac:dyDescent="0.25">
      <c r="A5" t="s">
        <v>33</v>
      </c>
      <c r="B5">
        <v>4</v>
      </c>
      <c r="C5" t="s">
        <v>34</v>
      </c>
      <c r="D5" t="s">
        <v>46</v>
      </c>
      <c r="E5" t="s">
        <v>114</v>
      </c>
      <c r="F5">
        <v>0</v>
      </c>
      <c r="G5">
        <v>69.877641620638073</v>
      </c>
      <c r="I5">
        <v>14</v>
      </c>
      <c r="J5">
        <v>26</v>
      </c>
      <c r="K5">
        <v>15</v>
      </c>
      <c r="L5">
        <v>26</v>
      </c>
      <c r="M5">
        <v>26</v>
      </c>
      <c r="N5">
        <v>15</v>
      </c>
      <c r="O5">
        <v>15</v>
      </c>
      <c r="P5">
        <v>14</v>
      </c>
      <c r="Q5">
        <v>1.4210854715202004E-14</v>
      </c>
      <c r="R5">
        <v>3.2000000000000001E-2</v>
      </c>
      <c r="S5">
        <v>8.9999999999999993E-3</v>
      </c>
      <c r="T5">
        <v>132</v>
      </c>
      <c r="U5">
        <v>116</v>
      </c>
      <c r="V5">
        <v>18</v>
      </c>
      <c r="W5">
        <v>5.6792999999999996E-2</v>
      </c>
      <c r="X5">
        <v>1.2039999999999999E-2</v>
      </c>
      <c r="Y5">
        <v>4.9242000000000001E-2</v>
      </c>
      <c r="Z5">
        <v>6.1282000000000003E-2</v>
      </c>
      <c r="AA5">
        <v>5.2472000000000005E-2</v>
      </c>
      <c r="AB5">
        <v>9.8549999999999992E-3</v>
      </c>
      <c r="AC5">
        <v>4.1369999999999997E-2</v>
      </c>
      <c r="AD5">
        <v>5.1224999999999993E-2</v>
      </c>
      <c r="AE5">
        <v>8779</v>
      </c>
      <c r="AF5">
        <v>132</v>
      </c>
      <c r="AG5">
        <v>8824</v>
      </c>
      <c r="AH5">
        <v>134</v>
      </c>
      <c r="AI5">
        <v>98738</v>
      </c>
      <c r="AJ5">
        <v>352965</v>
      </c>
    </row>
    <row r="6" spans="1:36" x14ac:dyDescent="0.25">
      <c r="A6" t="s">
        <v>33</v>
      </c>
      <c r="B6">
        <v>5</v>
      </c>
      <c r="C6" t="s">
        <v>34</v>
      </c>
      <c r="D6" t="s">
        <v>46</v>
      </c>
      <c r="E6" t="s">
        <v>114</v>
      </c>
      <c r="F6">
        <v>0</v>
      </c>
      <c r="G6">
        <v>69.877641620638073</v>
      </c>
      <c r="I6">
        <v>14</v>
      </c>
      <c r="J6">
        <v>26</v>
      </c>
      <c r="K6">
        <v>15</v>
      </c>
      <c r="L6">
        <v>26</v>
      </c>
      <c r="M6">
        <v>26</v>
      </c>
      <c r="N6">
        <v>15</v>
      </c>
      <c r="O6">
        <v>15</v>
      </c>
      <c r="P6">
        <v>14</v>
      </c>
      <c r="Q6">
        <v>1.4210854715202004E-14</v>
      </c>
      <c r="R6">
        <v>1.7999999999999999E-2</v>
      </c>
      <c r="S6">
        <v>5.0000000000000001E-3</v>
      </c>
      <c r="T6">
        <v>132</v>
      </c>
      <c r="U6">
        <v>116</v>
      </c>
      <c r="V6">
        <v>18</v>
      </c>
      <c r="W6">
        <v>3.9805000000000035E-2</v>
      </c>
      <c r="X6">
        <v>1.4773E-2</v>
      </c>
      <c r="Y6">
        <v>2.8558999999999998E-2</v>
      </c>
      <c r="Z6">
        <v>4.3331999999999996E-2</v>
      </c>
      <c r="AA6">
        <v>3.0535999999999952E-2</v>
      </c>
      <c r="AB6">
        <v>4.1009999999999996E-3</v>
      </c>
      <c r="AC6">
        <v>2.5621999999999999E-2</v>
      </c>
      <c r="AD6">
        <v>2.9722999999999999E-2</v>
      </c>
      <c r="AE6">
        <v>8779</v>
      </c>
      <c r="AF6">
        <v>132</v>
      </c>
      <c r="AG6">
        <v>8824</v>
      </c>
      <c r="AH6">
        <v>134</v>
      </c>
      <c r="AI6">
        <v>102311</v>
      </c>
      <c r="AJ6">
        <v>354627</v>
      </c>
    </row>
    <row r="7" spans="1:36" x14ac:dyDescent="0.25">
      <c r="A7" t="s">
        <v>33</v>
      </c>
      <c r="B7">
        <v>6</v>
      </c>
      <c r="C7" t="s">
        <v>34</v>
      </c>
      <c r="D7" t="s">
        <v>46</v>
      </c>
      <c r="E7" t="s">
        <v>114</v>
      </c>
      <c r="F7">
        <v>0</v>
      </c>
      <c r="G7">
        <v>69.877641620638073</v>
      </c>
      <c r="I7">
        <v>14</v>
      </c>
      <c r="J7">
        <v>26</v>
      </c>
      <c r="K7">
        <v>15</v>
      </c>
      <c r="L7">
        <v>26</v>
      </c>
      <c r="M7">
        <v>26</v>
      </c>
      <c r="N7">
        <v>15</v>
      </c>
      <c r="O7">
        <v>15</v>
      </c>
      <c r="P7">
        <v>14</v>
      </c>
      <c r="Q7">
        <v>1.4210854715202004E-14</v>
      </c>
      <c r="R7">
        <v>1.7999999999999999E-2</v>
      </c>
      <c r="S7">
        <v>5.0000000000000001E-3</v>
      </c>
      <c r="T7">
        <v>132</v>
      </c>
      <c r="U7">
        <v>116</v>
      </c>
      <c r="V7">
        <v>18</v>
      </c>
      <c r="W7">
        <v>4.1890000000000004E-2</v>
      </c>
      <c r="X7">
        <v>1.299E-2</v>
      </c>
      <c r="Y7">
        <v>3.2974999999999997E-2</v>
      </c>
      <c r="Z7">
        <v>4.5964999999999999E-2</v>
      </c>
      <c r="AA7">
        <v>3.1030999999999996E-2</v>
      </c>
      <c r="AB7">
        <v>6.0759999999999998E-3</v>
      </c>
      <c r="AC7">
        <v>2.4139999999999998E-2</v>
      </c>
      <c r="AD7">
        <v>3.0216E-2</v>
      </c>
      <c r="AE7">
        <v>8779</v>
      </c>
      <c r="AF7">
        <v>132</v>
      </c>
      <c r="AG7">
        <v>8824</v>
      </c>
      <c r="AH7">
        <v>134</v>
      </c>
      <c r="AI7">
        <v>641339</v>
      </c>
      <c r="AJ7">
        <v>655878</v>
      </c>
    </row>
    <row r="8" spans="1:36" x14ac:dyDescent="0.25">
      <c r="A8" t="s">
        <v>33</v>
      </c>
      <c r="B8">
        <v>7</v>
      </c>
      <c r="C8" t="s">
        <v>34</v>
      </c>
      <c r="D8" t="s">
        <v>46</v>
      </c>
      <c r="E8" t="s">
        <v>114</v>
      </c>
      <c r="F8">
        <v>0</v>
      </c>
      <c r="G8">
        <v>69.877641620638073</v>
      </c>
      <c r="I8">
        <v>14</v>
      </c>
      <c r="J8">
        <v>26</v>
      </c>
      <c r="K8">
        <v>15</v>
      </c>
      <c r="L8">
        <v>26</v>
      </c>
      <c r="M8">
        <v>26</v>
      </c>
      <c r="N8">
        <v>15</v>
      </c>
      <c r="O8">
        <v>15</v>
      </c>
      <c r="P8">
        <v>14</v>
      </c>
      <c r="Q8">
        <v>1.4210854715202004E-14</v>
      </c>
      <c r="R8">
        <v>1.9E-2</v>
      </c>
      <c r="S8">
        <v>7.0000000000000001E-3</v>
      </c>
      <c r="T8">
        <v>132</v>
      </c>
      <c r="U8">
        <v>116</v>
      </c>
      <c r="V8">
        <v>18</v>
      </c>
      <c r="W8">
        <v>4.0088000000000006E-2</v>
      </c>
      <c r="X8">
        <v>1.5018E-2</v>
      </c>
      <c r="Y8">
        <v>2.9009E-2</v>
      </c>
      <c r="Z8">
        <v>4.4026999999999997E-2</v>
      </c>
      <c r="AA8">
        <v>3.4498999999999995E-2</v>
      </c>
      <c r="AB8">
        <v>7.9469999999999992E-3</v>
      </c>
      <c r="AC8">
        <v>2.5801999999999999E-2</v>
      </c>
      <c r="AD8">
        <v>3.3749000000000001E-2</v>
      </c>
      <c r="AE8">
        <v>8779</v>
      </c>
      <c r="AF8">
        <v>132</v>
      </c>
      <c r="AG8">
        <v>8824</v>
      </c>
      <c r="AH8">
        <v>134</v>
      </c>
      <c r="AI8">
        <v>642853</v>
      </c>
      <c r="AJ8">
        <v>655941</v>
      </c>
    </row>
    <row r="9" spans="1:36" x14ac:dyDescent="0.25">
      <c r="A9" t="s">
        <v>33</v>
      </c>
      <c r="B9">
        <v>8</v>
      </c>
      <c r="C9" t="s">
        <v>34</v>
      </c>
      <c r="D9" t="s">
        <v>46</v>
      </c>
      <c r="E9" t="s">
        <v>114</v>
      </c>
      <c r="F9">
        <v>0</v>
      </c>
      <c r="G9">
        <v>69.877641620638073</v>
      </c>
      <c r="I9">
        <v>14</v>
      </c>
      <c r="J9">
        <v>26</v>
      </c>
      <c r="K9">
        <v>15</v>
      </c>
      <c r="L9">
        <v>26</v>
      </c>
      <c r="M9">
        <v>26</v>
      </c>
      <c r="N9">
        <v>15</v>
      </c>
      <c r="O9">
        <v>15</v>
      </c>
      <c r="P9">
        <v>14</v>
      </c>
      <c r="Q9">
        <v>1.4210854715202004E-14</v>
      </c>
      <c r="R9">
        <v>2.1000000000000001E-2</v>
      </c>
      <c r="S9">
        <v>7.0000000000000001E-3</v>
      </c>
      <c r="T9">
        <v>132</v>
      </c>
      <c r="U9">
        <v>116</v>
      </c>
      <c r="V9">
        <v>18</v>
      </c>
      <c r="W9">
        <v>4.2942000000000008E-2</v>
      </c>
      <c r="X9">
        <v>1.2915999999999999E-2</v>
      </c>
      <c r="Y9">
        <v>3.3778999999999997E-2</v>
      </c>
      <c r="Z9">
        <v>4.6694999999999993E-2</v>
      </c>
      <c r="AA9">
        <v>3.5667999999999991E-2</v>
      </c>
      <c r="AB9">
        <v>5.2649999999999997E-3</v>
      </c>
      <c r="AC9">
        <v>2.9794999999999999E-2</v>
      </c>
      <c r="AD9">
        <v>3.5060000000000001E-2</v>
      </c>
      <c r="AE9">
        <v>8779</v>
      </c>
      <c r="AF9">
        <v>132</v>
      </c>
      <c r="AG9">
        <v>8824</v>
      </c>
      <c r="AH9">
        <v>134</v>
      </c>
      <c r="AI9">
        <v>919653</v>
      </c>
      <c r="AJ9">
        <v>924481</v>
      </c>
    </row>
    <row r="10" spans="1:36" x14ac:dyDescent="0.25">
      <c r="A10" t="s">
        <v>33</v>
      </c>
      <c r="B10">
        <v>9</v>
      </c>
      <c r="C10" t="s">
        <v>34</v>
      </c>
      <c r="D10" t="s">
        <v>46</v>
      </c>
      <c r="E10" t="s">
        <v>114</v>
      </c>
      <c r="F10">
        <v>0</v>
      </c>
      <c r="G10">
        <v>69.877641620638073</v>
      </c>
      <c r="I10">
        <v>14</v>
      </c>
      <c r="J10">
        <v>26</v>
      </c>
      <c r="K10">
        <v>15</v>
      </c>
      <c r="L10">
        <v>26</v>
      </c>
      <c r="M10">
        <v>26</v>
      </c>
      <c r="N10">
        <v>15</v>
      </c>
      <c r="O10">
        <v>15</v>
      </c>
      <c r="P10">
        <v>14</v>
      </c>
      <c r="Q10">
        <v>1.4210854715202004E-14</v>
      </c>
      <c r="R10">
        <v>1.6E-2</v>
      </c>
      <c r="S10">
        <v>4.0000000000000001E-3</v>
      </c>
      <c r="T10">
        <v>132</v>
      </c>
      <c r="U10">
        <v>116</v>
      </c>
      <c r="V10">
        <v>18</v>
      </c>
      <c r="W10">
        <v>3.3060000000000006E-2</v>
      </c>
      <c r="X10">
        <v>1.5025999999999999E-2</v>
      </c>
      <c r="Y10">
        <v>2.1013E-2</v>
      </c>
      <c r="Z10">
        <v>3.6039000000000002E-2</v>
      </c>
      <c r="AA10">
        <v>2.7372999999999995E-2</v>
      </c>
      <c r="AB10">
        <v>4.2929999999999999E-3</v>
      </c>
      <c r="AC10">
        <v>2.2560999999999998E-2</v>
      </c>
      <c r="AD10">
        <v>2.6853999999999996E-2</v>
      </c>
      <c r="AE10">
        <v>8779</v>
      </c>
      <c r="AF10">
        <v>132</v>
      </c>
      <c r="AG10">
        <v>8824</v>
      </c>
      <c r="AH10">
        <v>134</v>
      </c>
      <c r="AI10">
        <v>920163</v>
      </c>
      <c r="AJ10">
        <v>930915</v>
      </c>
    </row>
    <row r="11" spans="1:36" x14ac:dyDescent="0.25">
      <c r="A11" t="s">
        <v>33</v>
      </c>
      <c r="B11">
        <v>10</v>
      </c>
      <c r="C11" t="s">
        <v>34</v>
      </c>
      <c r="D11" t="s">
        <v>46</v>
      </c>
      <c r="E11" t="s">
        <v>114</v>
      </c>
      <c r="F11">
        <v>0</v>
      </c>
      <c r="G11">
        <v>69.877641620638073</v>
      </c>
      <c r="I11">
        <v>14</v>
      </c>
      <c r="J11">
        <v>26</v>
      </c>
      <c r="K11">
        <v>15</v>
      </c>
      <c r="L11">
        <v>26</v>
      </c>
      <c r="M11">
        <v>26</v>
      </c>
      <c r="N11">
        <v>15</v>
      </c>
      <c r="O11">
        <v>15</v>
      </c>
      <c r="P11">
        <v>14</v>
      </c>
      <c r="Q11">
        <v>1.4210854715202004E-14</v>
      </c>
      <c r="R11">
        <v>1.7999999999999999E-2</v>
      </c>
      <c r="S11">
        <v>5.0000000000000001E-3</v>
      </c>
      <c r="T11">
        <v>132</v>
      </c>
      <c r="U11">
        <v>116</v>
      </c>
      <c r="V11">
        <v>18</v>
      </c>
      <c r="W11">
        <v>4.1002000000000011E-2</v>
      </c>
      <c r="X11">
        <v>1.2941999999999999E-2</v>
      </c>
      <c r="Y11">
        <v>3.1883999999999996E-2</v>
      </c>
      <c r="Z11">
        <v>4.4825999999999991E-2</v>
      </c>
      <c r="AA11">
        <v>3.1230999999999995E-2</v>
      </c>
      <c r="AB11">
        <v>3.0369999999999998E-3</v>
      </c>
      <c r="AC11">
        <v>2.7618E-2</v>
      </c>
      <c r="AD11">
        <v>3.0655000000000002E-2</v>
      </c>
      <c r="AE11">
        <v>8779</v>
      </c>
      <c r="AF11">
        <v>132</v>
      </c>
      <c r="AG11">
        <v>8824</v>
      </c>
      <c r="AH11">
        <v>134</v>
      </c>
      <c r="AI11">
        <v>1278576</v>
      </c>
      <c r="AJ11">
        <v>1309409</v>
      </c>
    </row>
    <row r="12" spans="1:36" x14ac:dyDescent="0.25">
      <c r="A12" t="s">
        <v>35</v>
      </c>
      <c r="B12">
        <v>1</v>
      </c>
      <c r="C12" t="s">
        <v>34</v>
      </c>
      <c r="D12" t="s">
        <v>46</v>
      </c>
      <c r="E12" t="s">
        <v>114</v>
      </c>
      <c r="F12">
        <v>0</v>
      </c>
      <c r="G12">
        <v>1.1459372561375478</v>
      </c>
      <c r="I12">
        <v>43</v>
      </c>
      <c r="J12">
        <v>59</v>
      </c>
      <c r="K12">
        <v>44</v>
      </c>
      <c r="L12">
        <v>59</v>
      </c>
      <c r="M12">
        <v>0</v>
      </c>
      <c r="N12">
        <v>44</v>
      </c>
      <c r="O12">
        <v>0</v>
      </c>
      <c r="P12">
        <v>43</v>
      </c>
      <c r="Q12">
        <v>5.8264504332328215E-12</v>
      </c>
      <c r="R12">
        <v>4.2000000000000003E-2</v>
      </c>
      <c r="S12">
        <v>3.0000000000000001E-3</v>
      </c>
      <c r="T12">
        <v>80</v>
      </c>
      <c r="U12">
        <v>74</v>
      </c>
      <c r="V12">
        <v>0</v>
      </c>
      <c r="W12">
        <v>1.9386E-2</v>
      </c>
      <c r="X12">
        <v>4.0969999999999999E-3</v>
      </c>
      <c r="Y12">
        <v>1.8449999999999998E-2</v>
      </c>
      <c r="Z12">
        <v>2.2546999999999998E-2</v>
      </c>
      <c r="AA12">
        <v>5.0744999999999998E-2</v>
      </c>
      <c r="AB12">
        <v>5.7299999999999999E-3</v>
      </c>
      <c r="AC12">
        <v>4.4316999999999995E-2</v>
      </c>
      <c r="AD12">
        <v>5.0046999999999994E-2</v>
      </c>
      <c r="AE12">
        <v>4388</v>
      </c>
      <c r="AF12">
        <v>80</v>
      </c>
      <c r="AG12">
        <v>4413</v>
      </c>
      <c r="AH12">
        <v>74</v>
      </c>
      <c r="AI12">
        <v>32921</v>
      </c>
      <c r="AJ12">
        <v>41066</v>
      </c>
    </row>
    <row r="13" spans="1:36" x14ac:dyDescent="0.25">
      <c r="A13" t="s">
        <v>35</v>
      </c>
      <c r="B13">
        <v>2</v>
      </c>
      <c r="C13" t="s">
        <v>34</v>
      </c>
      <c r="D13" t="s">
        <v>46</v>
      </c>
      <c r="E13" t="s">
        <v>114</v>
      </c>
      <c r="F13">
        <v>0</v>
      </c>
      <c r="G13">
        <v>1.1459372561375478</v>
      </c>
      <c r="I13">
        <v>43</v>
      </c>
      <c r="J13">
        <v>59</v>
      </c>
      <c r="K13">
        <v>44</v>
      </c>
      <c r="L13">
        <v>59</v>
      </c>
      <c r="M13">
        <v>0</v>
      </c>
      <c r="N13">
        <v>44</v>
      </c>
      <c r="O13">
        <v>0</v>
      </c>
      <c r="P13">
        <v>43</v>
      </c>
      <c r="Q13">
        <v>5.8264504332328215E-12</v>
      </c>
      <c r="R13">
        <v>5.1999999999999998E-2</v>
      </c>
      <c r="S13">
        <v>4.0000000000000001E-3</v>
      </c>
      <c r="T13">
        <v>80</v>
      </c>
      <c r="U13">
        <v>74</v>
      </c>
      <c r="V13">
        <v>0</v>
      </c>
      <c r="W13">
        <v>2.113000000000001E-2</v>
      </c>
      <c r="X13">
        <v>5.8439999999999994E-3</v>
      </c>
      <c r="Y13">
        <v>1.9105E-2</v>
      </c>
      <c r="Z13">
        <v>2.4948999999999999E-2</v>
      </c>
      <c r="AA13">
        <v>6.3162999999999997E-2</v>
      </c>
      <c r="AB13">
        <v>1.1085999999999999E-2</v>
      </c>
      <c r="AC13">
        <v>5.1406E-2</v>
      </c>
      <c r="AD13">
        <v>6.2491999999999999E-2</v>
      </c>
      <c r="AE13">
        <v>4388</v>
      </c>
      <c r="AF13">
        <v>80</v>
      </c>
      <c r="AG13">
        <v>4413</v>
      </c>
      <c r="AH13">
        <v>74</v>
      </c>
      <c r="AI13">
        <v>44495</v>
      </c>
      <c r="AJ13">
        <v>61605</v>
      </c>
    </row>
    <row r="14" spans="1:36" x14ac:dyDescent="0.25">
      <c r="A14" t="s">
        <v>35</v>
      </c>
      <c r="B14">
        <v>3</v>
      </c>
      <c r="C14" t="s">
        <v>34</v>
      </c>
      <c r="D14" t="s">
        <v>46</v>
      </c>
      <c r="E14" t="s">
        <v>114</v>
      </c>
      <c r="F14">
        <v>0</v>
      </c>
      <c r="G14">
        <v>1.1459372561375478</v>
      </c>
      <c r="I14">
        <v>43</v>
      </c>
      <c r="J14">
        <v>59</v>
      </c>
      <c r="K14">
        <v>44</v>
      </c>
      <c r="L14">
        <v>59</v>
      </c>
      <c r="M14">
        <v>0</v>
      </c>
      <c r="N14">
        <v>44</v>
      </c>
      <c r="O14">
        <v>0</v>
      </c>
      <c r="P14">
        <v>43</v>
      </c>
      <c r="Q14">
        <v>5.8264504332328215E-12</v>
      </c>
      <c r="R14">
        <v>4.1000000000000002E-2</v>
      </c>
      <c r="S14">
        <v>3.0000000000000001E-3</v>
      </c>
      <c r="T14">
        <v>80</v>
      </c>
      <c r="U14">
        <v>74</v>
      </c>
      <c r="V14">
        <v>0</v>
      </c>
      <c r="W14">
        <v>1.7750000000000002E-2</v>
      </c>
      <c r="X14">
        <v>8.8729999999999989E-3</v>
      </c>
      <c r="Y14">
        <v>1.1812999999999999E-2</v>
      </c>
      <c r="Z14">
        <v>2.0685999999999996E-2</v>
      </c>
      <c r="AA14">
        <v>4.9450999999999995E-2</v>
      </c>
      <c r="AB14">
        <v>4.0509999999999999E-3</v>
      </c>
      <c r="AC14">
        <v>4.4885000000000001E-2</v>
      </c>
      <c r="AD14">
        <v>4.8936E-2</v>
      </c>
      <c r="AE14">
        <v>4388</v>
      </c>
      <c r="AF14">
        <v>80</v>
      </c>
      <c r="AG14">
        <v>4413</v>
      </c>
      <c r="AH14">
        <v>74</v>
      </c>
      <c r="AI14">
        <v>84166</v>
      </c>
      <c r="AJ14">
        <v>89060</v>
      </c>
    </row>
    <row r="15" spans="1:36" x14ac:dyDescent="0.25">
      <c r="A15" t="s">
        <v>35</v>
      </c>
      <c r="B15">
        <v>4</v>
      </c>
      <c r="C15" t="s">
        <v>34</v>
      </c>
      <c r="D15" t="s">
        <v>46</v>
      </c>
      <c r="E15" t="s">
        <v>114</v>
      </c>
      <c r="F15">
        <v>0</v>
      </c>
      <c r="G15">
        <v>1.1459372561375478</v>
      </c>
      <c r="I15">
        <v>43</v>
      </c>
      <c r="J15">
        <v>59</v>
      </c>
      <c r="K15">
        <v>44</v>
      </c>
      <c r="L15">
        <v>59</v>
      </c>
      <c r="M15">
        <v>0</v>
      </c>
      <c r="N15">
        <v>44</v>
      </c>
      <c r="O15">
        <v>0</v>
      </c>
      <c r="P15">
        <v>43</v>
      </c>
      <c r="Q15">
        <v>5.8264504332328215E-12</v>
      </c>
      <c r="R15">
        <v>4.2000000000000003E-2</v>
      </c>
      <c r="S15">
        <v>3.0000000000000001E-3</v>
      </c>
      <c r="T15">
        <v>80</v>
      </c>
      <c r="U15">
        <v>74</v>
      </c>
      <c r="V15">
        <v>0</v>
      </c>
      <c r="W15">
        <v>1.9168999999999999E-2</v>
      </c>
      <c r="X15">
        <v>7.8130000000000005E-3</v>
      </c>
      <c r="Y15">
        <v>1.4631E-2</v>
      </c>
      <c r="Z15">
        <v>2.2443999999999999E-2</v>
      </c>
      <c r="AA15">
        <v>5.0714000000000002E-2</v>
      </c>
      <c r="AB15">
        <v>3.0409999999999999E-3</v>
      </c>
      <c r="AC15">
        <v>4.6875E-2</v>
      </c>
      <c r="AD15">
        <v>4.9916000000000002E-2</v>
      </c>
      <c r="AE15">
        <v>4388</v>
      </c>
      <c r="AF15">
        <v>80</v>
      </c>
      <c r="AG15">
        <v>4413</v>
      </c>
      <c r="AH15">
        <v>74</v>
      </c>
      <c r="AI15">
        <v>568032</v>
      </c>
      <c r="AJ15">
        <v>587965</v>
      </c>
    </row>
    <row r="16" spans="1:36" x14ac:dyDescent="0.25">
      <c r="A16" t="s">
        <v>35</v>
      </c>
      <c r="B16">
        <v>5</v>
      </c>
      <c r="C16" t="s">
        <v>34</v>
      </c>
      <c r="D16" t="s">
        <v>46</v>
      </c>
      <c r="E16" t="s">
        <v>114</v>
      </c>
      <c r="F16">
        <v>0</v>
      </c>
      <c r="G16">
        <v>1.1459372561375478</v>
      </c>
      <c r="I16">
        <v>43</v>
      </c>
      <c r="J16">
        <v>59</v>
      </c>
      <c r="K16">
        <v>44</v>
      </c>
      <c r="L16">
        <v>59</v>
      </c>
      <c r="M16">
        <v>0</v>
      </c>
      <c r="N16">
        <v>44</v>
      </c>
      <c r="O16">
        <v>0</v>
      </c>
      <c r="P16">
        <v>43</v>
      </c>
      <c r="Q16">
        <v>5.8264504332328215E-12</v>
      </c>
      <c r="R16">
        <v>0.04</v>
      </c>
      <c r="S16">
        <v>3.0000000000000001E-3</v>
      </c>
      <c r="T16">
        <v>80</v>
      </c>
      <c r="U16">
        <v>74</v>
      </c>
      <c r="V16">
        <v>0</v>
      </c>
      <c r="W16">
        <v>1.7144000000000006E-2</v>
      </c>
      <c r="X16">
        <v>4.182E-3</v>
      </c>
      <c r="Y16">
        <v>1.5713999999999999E-2</v>
      </c>
      <c r="Z16">
        <v>1.9895999999999997E-2</v>
      </c>
      <c r="AA16">
        <v>4.7366999999999992E-2</v>
      </c>
      <c r="AB16">
        <v>2.1489999999999999E-3</v>
      </c>
      <c r="AC16">
        <v>4.4644999999999997E-2</v>
      </c>
      <c r="AD16">
        <v>4.6793999999999995E-2</v>
      </c>
      <c r="AE16">
        <v>4388</v>
      </c>
      <c r="AF16">
        <v>80</v>
      </c>
      <c r="AG16">
        <v>4413</v>
      </c>
      <c r="AH16">
        <v>74</v>
      </c>
      <c r="AI16">
        <v>606665</v>
      </c>
      <c r="AJ16">
        <v>611270</v>
      </c>
    </row>
    <row r="17" spans="1:36" x14ac:dyDescent="0.25">
      <c r="A17" t="s">
        <v>35</v>
      </c>
      <c r="B17">
        <v>6</v>
      </c>
      <c r="C17" t="s">
        <v>34</v>
      </c>
      <c r="D17" t="s">
        <v>46</v>
      </c>
      <c r="E17" t="s">
        <v>114</v>
      </c>
      <c r="F17">
        <v>0</v>
      </c>
      <c r="G17">
        <v>1.1459372561375478</v>
      </c>
      <c r="I17">
        <v>43</v>
      </c>
      <c r="J17">
        <v>59</v>
      </c>
      <c r="K17">
        <v>44</v>
      </c>
      <c r="L17">
        <v>59</v>
      </c>
      <c r="M17">
        <v>0</v>
      </c>
      <c r="N17">
        <v>44</v>
      </c>
      <c r="O17">
        <v>0</v>
      </c>
      <c r="P17">
        <v>43</v>
      </c>
      <c r="Q17">
        <v>5.8264504332328215E-12</v>
      </c>
      <c r="R17">
        <v>0.04</v>
      </c>
      <c r="S17">
        <v>3.0000000000000001E-3</v>
      </c>
      <c r="T17">
        <v>80</v>
      </c>
      <c r="U17">
        <v>74</v>
      </c>
      <c r="V17">
        <v>0</v>
      </c>
      <c r="W17">
        <v>1.6952999999999996E-2</v>
      </c>
      <c r="X17">
        <v>4.9459999999999999E-3</v>
      </c>
      <c r="Y17">
        <v>1.4816999999999999E-2</v>
      </c>
      <c r="Z17">
        <v>1.9762999999999999E-2</v>
      </c>
      <c r="AA17">
        <v>4.8035000000000008E-2</v>
      </c>
      <c r="AB17">
        <v>3.6109999999999996E-3</v>
      </c>
      <c r="AC17">
        <v>4.3880999999999996E-2</v>
      </c>
      <c r="AD17">
        <v>4.7491999999999993E-2</v>
      </c>
      <c r="AE17">
        <v>4388</v>
      </c>
      <c r="AF17">
        <v>80</v>
      </c>
      <c r="AG17">
        <v>4413</v>
      </c>
      <c r="AH17">
        <v>74</v>
      </c>
      <c r="AI17">
        <v>611214</v>
      </c>
      <c r="AJ17">
        <v>616278</v>
      </c>
    </row>
    <row r="18" spans="1:36" x14ac:dyDescent="0.25">
      <c r="A18" t="s">
        <v>35</v>
      </c>
      <c r="B18">
        <v>7</v>
      </c>
      <c r="C18" t="s">
        <v>34</v>
      </c>
      <c r="D18" t="s">
        <v>46</v>
      </c>
      <c r="E18" t="s">
        <v>114</v>
      </c>
      <c r="F18">
        <v>0</v>
      </c>
      <c r="G18">
        <v>1.1459372561375478</v>
      </c>
      <c r="I18">
        <v>43</v>
      </c>
      <c r="J18">
        <v>59</v>
      </c>
      <c r="K18">
        <v>44</v>
      </c>
      <c r="L18">
        <v>59</v>
      </c>
      <c r="M18">
        <v>0</v>
      </c>
      <c r="N18">
        <v>44</v>
      </c>
      <c r="O18">
        <v>0</v>
      </c>
      <c r="P18">
        <v>43</v>
      </c>
      <c r="Q18">
        <v>5.8264504332328215E-12</v>
      </c>
      <c r="R18">
        <v>4.1000000000000002E-2</v>
      </c>
      <c r="S18">
        <v>3.0000000000000001E-3</v>
      </c>
      <c r="T18">
        <v>80</v>
      </c>
      <c r="U18">
        <v>74</v>
      </c>
      <c r="V18">
        <v>0</v>
      </c>
      <c r="W18">
        <v>1.7773999999999984E-2</v>
      </c>
      <c r="X18">
        <v>6.7059999999999993E-3</v>
      </c>
      <c r="Y18">
        <v>1.4338E-2</v>
      </c>
      <c r="Z18">
        <v>2.1044E-2</v>
      </c>
      <c r="AA18">
        <v>4.8715000000000036E-2</v>
      </c>
      <c r="AB18">
        <v>7.0479999999999996E-3</v>
      </c>
      <c r="AC18">
        <v>4.1170999999999999E-2</v>
      </c>
      <c r="AD18">
        <v>4.8218999999999998E-2</v>
      </c>
      <c r="AE18">
        <v>4388</v>
      </c>
      <c r="AF18">
        <v>80</v>
      </c>
      <c r="AG18">
        <v>4413</v>
      </c>
      <c r="AH18">
        <v>74</v>
      </c>
      <c r="AI18">
        <v>639842</v>
      </c>
      <c r="AJ18">
        <v>655753</v>
      </c>
    </row>
    <row r="19" spans="1:36" x14ac:dyDescent="0.25">
      <c r="A19" t="s">
        <v>35</v>
      </c>
      <c r="B19">
        <v>8</v>
      </c>
      <c r="C19" t="s">
        <v>34</v>
      </c>
      <c r="D19" t="s">
        <v>46</v>
      </c>
      <c r="E19" t="s">
        <v>114</v>
      </c>
      <c r="F19">
        <v>0</v>
      </c>
      <c r="G19">
        <v>1.1459372561375478</v>
      </c>
      <c r="I19">
        <v>43</v>
      </c>
      <c r="J19">
        <v>59</v>
      </c>
      <c r="K19">
        <v>44</v>
      </c>
      <c r="L19">
        <v>59</v>
      </c>
      <c r="M19">
        <v>0</v>
      </c>
      <c r="N19">
        <v>44</v>
      </c>
      <c r="O19">
        <v>0</v>
      </c>
      <c r="P19">
        <v>43</v>
      </c>
      <c r="Q19">
        <v>5.8264504332328215E-12</v>
      </c>
      <c r="R19">
        <v>5.3999999999999999E-2</v>
      </c>
      <c r="S19">
        <v>4.0000000000000001E-3</v>
      </c>
      <c r="T19">
        <v>80</v>
      </c>
      <c r="U19">
        <v>74</v>
      </c>
      <c r="V19">
        <v>0</v>
      </c>
      <c r="W19">
        <v>2.2297000000000011E-2</v>
      </c>
      <c r="X19">
        <v>8.3529999999999993E-3</v>
      </c>
      <c r="Y19">
        <v>1.7728999999999998E-2</v>
      </c>
      <c r="Z19">
        <v>2.6081999999999998E-2</v>
      </c>
      <c r="AA19">
        <v>6.465499999999999E-2</v>
      </c>
      <c r="AB19">
        <v>5.9159999999999994E-3</v>
      </c>
      <c r="AC19">
        <v>5.8113999999999999E-2</v>
      </c>
      <c r="AD19">
        <v>6.4030000000000004E-2</v>
      </c>
      <c r="AE19">
        <v>4388</v>
      </c>
      <c r="AF19">
        <v>80</v>
      </c>
      <c r="AG19">
        <v>4413</v>
      </c>
      <c r="AH19">
        <v>74</v>
      </c>
      <c r="AI19">
        <v>917643</v>
      </c>
      <c r="AJ19">
        <v>923171</v>
      </c>
    </row>
    <row r="20" spans="1:36" x14ac:dyDescent="0.25">
      <c r="A20" t="s">
        <v>35</v>
      </c>
      <c r="B20">
        <v>9</v>
      </c>
      <c r="C20" t="s">
        <v>34</v>
      </c>
      <c r="D20" t="s">
        <v>46</v>
      </c>
      <c r="E20" t="s">
        <v>114</v>
      </c>
      <c r="F20">
        <v>0</v>
      </c>
      <c r="G20">
        <v>1.1459372561375478</v>
      </c>
      <c r="I20">
        <v>43</v>
      </c>
      <c r="J20">
        <v>59</v>
      </c>
      <c r="K20">
        <v>44</v>
      </c>
      <c r="L20">
        <v>59</v>
      </c>
      <c r="M20">
        <v>0</v>
      </c>
      <c r="N20">
        <v>44</v>
      </c>
      <c r="O20">
        <v>0</v>
      </c>
      <c r="P20">
        <v>43</v>
      </c>
      <c r="Q20">
        <v>5.8264504332328215E-12</v>
      </c>
      <c r="R20">
        <v>4.2999999999999997E-2</v>
      </c>
      <c r="S20">
        <v>3.0000000000000001E-3</v>
      </c>
      <c r="T20">
        <v>80</v>
      </c>
      <c r="U20">
        <v>74</v>
      </c>
      <c r="V20">
        <v>0</v>
      </c>
      <c r="W20">
        <v>1.9059000000000006E-2</v>
      </c>
      <c r="X20">
        <v>1.056E-2</v>
      </c>
      <c r="Y20">
        <v>1.1498E-2</v>
      </c>
      <c r="Z20">
        <v>2.2058000000000001E-2</v>
      </c>
      <c r="AA20">
        <v>5.1838999999999996E-2</v>
      </c>
      <c r="AB20">
        <v>4.8189999999999995E-3</v>
      </c>
      <c r="AC20">
        <v>4.6440999999999996E-2</v>
      </c>
      <c r="AD20">
        <v>5.1259999999999993E-2</v>
      </c>
      <c r="AE20">
        <v>4388</v>
      </c>
      <c r="AF20">
        <v>80</v>
      </c>
      <c r="AG20">
        <v>4413</v>
      </c>
      <c r="AH20">
        <v>74</v>
      </c>
      <c r="AI20">
        <v>932287</v>
      </c>
      <c r="AJ20">
        <v>1022468</v>
      </c>
    </row>
    <row r="21" spans="1:36" x14ac:dyDescent="0.25">
      <c r="A21" t="s">
        <v>35</v>
      </c>
      <c r="B21">
        <v>10</v>
      </c>
      <c r="C21" t="s">
        <v>34</v>
      </c>
      <c r="D21" t="s">
        <v>46</v>
      </c>
      <c r="E21" t="s">
        <v>114</v>
      </c>
      <c r="F21">
        <v>0</v>
      </c>
      <c r="G21">
        <v>1.1459372561375478</v>
      </c>
      <c r="I21">
        <v>43</v>
      </c>
      <c r="J21">
        <v>59</v>
      </c>
      <c r="K21">
        <v>44</v>
      </c>
      <c r="L21">
        <v>59</v>
      </c>
      <c r="M21">
        <v>0</v>
      </c>
      <c r="N21">
        <v>44</v>
      </c>
      <c r="O21">
        <v>0</v>
      </c>
      <c r="P21">
        <v>43</v>
      </c>
      <c r="Q21">
        <v>5.8264504332328215E-12</v>
      </c>
      <c r="R21">
        <v>4.8000000000000001E-2</v>
      </c>
      <c r="S21">
        <v>3.0000000000000001E-3</v>
      </c>
      <c r="T21">
        <v>80</v>
      </c>
      <c r="U21">
        <v>74</v>
      </c>
      <c r="V21">
        <v>0</v>
      </c>
      <c r="W21">
        <v>2.0427000000000015E-2</v>
      </c>
      <c r="X21">
        <v>1.1271E-2</v>
      </c>
      <c r="Y21">
        <v>1.2303999999999999E-2</v>
      </c>
      <c r="Z21">
        <v>2.3574999999999999E-2</v>
      </c>
      <c r="AA21">
        <v>5.631700000000002E-2</v>
      </c>
      <c r="AB21">
        <v>1.0931E-2</v>
      </c>
      <c r="AC21">
        <v>4.4822000000000001E-2</v>
      </c>
      <c r="AD21">
        <v>5.5752999999999997E-2</v>
      </c>
      <c r="AE21">
        <v>4388</v>
      </c>
      <c r="AF21">
        <v>80</v>
      </c>
      <c r="AG21">
        <v>4413</v>
      </c>
      <c r="AH21">
        <v>74</v>
      </c>
      <c r="AI21">
        <v>933825</v>
      </c>
      <c r="AJ21">
        <v>1036596</v>
      </c>
    </row>
    <row r="22" spans="1:36" x14ac:dyDescent="0.25">
      <c r="A22" t="s">
        <v>36</v>
      </c>
      <c r="B22">
        <v>1</v>
      </c>
      <c r="C22" t="s">
        <v>34</v>
      </c>
      <c r="D22" t="s">
        <v>46</v>
      </c>
      <c r="E22" t="s">
        <v>114</v>
      </c>
      <c r="F22">
        <v>0</v>
      </c>
      <c r="G22">
        <v>229.29128070613928</v>
      </c>
      <c r="I22">
        <v>12</v>
      </c>
      <c r="J22">
        <v>15</v>
      </c>
      <c r="K22">
        <v>13</v>
      </c>
      <c r="L22">
        <v>15</v>
      </c>
      <c r="M22">
        <v>0</v>
      </c>
      <c r="N22">
        <v>13</v>
      </c>
      <c r="O22">
        <v>0</v>
      </c>
      <c r="P22">
        <v>12</v>
      </c>
      <c r="Q22">
        <v>2.8421709430404007E-14</v>
      </c>
      <c r="R22">
        <v>1.7999999999999999E-2</v>
      </c>
      <c r="S22">
        <v>2E-3</v>
      </c>
      <c r="T22">
        <v>202</v>
      </c>
      <c r="U22">
        <v>176</v>
      </c>
      <c r="V22">
        <v>0</v>
      </c>
      <c r="W22">
        <v>5.7086999999999992E-2</v>
      </c>
      <c r="X22">
        <v>2.7366999999999999E-2</v>
      </c>
      <c r="Y22">
        <v>3.3472999999999996E-2</v>
      </c>
      <c r="Z22">
        <v>6.0839999999999991E-2</v>
      </c>
      <c r="AA22">
        <v>2.8637000000000003E-2</v>
      </c>
      <c r="AB22">
        <v>4.9249999999999997E-3</v>
      </c>
      <c r="AC22">
        <v>2.2651999999999999E-2</v>
      </c>
      <c r="AD22">
        <v>2.7576999999999997E-2</v>
      </c>
      <c r="AE22">
        <v>13169</v>
      </c>
      <c r="AF22">
        <v>202</v>
      </c>
      <c r="AG22">
        <v>13234</v>
      </c>
      <c r="AH22">
        <v>176</v>
      </c>
      <c r="AI22">
        <v>32921</v>
      </c>
      <c r="AJ22">
        <v>44185</v>
      </c>
    </row>
    <row r="23" spans="1:36" x14ac:dyDescent="0.25">
      <c r="A23" t="s">
        <v>36</v>
      </c>
      <c r="B23">
        <v>2</v>
      </c>
      <c r="C23" t="s">
        <v>34</v>
      </c>
      <c r="D23" t="s">
        <v>46</v>
      </c>
      <c r="E23" t="s">
        <v>114</v>
      </c>
      <c r="F23">
        <v>0</v>
      </c>
      <c r="G23">
        <v>229.29128070613928</v>
      </c>
      <c r="I23">
        <v>12</v>
      </c>
      <c r="J23">
        <v>15</v>
      </c>
      <c r="K23">
        <v>13</v>
      </c>
      <c r="L23">
        <v>15</v>
      </c>
      <c r="M23">
        <v>0</v>
      </c>
      <c r="N23">
        <v>13</v>
      </c>
      <c r="O23">
        <v>0</v>
      </c>
      <c r="P23">
        <v>12</v>
      </c>
      <c r="Q23">
        <v>2.8421709430404007E-14</v>
      </c>
      <c r="R23">
        <v>1.7000000000000001E-2</v>
      </c>
      <c r="S23">
        <v>2E-3</v>
      </c>
      <c r="T23">
        <v>202</v>
      </c>
      <c r="U23">
        <v>176</v>
      </c>
      <c r="V23">
        <v>0</v>
      </c>
      <c r="W23">
        <v>5.6800000000000003E-2</v>
      </c>
      <c r="X23">
        <v>1.7759999999999998E-2</v>
      </c>
      <c r="Y23">
        <v>4.2429999999999995E-2</v>
      </c>
      <c r="Z23">
        <v>6.0189999999999994E-2</v>
      </c>
      <c r="AA23">
        <v>2.6775999999999994E-2</v>
      </c>
      <c r="AB23">
        <v>2.9679999999999997E-3</v>
      </c>
      <c r="AC23">
        <v>2.2740999999999997E-2</v>
      </c>
      <c r="AD23">
        <v>2.5708999999999996E-2</v>
      </c>
      <c r="AE23">
        <v>13169</v>
      </c>
      <c r="AF23">
        <v>202</v>
      </c>
      <c r="AG23">
        <v>13234</v>
      </c>
      <c r="AH23">
        <v>176</v>
      </c>
      <c r="AI23">
        <v>44495</v>
      </c>
      <c r="AJ23">
        <v>61666</v>
      </c>
    </row>
    <row r="24" spans="1:36" x14ac:dyDescent="0.25">
      <c r="A24" t="s">
        <v>36</v>
      </c>
      <c r="B24">
        <v>3</v>
      </c>
      <c r="C24" t="s">
        <v>34</v>
      </c>
      <c r="D24" t="s">
        <v>46</v>
      </c>
      <c r="E24" t="s">
        <v>114</v>
      </c>
      <c r="F24">
        <v>0</v>
      </c>
      <c r="G24">
        <v>229.29128070613936</v>
      </c>
      <c r="I24">
        <v>12</v>
      </c>
      <c r="J24">
        <v>15</v>
      </c>
      <c r="K24">
        <v>13</v>
      </c>
      <c r="L24">
        <v>15</v>
      </c>
      <c r="M24">
        <v>0</v>
      </c>
      <c r="N24">
        <v>13</v>
      </c>
      <c r="O24">
        <v>0</v>
      </c>
      <c r="P24">
        <v>12</v>
      </c>
      <c r="Q24">
        <v>2.8421709430404007E-14</v>
      </c>
      <c r="R24">
        <v>3.3000000000000002E-2</v>
      </c>
      <c r="S24">
        <v>5.0000000000000001E-3</v>
      </c>
      <c r="T24">
        <v>202</v>
      </c>
      <c r="U24">
        <v>176</v>
      </c>
      <c r="V24">
        <v>0</v>
      </c>
      <c r="W24">
        <v>7.8393000000000046E-2</v>
      </c>
      <c r="X24">
        <v>2.1828E-2</v>
      </c>
      <c r="Y24">
        <v>6.1527999999999999E-2</v>
      </c>
      <c r="Z24">
        <v>8.3356E-2</v>
      </c>
      <c r="AA24">
        <v>4.876999999999998E-2</v>
      </c>
      <c r="AB24">
        <v>6.9800000000000001E-3</v>
      </c>
      <c r="AC24">
        <v>4.0853E-2</v>
      </c>
      <c r="AD24">
        <v>4.7833000000000001E-2</v>
      </c>
      <c r="AE24">
        <v>13169</v>
      </c>
      <c r="AF24">
        <v>202</v>
      </c>
      <c r="AG24">
        <v>13234</v>
      </c>
      <c r="AH24">
        <v>176</v>
      </c>
      <c r="AI24">
        <v>85213</v>
      </c>
      <c r="AJ24">
        <v>89666</v>
      </c>
    </row>
    <row r="25" spans="1:36" x14ac:dyDescent="0.25">
      <c r="A25" t="s">
        <v>36</v>
      </c>
      <c r="B25">
        <v>4</v>
      </c>
      <c r="C25" t="s">
        <v>34</v>
      </c>
      <c r="D25" t="s">
        <v>46</v>
      </c>
      <c r="E25" t="s">
        <v>114</v>
      </c>
      <c r="F25">
        <v>0</v>
      </c>
      <c r="G25">
        <v>229.29128070613936</v>
      </c>
      <c r="I25">
        <v>12</v>
      </c>
      <c r="J25">
        <v>15</v>
      </c>
      <c r="K25">
        <v>13</v>
      </c>
      <c r="L25">
        <v>15</v>
      </c>
      <c r="M25">
        <v>0</v>
      </c>
      <c r="N25">
        <v>13</v>
      </c>
      <c r="O25">
        <v>0</v>
      </c>
      <c r="P25">
        <v>12</v>
      </c>
      <c r="Q25">
        <v>2.8421709430404007E-14</v>
      </c>
      <c r="R25">
        <v>3.3000000000000002E-2</v>
      </c>
      <c r="S25">
        <v>5.0000000000000001E-3</v>
      </c>
      <c r="T25">
        <v>202</v>
      </c>
      <c r="U25">
        <v>176</v>
      </c>
      <c r="V25">
        <v>0</v>
      </c>
      <c r="W25">
        <v>7.7143000000000003E-2</v>
      </c>
      <c r="X25">
        <v>1.8862E-2</v>
      </c>
      <c r="Y25">
        <v>6.3542000000000001E-2</v>
      </c>
      <c r="Z25">
        <v>8.2404000000000005E-2</v>
      </c>
      <c r="AA25">
        <v>4.9886E-2</v>
      </c>
      <c r="AB25">
        <v>6.267E-3</v>
      </c>
      <c r="AC25">
        <v>4.1950999999999995E-2</v>
      </c>
      <c r="AD25">
        <v>4.8217999999999997E-2</v>
      </c>
      <c r="AE25">
        <v>13169</v>
      </c>
      <c r="AF25">
        <v>202</v>
      </c>
      <c r="AG25">
        <v>13234</v>
      </c>
      <c r="AH25">
        <v>176</v>
      </c>
      <c r="AI25">
        <v>593125</v>
      </c>
      <c r="AJ25">
        <v>598554</v>
      </c>
    </row>
    <row r="26" spans="1:36" x14ac:dyDescent="0.25">
      <c r="A26" t="s">
        <v>36</v>
      </c>
      <c r="B26">
        <v>5</v>
      </c>
      <c r="C26" t="s">
        <v>34</v>
      </c>
      <c r="D26" t="s">
        <v>46</v>
      </c>
      <c r="E26" t="s">
        <v>114</v>
      </c>
      <c r="F26">
        <v>0</v>
      </c>
      <c r="G26">
        <v>229.29128070613928</v>
      </c>
      <c r="I26">
        <v>12</v>
      </c>
      <c r="J26">
        <v>15</v>
      </c>
      <c r="K26">
        <v>13</v>
      </c>
      <c r="L26">
        <v>15</v>
      </c>
      <c r="M26">
        <v>0</v>
      </c>
      <c r="N26">
        <v>13</v>
      </c>
      <c r="O26">
        <v>0</v>
      </c>
      <c r="P26">
        <v>12</v>
      </c>
      <c r="Q26">
        <v>2.8421709430404007E-14</v>
      </c>
      <c r="R26">
        <v>1.4999999999999999E-2</v>
      </c>
      <c r="S26">
        <v>2E-3</v>
      </c>
      <c r="T26">
        <v>202</v>
      </c>
      <c r="U26">
        <v>176</v>
      </c>
      <c r="V26">
        <v>0</v>
      </c>
      <c r="W26">
        <v>4.7292000000000008E-2</v>
      </c>
      <c r="X26">
        <v>1.7144E-2</v>
      </c>
      <c r="Y26">
        <v>3.3297E-2</v>
      </c>
      <c r="Z26">
        <v>5.0441E-2</v>
      </c>
      <c r="AA26">
        <v>2.4816999999999999E-2</v>
      </c>
      <c r="AB26">
        <v>5.8399999999999997E-3</v>
      </c>
      <c r="AC26">
        <v>1.8002999999999998E-2</v>
      </c>
      <c r="AD26">
        <v>2.3842999999999996E-2</v>
      </c>
      <c r="AE26">
        <v>13169</v>
      </c>
      <c r="AF26">
        <v>202</v>
      </c>
      <c r="AG26">
        <v>13234</v>
      </c>
      <c r="AH26">
        <v>176</v>
      </c>
      <c r="AI26">
        <v>612698</v>
      </c>
      <c r="AJ26">
        <v>617516</v>
      </c>
    </row>
    <row r="27" spans="1:36" x14ac:dyDescent="0.25">
      <c r="A27" t="s">
        <v>36</v>
      </c>
      <c r="B27">
        <v>6</v>
      </c>
      <c r="C27" t="s">
        <v>34</v>
      </c>
      <c r="D27" t="s">
        <v>46</v>
      </c>
      <c r="E27" t="s">
        <v>114</v>
      </c>
      <c r="F27">
        <v>0</v>
      </c>
      <c r="G27">
        <v>229.29128070613928</v>
      </c>
      <c r="I27">
        <v>12</v>
      </c>
      <c r="J27">
        <v>15</v>
      </c>
      <c r="K27">
        <v>13</v>
      </c>
      <c r="L27">
        <v>15</v>
      </c>
      <c r="M27">
        <v>0</v>
      </c>
      <c r="N27">
        <v>13</v>
      </c>
      <c r="O27">
        <v>0</v>
      </c>
      <c r="P27">
        <v>12</v>
      </c>
      <c r="Q27">
        <v>2.8421709430404007E-14</v>
      </c>
      <c r="R27">
        <v>1.7999999999999999E-2</v>
      </c>
      <c r="S27">
        <v>2E-3</v>
      </c>
      <c r="T27">
        <v>202</v>
      </c>
      <c r="U27">
        <v>176</v>
      </c>
      <c r="V27">
        <v>0</v>
      </c>
      <c r="W27">
        <v>4.8258000000000002E-2</v>
      </c>
      <c r="X27">
        <v>1.7843999999999999E-2</v>
      </c>
      <c r="Y27">
        <v>3.3696999999999998E-2</v>
      </c>
      <c r="Z27">
        <v>5.1540999999999997E-2</v>
      </c>
      <c r="AA27">
        <v>2.7257999999999998E-2</v>
      </c>
      <c r="AB27">
        <v>4.084E-3</v>
      </c>
      <c r="AC27">
        <v>2.2210000000000001E-2</v>
      </c>
      <c r="AD27">
        <v>2.6294000000000001E-2</v>
      </c>
      <c r="AE27">
        <v>13169</v>
      </c>
      <c r="AF27">
        <v>202</v>
      </c>
      <c r="AG27">
        <v>13234</v>
      </c>
      <c r="AH27">
        <v>176</v>
      </c>
      <c r="AI27">
        <v>614227</v>
      </c>
      <c r="AJ27">
        <v>618819</v>
      </c>
    </row>
    <row r="28" spans="1:36" x14ac:dyDescent="0.25">
      <c r="A28" t="s">
        <v>36</v>
      </c>
      <c r="B28">
        <v>7</v>
      </c>
      <c r="C28" t="s">
        <v>34</v>
      </c>
      <c r="D28" t="s">
        <v>46</v>
      </c>
      <c r="E28" t="s">
        <v>114</v>
      </c>
      <c r="F28">
        <v>0</v>
      </c>
      <c r="G28">
        <v>229.29128070613928</v>
      </c>
      <c r="I28">
        <v>12</v>
      </c>
      <c r="J28">
        <v>15</v>
      </c>
      <c r="K28">
        <v>13</v>
      </c>
      <c r="L28">
        <v>15</v>
      </c>
      <c r="M28">
        <v>0</v>
      </c>
      <c r="N28">
        <v>13</v>
      </c>
      <c r="O28">
        <v>0</v>
      </c>
      <c r="P28">
        <v>12</v>
      </c>
      <c r="Q28">
        <v>2.8421709430404007E-14</v>
      </c>
      <c r="R28">
        <v>1.7999999999999999E-2</v>
      </c>
      <c r="S28">
        <v>2E-3</v>
      </c>
      <c r="T28">
        <v>202</v>
      </c>
      <c r="U28">
        <v>176</v>
      </c>
      <c r="V28">
        <v>0</v>
      </c>
      <c r="W28">
        <v>5.9590000000000011E-2</v>
      </c>
      <c r="X28">
        <v>1.8874999999999999E-2</v>
      </c>
      <c r="Y28">
        <v>4.4683E-2</v>
      </c>
      <c r="Z28">
        <v>6.3558000000000003E-2</v>
      </c>
      <c r="AA28">
        <v>2.8379999999999996E-2</v>
      </c>
      <c r="AB28">
        <v>6.0769999999999999E-3</v>
      </c>
      <c r="AC28">
        <v>2.1271999999999999E-2</v>
      </c>
      <c r="AD28">
        <v>2.7348999999999998E-2</v>
      </c>
      <c r="AE28">
        <v>13169</v>
      </c>
      <c r="AF28">
        <v>202</v>
      </c>
      <c r="AG28">
        <v>13234</v>
      </c>
      <c r="AH28">
        <v>176</v>
      </c>
      <c r="AI28">
        <v>656000</v>
      </c>
      <c r="AJ28">
        <v>792307</v>
      </c>
    </row>
    <row r="29" spans="1:36" x14ac:dyDescent="0.25">
      <c r="A29" t="s">
        <v>36</v>
      </c>
      <c r="B29">
        <v>8</v>
      </c>
      <c r="C29" t="s">
        <v>34</v>
      </c>
      <c r="D29" t="s">
        <v>46</v>
      </c>
      <c r="E29" t="s">
        <v>114</v>
      </c>
      <c r="F29">
        <v>0</v>
      </c>
      <c r="G29">
        <v>229.29128070613928</v>
      </c>
      <c r="I29">
        <v>12</v>
      </c>
      <c r="J29">
        <v>15</v>
      </c>
      <c r="K29">
        <v>13</v>
      </c>
      <c r="L29">
        <v>15</v>
      </c>
      <c r="M29">
        <v>0</v>
      </c>
      <c r="N29">
        <v>13</v>
      </c>
      <c r="O29">
        <v>0</v>
      </c>
      <c r="P29">
        <v>12</v>
      </c>
      <c r="Q29">
        <v>2.8421709430404007E-14</v>
      </c>
      <c r="R29">
        <v>1.7000000000000001E-2</v>
      </c>
      <c r="S29">
        <v>2E-3</v>
      </c>
      <c r="T29">
        <v>202</v>
      </c>
      <c r="U29">
        <v>176</v>
      </c>
      <c r="V29">
        <v>0</v>
      </c>
      <c r="W29">
        <v>4.8011000000000005E-2</v>
      </c>
      <c r="X29">
        <v>2.2557999999999998E-2</v>
      </c>
      <c r="Y29">
        <v>2.8427999999999998E-2</v>
      </c>
      <c r="Z29">
        <v>5.0985999999999997E-2</v>
      </c>
      <c r="AA29">
        <v>2.5735000000000001E-2</v>
      </c>
      <c r="AB29">
        <v>2.0709999999999999E-3</v>
      </c>
      <c r="AC29">
        <v>2.3046000000000001E-2</v>
      </c>
      <c r="AD29">
        <v>2.5117E-2</v>
      </c>
      <c r="AE29">
        <v>13169</v>
      </c>
      <c r="AF29">
        <v>202</v>
      </c>
      <c r="AG29">
        <v>13234</v>
      </c>
      <c r="AH29">
        <v>176</v>
      </c>
      <c r="AI29">
        <v>920661</v>
      </c>
      <c r="AJ29">
        <v>932181</v>
      </c>
    </row>
    <row r="30" spans="1:36" x14ac:dyDescent="0.25">
      <c r="A30" t="s">
        <v>36</v>
      </c>
      <c r="B30">
        <v>9</v>
      </c>
      <c r="C30" t="s">
        <v>34</v>
      </c>
      <c r="D30" t="s">
        <v>46</v>
      </c>
      <c r="E30" t="s">
        <v>114</v>
      </c>
      <c r="F30">
        <v>0</v>
      </c>
      <c r="G30">
        <v>229.29128070613928</v>
      </c>
      <c r="I30">
        <v>12</v>
      </c>
      <c r="J30">
        <v>15</v>
      </c>
      <c r="K30">
        <v>13</v>
      </c>
      <c r="L30">
        <v>15</v>
      </c>
      <c r="M30">
        <v>0</v>
      </c>
      <c r="N30">
        <v>13</v>
      </c>
      <c r="O30">
        <v>0</v>
      </c>
      <c r="P30">
        <v>12</v>
      </c>
      <c r="Q30">
        <v>2.8421709430404007E-14</v>
      </c>
      <c r="R30">
        <v>1.7000000000000001E-2</v>
      </c>
      <c r="S30">
        <v>2E-3</v>
      </c>
      <c r="T30">
        <v>202</v>
      </c>
      <c r="U30">
        <v>176</v>
      </c>
      <c r="V30">
        <v>0</v>
      </c>
      <c r="W30">
        <v>4.7779000000000009E-2</v>
      </c>
      <c r="X30">
        <v>1.7207999999999998E-2</v>
      </c>
      <c r="Y30">
        <v>3.3382999999999996E-2</v>
      </c>
      <c r="Z30">
        <v>5.0590999999999997E-2</v>
      </c>
      <c r="AA30">
        <v>2.5521999999999996E-2</v>
      </c>
      <c r="AB30">
        <v>1.1359999999999999E-3</v>
      </c>
      <c r="AC30">
        <v>2.3802E-2</v>
      </c>
      <c r="AD30">
        <v>2.4938000000000002E-2</v>
      </c>
      <c r="AE30">
        <v>13169</v>
      </c>
      <c r="AF30">
        <v>202</v>
      </c>
      <c r="AG30">
        <v>13234</v>
      </c>
      <c r="AH30">
        <v>176</v>
      </c>
      <c r="AI30">
        <v>922188</v>
      </c>
      <c r="AJ30">
        <v>933418</v>
      </c>
    </row>
    <row r="31" spans="1:36" x14ac:dyDescent="0.25">
      <c r="A31" t="s">
        <v>36</v>
      </c>
      <c r="B31">
        <v>10</v>
      </c>
      <c r="C31" t="s">
        <v>34</v>
      </c>
      <c r="D31" t="s">
        <v>46</v>
      </c>
      <c r="E31" t="s">
        <v>114</v>
      </c>
      <c r="F31">
        <v>0</v>
      </c>
      <c r="G31">
        <v>229.29128070613928</v>
      </c>
      <c r="I31">
        <v>12</v>
      </c>
      <c r="J31">
        <v>15</v>
      </c>
      <c r="K31">
        <v>13</v>
      </c>
      <c r="L31">
        <v>15</v>
      </c>
      <c r="M31">
        <v>0</v>
      </c>
      <c r="N31">
        <v>13</v>
      </c>
      <c r="O31">
        <v>0</v>
      </c>
      <c r="P31">
        <v>12</v>
      </c>
      <c r="Q31">
        <v>2.8421709430404007E-14</v>
      </c>
      <c r="R31">
        <v>0.02</v>
      </c>
      <c r="S31">
        <v>4.0000000000000001E-3</v>
      </c>
      <c r="T31">
        <v>202</v>
      </c>
      <c r="U31">
        <v>176</v>
      </c>
      <c r="V31">
        <v>0</v>
      </c>
      <c r="W31">
        <v>6.2069000000000006E-2</v>
      </c>
      <c r="X31">
        <v>1.2841999999999999E-2</v>
      </c>
      <c r="Y31">
        <v>5.3301999999999995E-2</v>
      </c>
      <c r="Z31">
        <v>6.6143999999999994E-2</v>
      </c>
      <c r="AA31">
        <v>3.252E-2</v>
      </c>
      <c r="AB31">
        <v>7.9629999999999996E-3</v>
      </c>
      <c r="AC31">
        <v>2.3864999999999997E-2</v>
      </c>
      <c r="AD31">
        <v>3.1827999999999995E-2</v>
      </c>
      <c r="AE31">
        <v>13169</v>
      </c>
      <c r="AF31">
        <v>202</v>
      </c>
      <c r="AG31">
        <v>13234</v>
      </c>
      <c r="AH31">
        <v>176</v>
      </c>
      <c r="AI31">
        <v>1296243</v>
      </c>
      <c r="AJ31">
        <v>1313303</v>
      </c>
    </row>
    <row r="32" spans="1:36" x14ac:dyDescent="0.25">
      <c r="A32" t="s">
        <v>37</v>
      </c>
      <c r="B32">
        <v>1</v>
      </c>
      <c r="C32" t="s">
        <v>34</v>
      </c>
      <c r="D32" t="s">
        <v>46</v>
      </c>
      <c r="E32" t="s">
        <v>114</v>
      </c>
      <c r="F32">
        <v>0</v>
      </c>
      <c r="G32">
        <v>260.43008529551344</v>
      </c>
      <c r="I32">
        <v>11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11</v>
      </c>
      <c r="Q32">
        <v>1.0267342531733448E-12</v>
      </c>
      <c r="R32">
        <v>2.5999999999999999E-2</v>
      </c>
      <c r="S32">
        <v>6.7000000000000004E-2</v>
      </c>
      <c r="T32">
        <v>266</v>
      </c>
      <c r="U32">
        <v>212</v>
      </c>
      <c r="V32">
        <v>2</v>
      </c>
      <c r="W32">
        <v>0.43707400000000002</v>
      </c>
      <c r="X32">
        <v>7.5685000000000002E-2</v>
      </c>
      <c r="Y32">
        <v>0.366454</v>
      </c>
      <c r="Z32">
        <v>0.442139</v>
      </c>
      <c r="AA32">
        <v>0.12851099999999999</v>
      </c>
      <c r="AB32">
        <v>1.2584999999999999E-2</v>
      </c>
      <c r="AC32">
        <v>0.112262</v>
      </c>
      <c r="AD32">
        <v>0.124847</v>
      </c>
      <c r="AE32">
        <v>99109</v>
      </c>
      <c r="AF32">
        <v>266</v>
      </c>
      <c r="AG32">
        <v>98877</v>
      </c>
      <c r="AH32">
        <v>214</v>
      </c>
      <c r="AI32">
        <v>32921</v>
      </c>
      <c r="AJ32">
        <v>45819</v>
      </c>
    </row>
    <row r="33" spans="1:36" x14ac:dyDescent="0.25">
      <c r="A33" t="s">
        <v>37</v>
      </c>
      <c r="B33">
        <v>2</v>
      </c>
      <c r="C33" t="s">
        <v>34</v>
      </c>
      <c r="D33" t="s">
        <v>46</v>
      </c>
      <c r="E33" t="s">
        <v>114</v>
      </c>
      <c r="F33">
        <v>0</v>
      </c>
      <c r="G33">
        <v>260.43008529551355</v>
      </c>
      <c r="I33">
        <v>11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11</v>
      </c>
      <c r="Q33">
        <v>1.0729195309977513E-12</v>
      </c>
      <c r="R33">
        <v>4.7E-2</v>
      </c>
      <c r="S33">
        <v>0.124</v>
      </c>
      <c r="T33">
        <v>266</v>
      </c>
      <c r="U33">
        <v>212</v>
      </c>
      <c r="V33">
        <v>2</v>
      </c>
      <c r="W33">
        <v>0.64365800000000006</v>
      </c>
      <c r="X33">
        <v>9.7629999999999995E-2</v>
      </c>
      <c r="Y33">
        <v>0.55204799999999998</v>
      </c>
      <c r="Z33">
        <v>0.64967799999999998</v>
      </c>
      <c r="AA33">
        <v>0.22043099999999993</v>
      </c>
      <c r="AB33">
        <v>1.8978999999999999E-2</v>
      </c>
      <c r="AC33">
        <v>0.19681499999999999</v>
      </c>
      <c r="AD33">
        <v>0.21579399999999999</v>
      </c>
      <c r="AE33">
        <v>99109</v>
      </c>
      <c r="AF33">
        <v>266</v>
      </c>
      <c r="AG33">
        <v>98877</v>
      </c>
      <c r="AH33">
        <v>214</v>
      </c>
      <c r="AI33">
        <v>44495</v>
      </c>
      <c r="AJ33">
        <v>62437</v>
      </c>
    </row>
    <row r="34" spans="1:36" x14ac:dyDescent="0.25">
      <c r="A34" t="s">
        <v>37</v>
      </c>
      <c r="B34">
        <v>3</v>
      </c>
      <c r="C34" t="s">
        <v>34</v>
      </c>
      <c r="D34" t="s">
        <v>46</v>
      </c>
      <c r="E34" t="s">
        <v>114</v>
      </c>
      <c r="F34">
        <v>0</v>
      </c>
      <c r="G34">
        <v>260.43008529551344</v>
      </c>
      <c r="I34">
        <v>11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11</v>
      </c>
      <c r="Q34">
        <v>1.0267342531733448E-12</v>
      </c>
      <c r="R34">
        <v>2.5999999999999999E-2</v>
      </c>
      <c r="S34">
        <v>7.0999999999999994E-2</v>
      </c>
      <c r="T34">
        <v>266</v>
      </c>
      <c r="U34">
        <v>212</v>
      </c>
      <c r="V34">
        <v>2</v>
      </c>
      <c r="W34">
        <v>0.43981300000000012</v>
      </c>
      <c r="X34">
        <v>6.5719E-2</v>
      </c>
      <c r="Y34">
        <v>0.37751999999999997</v>
      </c>
      <c r="Z34">
        <v>0.44323899999999994</v>
      </c>
      <c r="AA34">
        <v>0.12759599999999993</v>
      </c>
      <c r="AB34">
        <v>8.0079999999999995E-3</v>
      </c>
      <c r="AC34">
        <v>0.11720499999999999</v>
      </c>
      <c r="AD34">
        <v>0.12521299999999999</v>
      </c>
      <c r="AE34">
        <v>99109</v>
      </c>
      <c r="AF34">
        <v>266</v>
      </c>
      <c r="AG34">
        <v>98877</v>
      </c>
      <c r="AH34">
        <v>214</v>
      </c>
      <c r="AI34">
        <v>85214</v>
      </c>
      <c r="AJ34">
        <v>90817</v>
      </c>
    </row>
    <row r="35" spans="1:36" x14ac:dyDescent="0.25">
      <c r="A35" t="s">
        <v>37</v>
      </c>
      <c r="B35">
        <v>4</v>
      </c>
      <c r="C35" t="s">
        <v>34</v>
      </c>
      <c r="D35" t="s">
        <v>46</v>
      </c>
      <c r="E35" t="s">
        <v>114</v>
      </c>
      <c r="F35">
        <v>0</v>
      </c>
      <c r="G35">
        <v>260.43008529551355</v>
      </c>
      <c r="I35">
        <v>11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11</v>
      </c>
      <c r="Q35">
        <v>1.0729195309977513E-12</v>
      </c>
      <c r="R35">
        <v>4.5999999999999999E-2</v>
      </c>
      <c r="S35">
        <v>0.11700000000000001</v>
      </c>
      <c r="T35">
        <v>266</v>
      </c>
      <c r="U35">
        <v>212</v>
      </c>
      <c r="V35">
        <v>2</v>
      </c>
      <c r="W35">
        <v>0.63006499999999999</v>
      </c>
      <c r="X35">
        <v>9.2621999999999996E-2</v>
      </c>
      <c r="Y35">
        <v>0.54294500000000001</v>
      </c>
      <c r="Z35">
        <v>0.63556699999999999</v>
      </c>
      <c r="AA35">
        <v>0.21168700000000007</v>
      </c>
      <c r="AB35">
        <v>1.6493999999999998E-2</v>
      </c>
      <c r="AC35">
        <v>0.19068399999999999</v>
      </c>
      <c r="AD35">
        <v>0.207178</v>
      </c>
      <c r="AE35">
        <v>99109</v>
      </c>
      <c r="AF35">
        <v>266</v>
      </c>
      <c r="AG35">
        <v>98877</v>
      </c>
      <c r="AH35">
        <v>214</v>
      </c>
      <c r="AI35">
        <v>593126</v>
      </c>
      <c r="AJ35">
        <v>601633</v>
      </c>
    </row>
    <row r="36" spans="1:36" x14ac:dyDescent="0.25">
      <c r="A36" t="s">
        <v>37</v>
      </c>
      <c r="B36">
        <v>5</v>
      </c>
      <c r="C36" t="s">
        <v>34</v>
      </c>
      <c r="D36" t="s">
        <v>46</v>
      </c>
      <c r="E36" t="s">
        <v>114</v>
      </c>
      <c r="F36">
        <v>0</v>
      </c>
      <c r="G36">
        <v>260.43008529551344</v>
      </c>
      <c r="I36">
        <v>11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11</v>
      </c>
      <c r="Q36">
        <v>1.0267342531733448E-12</v>
      </c>
      <c r="R36">
        <v>2.5000000000000001E-2</v>
      </c>
      <c r="S36">
        <v>6.5000000000000002E-2</v>
      </c>
      <c r="T36">
        <v>266</v>
      </c>
      <c r="U36">
        <v>212</v>
      </c>
      <c r="V36">
        <v>2</v>
      </c>
      <c r="W36">
        <v>0.39139599999999997</v>
      </c>
      <c r="X36">
        <v>7.195399999999999E-2</v>
      </c>
      <c r="Y36">
        <v>0.32383499999999998</v>
      </c>
      <c r="Z36">
        <v>0.39578899999999995</v>
      </c>
      <c r="AA36">
        <v>0.12065400000000004</v>
      </c>
      <c r="AB36">
        <v>1.0931999999999999E-2</v>
      </c>
      <c r="AC36">
        <v>0.106345</v>
      </c>
      <c r="AD36">
        <v>0.11727699999999999</v>
      </c>
      <c r="AE36">
        <v>99109</v>
      </c>
      <c r="AF36">
        <v>266</v>
      </c>
      <c r="AG36">
        <v>98877</v>
      </c>
      <c r="AH36">
        <v>214</v>
      </c>
      <c r="AI36">
        <v>615706</v>
      </c>
      <c r="AJ36">
        <v>622974</v>
      </c>
    </row>
    <row r="37" spans="1:36" x14ac:dyDescent="0.25">
      <c r="A37" t="s">
        <v>37</v>
      </c>
      <c r="B37">
        <v>6</v>
      </c>
      <c r="C37" t="s">
        <v>34</v>
      </c>
      <c r="D37" t="s">
        <v>46</v>
      </c>
      <c r="E37" t="s">
        <v>114</v>
      </c>
      <c r="F37">
        <v>0</v>
      </c>
      <c r="G37">
        <v>260.43008529551344</v>
      </c>
      <c r="I37">
        <v>11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11</v>
      </c>
      <c r="Q37">
        <v>1.0267342531733448E-12</v>
      </c>
      <c r="R37">
        <v>2.5000000000000001E-2</v>
      </c>
      <c r="S37">
        <v>6.6000000000000003E-2</v>
      </c>
      <c r="T37">
        <v>266</v>
      </c>
      <c r="U37">
        <v>212</v>
      </c>
      <c r="V37">
        <v>2</v>
      </c>
      <c r="W37">
        <v>0.38992599999999999</v>
      </c>
      <c r="X37">
        <v>7.385499999999999E-2</v>
      </c>
      <c r="Y37">
        <v>0.32040599999999997</v>
      </c>
      <c r="Z37">
        <v>0.39426099999999997</v>
      </c>
      <c r="AA37">
        <v>0.12183100000000002</v>
      </c>
      <c r="AB37">
        <v>8.9439999999999988E-3</v>
      </c>
      <c r="AC37">
        <v>0.109484</v>
      </c>
      <c r="AD37">
        <v>0.11842799999999999</v>
      </c>
      <c r="AE37">
        <v>99109</v>
      </c>
      <c r="AF37">
        <v>266</v>
      </c>
      <c r="AG37">
        <v>98877</v>
      </c>
      <c r="AH37">
        <v>214</v>
      </c>
      <c r="AI37">
        <v>619228</v>
      </c>
      <c r="AJ37">
        <v>628879</v>
      </c>
    </row>
    <row r="38" spans="1:36" x14ac:dyDescent="0.25">
      <c r="A38" t="s">
        <v>37</v>
      </c>
      <c r="B38">
        <v>7</v>
      </c>
      <c r="C38" t="s">
        <v>34</v>
      </c>
      <c r="D38" t="s">
        <v>46</v>
      </c>
      <c r="E38" t="s">
        <v>114</v>
      </c>
      <c r="F38">
        <v>0</v>
      </c>
      <c r="G38">
        <v>260.43008529551344</v>
      </c>
      <c r="I38">
        <v>11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11</v>
      </c>
      <c r="Q38">
        <v>1.0267342531733448E-12</v>
      </c>
      <c r="R38">
        <v>2.5000000000000001E-2</v>
      </c>
      <c r="S38">
        <v>6.5000000000000002E-2</v>
      </c>
      <c r="T38">
        <v>266</v>
      </c>
      <c r="U38">
        <v>212</v>
      </c>
      <c r="V38">
        <v>2</v>
      </c>
      <c r="W38">
        <v>0.39353999999999995</v>
      </c>
      <c r="X38">
        <v>7.5795000000000001E-2</v>
      </c>
      <c r="Y38">
        <v>0.32229599999999997</v>
      </c>
      <c r="Z38">
        <v>0.39809099999999997</v>
      </c>
      <c r="AA38">
        <v>0.12125200000000008</v>
      </c>
      <c r="AB38">
        <v>1.1982999999999999E-2</v>
      </c>
      <c r="AC38">
        <v>0.10590899999999999</v>
      </c>
      <c r="AD38">
        <v>0.11789199999999998</v>
      </c>
      <c r="AE38">
        <v>99109</v>
      </c>
      <c r="AF38">
        <v>266</v>
      </c>
      <c r="AG38">
        <v>98877</v>
      </c>
      <c r="AH38">
        <v>214</v>
      </c>
      <c r="AI38">
        <v>635808</v>
      </c>
      <c r="AJ38">
        <v>642698</v>
      </c>
    </row>
    <row r="39" spans="1:36" x14ac:dyDescent="0.25">
      <c r="A39" t="s">
        <v>37</v>
      </c>
      <c r="B39">
        <v>8</v>
      </c>
      <c r="C39" t="s">
        <v>34</v>
      </c>
      <c r="D39" t="s">
        <v>46</v>
      </c>
      <c r="E39" t="s">
        <v>114</v>
      </c>
      <c r="F39">
        <v>0</v>
      </c>
      <c r="G39">
        <v>260.43008529551355</v>
      </c>
      <c r="I39">
        <v>11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11</v>
      </c>
      <c r="Q39">
        <v>1.0729195309977513E-12</v>
      </c>
      <c r="R39">
        <v>5.0999999999999997E-2</v>
      </c>
      <c r="S39">
        <v>0.13600000000000001</v>
      </c>
      <c r="T39">
        <v>266</v>
      </c>
      <c r="U39">
        <v>212</v>
      </c>
      <c r="V39">
        <v>2</v>
      </c>
      <c r="W39">
        <v>0.655725</v>
      </c>
      <c r="X39">
        <v>7.6693999999999998E-2</v>
      </c>
      <c r="Y39">
        <v>0.58272199999999996</v>
      </c>
      <c r="Z39">
        <v>0.659416</v>
      </c>
      <c r="AA39">
        <v>0.233209</v>
      </c>
      <c r="AB39">
        <v>9.946E-3</v>
      </c>
      <c r="AC39">
        <v>0.22028799999999998</v>
      </c>
      <c r="AD39">
        <v>0.23023399999999999</v>
      </c>
      <c r="AE39">
        <v>99109</v>
      </c>
      <c r="AF39">
        <v>266</v>
      </c>
      <c r="AG39">
        <v>98877</v>
      </c>
      <c r="AH39">
        <v>214</v>
      </c>
      <c r="AI39">
        <v>913605</v>
      </c>
      <c r="AJ39">
        <v>919556</v>
      </c>
    </row>
    <row r="40" spans="1:36" x14ac:dyDescent="0.25">
      <c r="A40" t="s">
        <v>37</v>
      </c>
      <c r="B40">
        <v>9</v>
      </c>
      <c r="C40" t="s">
        <v>34</v>
      </c>
      <c r="D40" t="s">
        <v>46</v>
      </c>
      <c r="E40" t="s">
        <v>114</v>
      </c>
      <c r="F40">
        <v>0</v>
      </c>
      <c r="G40">
        <v>260.43008529551355</v>
      </c>
      <c r="I40">
        <v>11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11</v>
      </c>
      <c r="Q40">
        <v>1.0729195309977513E-12</v>
      </c>
      <c r="R40">
        <v>5.6000000000000001E-2</v>
      </c>
      <c r="S40">
        <v>0.13800000000000001</v>
      </c>
      <c r="T40">
        <v>266</v>
      </c>
      <c r="U40">
        <v>212</v>
      </c>
      <c r="V40">
        <v>2</v>
      </c>
      <c r="W40">
        <v>0.69256400000000007</v>
      </c>
      <c r="X40">
        <v>9.951299999999999E-2</v>
      </c>
      <c r="Y40">
        <v>0.59712699999999996</v>
      </c>
      <c r="Z40">
        <v>0.69663999999999993</v>
      </c>
      <c r="AA40">
        <v>0.24166199999999993</v>
      </c>
      <c r="AB40">
        <v>2.1929999999999998E-2</v>
      </c>
      <c r="AC40">
        <v>0.21664999999999998</v>
      </c>
      <c r="AD40">
        <v>0.23857999999999999</v>
      </c>
      <c r="AE40">
        <v>99109</v>
      </c>
      <c r="AF40">
        <v>266</v>
      </c>
      <c r="AG40">
        <v>98877</v>
      </c>
      <c r="AH40">
        <v>214</v>
      </c>
      <c r="AI40">
        <v>914110</v>
      </c>
      <c r="AJ40">
        <v>919799</v>
      </c>
    </row>
    <row r="41" spans="1:36" x14ac:dyDescent="0.25">
      <c r="A41" t="s">
        <v>37</v>
      </c>
      <c r="B41">
        <v>10</v>
      </c>
      <c r="C41" t="s">
        <v>34</v>
      </c>
      <c r="D41" t="s">
        <v>46</v>
      </c>
      <c r="E41" t="s">
        <v>114</v>
      </c>
      <c r="F41">
        <v>0</v>
      </c>
      <c r="G41">
        <v>260.43008529551344</v>
      </c>
      <c r="I41">
        <v>11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11</v>
      </c>
      <c r="Q41">
        <v>1.0267342531733448E-12</v>
      </c>
      <c r="R41">
        <v>3.2000000000000001E-2</v>
      </c>
      <c r="S41">
        <v>9.2999999999999999E-2</v>
      </c>
      <c r="T41">
        <v>266</v>
      </c>
      <c r="U41">
        <v>212</v>
      </c>
      <c r="V41">
        <v>2</v>
      </c>
      <c r="W41">
        <v>0.5099419999999999</v>
      </c>
      <c r="X41">
        <v>6.4780999999999991E-2</v>
      </c>
      <c r="Y41">
        <v>0.44781399999999999</v>
      </c>
      <c r="Z41">
        <v>0.51259500000000002</v>
      </c>
      <c r="AA41">
        <v>0.15780500000000008</v>
      </c>
      <c r="AB41">
        <v>8.9779999999999999E-3</v>
      </c>
      <c r="AC41">
        <v>0.146673</v>
      </c>
      <c r="AD41">
        <v>0.15565099999999998</v>
      </c>
      <c r="AE41">
        <v>99109</v>
      </c>
      <c r="AF41">
        <v>266</v>
      </c>
      <c r="AG41">
        <v>98877</v>
      </c>
      <c r="AH41">
        <v>214</v>
      </c>
      <c r="AI41">
        <v>1276548</v>
      </c>
      <c r="AJ41">
        <v>1297713</v>
      </c>
    </row>
    <row r="42" spans="1:36" x14ac:dyDescent="0.25">
      <c r="A42" t="s">
        <v>38</v>
      </c>
      <c r="B42">
        <v>1</v>
      </c>
      <c r="C42" t="s">
        <v>34</v>
      </c>
      <c r="D42" t="s">
        <v>46</v>
      </c>
      <c r="E42" t="s">
        <v>114</v>
      </c>
      <c r="F42">
        <v>0</v>
      </c>
      <c r="G42">
        <v>443.14228437237091</v>
      </c>
      <c r="I42">
        <v>14</v>
      </c>
      <c r="J42">
        <v>15</v>
      </c>
      <c r="K42">
        <v>15</v>
      </c>
      <c r="L42">
        <v>15</v>
      </c>
      <c r="M42">
        <v>15</v>
      </c>
      <c r="N42">
        <v>15</v>
      </c>
      <c r="O42">
        <v>15</v>
      </c>
      <c r="P42">
        <v>14</v>
      </c>
      <c r="Q42">
        <v>1.4551915228366852E-11</v>
      </c>
      <c r="R42">
        <v>0.13300000000000001</v>
      </c>
      <c r="S42">
        <v>0.245</v>
      </c>
      <c r="T42">
        <v>326</v>
      </c>
      <c r="U42">
        <v>300</v>
      </c>
      <c r="V42">
        <v>2</v>
      </c>
      <c r="W42">
        <v>0.36061700000000008</v>
      </c>
      <c r="X42">
        <v>5.7741000000000001E-2</v>
      </c>
      <c r="Y42">
        <v>0.307805</v>
      </c>
      <c r="Z42">
        <v>0.36554599999999998</v>
      </c>
      <c r="AA42">
        <v>0.47499999999999998</v>
      </c>
      <c r="AB42">
        <v>1.3934999999999999E-2</v>
      </c>
      <c r="AC42">
        <v>0.420574</v>
      </c>
      <c r="AD42">
        <v>0.43450899999999998</v>
      </c>
      <c r="AE42">
        <v>46821</v>
      </c>
      <c r="AF42">
        <v>326</v>
      </c>
      <c r="AG42">
        <v>46820</v>
      </c>
      <c r="AH42">
        <v>302</v>
      </c>
      <c r="AI42">
        <v>32921</v>
      </c>
      <c r="AJ42">
        <v>45819</v>
      </c>
    </row>
    <row r="43" spans="1:36" x14ac:dyDescent="0.25">
      <c r="A43" t="s">
        <v>38</v>
      </c>
      <c r="B43">
        <v>2</v>
      </c>
      <c r="C43" t="s">
        <v>34</v>
      </c>
      <c r="D43" t="s">
        <v>46</v>
      </c>
      <c r="E43" t="s">
        <v>114</v>
      </c>
      <c r="F43">
        <v>0</v>
      </c>
      <c r="G43">
        <v>443.14228437237091</v>
      </c>
      <c r="I43">
        <v>14</v>
      </c>
      <c r="J43">
        <v>15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14</v>
      </c>
      <c r="Q43">
        <v>1.4551915228366852E-11</v>
      </c>
      <c r="R43">
        <v>7.5999999999999998E-2</v>
      </c>
      <c r="S43">
        <v>0.14000000000000001</v>
      </c>
      <c r="T43">
        <v>326</v>
      </c>
      <c r="U43">
        <v>300</v>
      </c>
      <c r="V43">
        <v>2</v>
      </c>
      <c r="W43">
        <v>0.25944600000000007</v>
      </c>
      <c r="X43">
        <v>6.7027000000000003E-2</v>
      </c>
      <c r="Y43">
        <v>0.1973</v>
      </c>
      <c r="Z43">
        <v>0.26432699999999998</v>
      </c>
      <c r="AA43">
        <v>0.25998999999999994</v>
      </c>
      <c r="AB43">
        <v>1.2971E-2</v>
      </c>
      <c r="AC43">
        <v>0.24373499999999998</v>
      </c>
      <c r="AD43">
        <v>0.25670599999999999</v>
      </c>
      <c r="AE43">
        <v>46821</v>
      </c>
      <c r="AF43">
        <v>326</v>
      </c>
      <c r="AG43">
        <v>46820</v>
      </c>
      <c r="AH43">
        <v>302</v>
      </c>
      <c r="AI43">
        <v>44496</v>
      </c>
      <c r="AJ43">
        <v>62161</v>
      </c>
    </row>
    <row r="44" spans="1:36" x14ac:dyDescent="0.25">
      <c r="A44" t="s">
        <v>38</v>
      </c>
      <c r="B44">
        <v>3</v>
      </c>
      <c r="C44" t="s">
        <v>34</v>
      </c>
      <c r="D44" t="s">
        <v>46</v>
      </c>
      <c r="E44" t="s">
        <v>114</v>
      </c>
      <c r="F44">
        <v>0</v>
      </c>
      <c r="G44">
        <v>443.14228437237091</v>
      </c>
      <c r="I44">
        <v>14</v>
      </c>
      <c r="J44">
        <v>15</v>
      </c>
      <c r="K44">
        <v>15</v>
      </c>
      <c r="L44">
        <v>15</v>
      </c>
      <c r="M44">
        <v>15</v>
      </c>
      <c r="N44">
        <v>15</v>
      </c>
      <c r="O44">
        <v>15</v>
      </c>
      <c r="P44">
        <v>14</v>
      </c>
      <c r="Q44">
        <v>1.4551915228366852E-11</v>
      </c>
      <c r="R44">
        <v>0.13400000000000001</v>
      </c>
      <c r="S44">
        <v>0.26200000000000001</v>
      </c>
      <c r="T44">
        <v>326</v>
      </c>
      <c r="U44">
        <v>300</v>
      </c>
      <c r="V44">
        <v>2</v>
      </c>
      <c r="W44">
        <v>0.424425</v>
      </c>
      <c r="X44">
        <v>5.2218999999999995E-2</v>
      </c>
      <c r="Y44">
        <v>0.37649699999999997</v>
      </c>
      <c r="Z44">
        <v>0.42871599999999999</v>
      </c>
      <c r="AA44">
        <v>0.45297899999999997</v>
      </c>
      <c r="AB44">
        <v>1.2952E-2</v>
      </c>
      <c r="AC44">
        <v>0.43664599999999998</v>
      </c>
      <c r="AD44">
        <v>0.449598</v>
      </c>
      <c r="AE44">
        <v>46821</v>
      </c>
      <c r="AF44">
        <v>326</v>
      </c>
      <c r="AG44">
        <v>46820</v>
      </c>
      <c r="AH44">
        <v>302</v>
      </c>
      <c r="AI44">
        <v>88222</v>
      </c>
      <c r="AJ44">
        <v>94648</v>
      </c>
    </row>
    <row r="45" spans="1:36" x14ac:dyDescent="0.25">
      <c r="A45" t="s">
        <v>38</v>
      </c>
      <c r="B45">
        <v>4</v>
      </c>
      <c r="C45" t="s">
        <v>34</v>
      </c>
      <c r="D45" t="s">
        <v>46</v>
      </c>
      <c r="E45" t="s">
        <v>114</v>
      </c>
      <c r="F45">
        <v>0</v>
      </c>
      <c r="G45">
        <v>443.14228437237091</v>
      </c>
      <c r="I45">
        <v>14</v>
      </c>
      <c r="J45">
        <v>15</v>
      </c>
      <c r="K45">
        <v>15</v>
      </c>
      <c r="L45">
        <v>15</v>
      </c>
      <c r="M45">
        <v>15</v>
      </c>
      <c r="N45">
        <v>15</v>
      </c>
      <c r="O45">
        <v>15</v>
      </c>
      <c r="P45">
        <v>14</v>
      </c>
      <c r="Q45">
        <v>1.4551915228366852E-11</v>
      </c>
      <c r="R45">
        <v>0.129</v>
      </c>
      <c r="S45">
        <v>0.245</v>
      </c>
      <c r="T45">
        <v>326</v>
      </c>
      <c r="U45">
        <v>300</v>
      </c>
      <c r="V45">
        <v>2</v>
      </c>
      <c r="W45">
        <v>0.34853699999999999</v>
      </c>
      <c r="X45">
        <v>5.8542999999999998E-2</v>
      </c>
      <c r="Y45">
        <v>0.29593599999999998</v>
      </c>
      <c r="Z45">
        <v>0.35447899999999999</v>
      </c>
      <c r="AA45">
        <v>0.43542599999999998</v>
      </c>
      <c r="AB45">
        <v>1.9703999999999999E-2</v>
      </c>
      <c r="AC45">
        <v>0.41093099999999999</v>
      </c>
      <c r="AD45">
        <v>0.43063499999999999</v>
      </c>
      <c r="AE45">
        <v>46821</v>
      </c>
      <c r="AF45">
        <v>326</v>
      </c>
      <c r="AG45">
        <v>46820</v>
      </c>
      <c r="AH45">
        <v>302</v>
      </c>
      <c r="AI45">
        <v>596150</v>
      </c>
      <c r="AJ45">
        <v>603674</v>
      </c>
    </row>
    <row r="46" spans="1:36" x14ac:dyDescent="0.25">
      <c r="A46" t="s">
        <v>38</v>
      </c>
      <c r="B46">
        <v>5</v>
      </c>
      <c r="C46" t="s">
        <v>34</v>
      </c>
      <c r="D46" t="s">
        <v>46</v>
      </c>
      <c r="E46" t="s">
        <v>114</v>
      </c>
      <c r="F46">
        <v>0</v>
      </c>
      <c r="G46">
        <v>443.14228437237091</v>
      </c>
      <c r="I46">
        <v>14</v>
      </c>
      <c r="J46">
        <v>15</v>
      </c>
      <c r="K46">
        <v>15</v>
      </c>
      <c r="L46">
        <v>15</v>
      </c>
      <c r="M46">
        <v>15</v>
      </c>
      <c r="N46">
        <v>15</v>
      </c>
      <c r="O46">
        <v>15</v>
      </c>
      <c r="P46">
        <v>14</v>
      </c>
      <c r="Q46">
        <v>1.4551915228366852E-11</v>
      </c>
      <c r="R46">
        <v>7.0000000000000007E-2</v>
      </c>
      <c r="S46">
        <v>0.13</v>
      </c>
      <c r="T46">
        <v>326</v>
      </c>
      <c r="U46">
        <v>300</v>
      </c>
      <c r="V46">
        <v>2</v>
      </c>
      <c r="W46">
        <v>0.20949499999999993</v>
      </c>
      <c r="X46">
        <v>4.8746999999999999E-2</v>
      </c>
      <c r="Y46">
        <v>0.165156</v>
      </c>
      <c r="Z46">
        <v>0.21390300000000001</v>
      </c>
      <c r="AA46">
        <v>0.23770600000000003</v>
      </c>
      <c r="AB46">
        <v>6.9889999999999996E-3</v>
      </c>
      <c r="AC46">
        <v>0.227766</v>
      </c>
      <c r="AD46">
        <v>0.23475499999999999</v>
      </c>
      <c r="AE46">
        <v>46821</v>
      </c>
      <c r="AF46">
        <v>326</v>
      </c>
      <c r="AG46">
        <v>46820</v>
      </c>
      <c r="AH46">
        <v>302</v>
      </c>
      <c r="AI46">
        <v>616726</v>
      </c>
      <c r="AJ46">
        <v>624688</v>
      </c>
    </row>
    <row r="47" spans="1:36" x14ac:dyDescent="0.25">
      <c r="A47" t="s">
        <v>38</v>
      </c>
      <c r="B47">
        <v>6</v>
      </c>
      <c r="C47" t="s">
        <v>34</v>
      </c>
      <c r="D47" t="s">
        <v>46</v>
      </c>
      <c r="E47" t="s">
        <v>114</v>
      </c>
      <c r="F47">
        <v>0</v>
      </c>
      <c r="G47">
        <v>443.14228437237091</v>
      </c>
      <c r="I47">
        <v>14</v>
      </c>
      <c r="J47">
        <v>15</v>
      </c>
      <c r="K47">
        <v>15</v>
      </c>
      <c r="L47">
        <v>15</v>
      </c>
      <c r="M47">
        <v>15</v>
      </c>
      <c r="N47">
        <v>15</v>
      </c>
      <c r="O47">
        <v>15</v>
      </c>
      <c r="P47">
        <v>14</v>
      </c>
      <c r="Q47">
        <v>1.4551915228366852E-11</v>
      </c>
      <c r="R47">
        <v>7.0000000000000007E-2</v>
      </c>
      <c r="S47">
        <v>0.13100000000000001</v>
      </c>
      <c r="T47">
        <v>326</v>
      </c>
      <c r="U47">
        <v>300</v>
      </c>
      <c r="V47">
        <v>2</v>
      </c>
      <c r="W47">
        <v>0.20999800000000005</v>
      </c>
      <c r="X47">
        <v>4.2849999999999999E-2</v>
      </c>
      <c r="Y47">
        <v>0.17140900000000001</v>
      </c>
      <c r="Z47">
        <v>0.21425900000000001</v>
      </c>
      <c r="AA47">
        <v>0.23929399999999998</v>
      </c>
      <c r="AB47">
        <v>8.9540000000000002E-3</v>
      </c>
      <c r="AC47">
        <v>0.22725599999999999</v>
      </c>
      <c r="AD47">
        <v>0.23620999999999998</v>
      </c>
      <c r="AE47">
        <v>46821</v>
      </c>
      <c r="AF47">
        <v>326</v>
      </c>
      <c r="AG47">
        <v>46820</v>
      </c>
      <c r="AH47">
        <v>302</v>
      </c>
      <c r="AI47">
        <v>620230</v>
      </c>
      <c r="AJ47">
        <v>630498</v>
      </c>
    </row>
    <row r="48" spans="1:36" x14ac:dyDescent="0.25">
      <c r="A48" t="s">
        <v>38</v>
      </c>
      <c r="B48">
        <v>7</v>
      </c>
      <c r="C48" t="s">
        <v>34</v>
      </c>
      <c r="D48" t="s">
        <v>46</v>
      </c>
      <c r="E48" t="s">
        <v>114</v>
      </c>
      <c r="F48">
        <v>0</v>
      </c>
      <c r="G48">
        <v>443.14228437237091</v>
      </c>
      <c r="I48">
        <v>14</v>
      </c>
      <c r="J48">
        <v>15</v>
      </c>
      <c r="K48">
        <v>15</v>
      </c>
      <c r="L48">
        <v>15</v>
      </c>
      <c r="M48">
        <v>15</v>
      </c>
      <c r="N48">
        <v>15</v>
      </c>
      <c r="O48">
        <v>15</v>
      </c>
      <c r="P48">
        <v>14</v>
      </c>
      <c r="Q48">
        <v>1.4551915228366852E-11</v>
      </c>
      <c r="R48">
        <v>7.4999999999999997E-2</v>
      </c>
      <c r="S48">
        <v>0.13500000000000001</v>
      </c>
      <c r="T48">
        <v>326</v>
      </c>
      <c r="U48">
        <v>300</v>
      </c>
      <c r="V48">
        <v>2</v>
      </c>
      <c r="W48">
        <v>0.20899100000000004</v>
      </c>
      <c r="X48">
        <v>6.0047999999999997E-2</v>
      </c>
      <c r="Y48">
        <v>0.153141</v>
      </c>
      <c r="Z48">
        <v>0.21318899999999999</v>
      </c>
      <c r="AA48">
        <v>0.24891199999999997</v>
      </c>
      <c r="AB48">
        <v>1.6642999999999998E-2</v>
      </c>
      <c r="AC48">
        <v>0.22922199999999998</v>
      </c>
      <c r="AD48">
        <v>0.24586499999999997</v>
      </c>
      <c r="AE48">
        <v>46821</v>
      </c>
      <c r="AF48">
        <v>326</v>
      </c>
      <c r="AG48">
        <v>46820</v>
      </c>
      <c r="AH48">
        <v>302</v>
      </c>
      <c r="AI48">
        <v>621788</v>
      </c>
      <c r="AJ48">
        <v>632160</v>
      </c>
    </row>
    <row r="49" spans="1:36" x14ac:dyDescent="0.25">
      <c r="A49" t="s">
        <v>38</v>
      </c>
      <c r="B49">
        <v>8</v>
      </c>
      <c r="C49" t="s">
        <v>34</v>
      </c>
      <c r="D49" t="s">
        <v>46</v>
      </c>
      <c r="E49" t="s">
        <v>114</v>
      </c>
      <c r="F49">
        <v>0</v>
      </c>
      <c r="G49">
        <v>443.14228437237091</v>
      </c>
      <c r="I49">
        <v>14</v>
      </c>
      <c r="J49">
        <v>15</v>
      </c>
      <c r="K49">
        <v>15</v>
      </c>
      <c r="L49">
        <v>15</v>
      </c>
      <c r="M49">
        <v>15</v>
      </c>
      <c r="N49">
        <v>15</v>
      </c>
      <c r="O49">
        <v>15</v>
      </c>
      <c r="P49">
        <v>14</v>
      </c>
      <c r="Q49">
        <v>1.4551915228366852E-11</v>
      </c>
      <c r="R49">
        <v>8.5000000000000006E-2</v>
      </c>
      <c r="S49">
        <v>0.20300000000000001</v>
      </c>
      <c r="T49">
        <v>326</v>
      </c>
      <c r="U49">
        <v>300</v>
      </c>
      <c r="V49">
        <v>2</v>
      </c>
      <c r="W49">
        <v>0.30740000000000001</v>
      </c>
      <c r="X49">
        <v>5.0872999999999995E-2</v>
      </c>
      <c r="Y49">
        <v>0.25940099999999999</v>
      </c>
      <c r="Z49">
        <v>0.31027399999999999</v>
      </c>
      <c r="AA49">
        <v>0.33254600000000001</v>
      </c>
      <c r="AB49">
        <v>7.9579999999999998E-3</v>
      </c>
      <c r="AC49">
        <v>0.32202599999999998</v>
      </c>
      <c r="AD49">
        <v>0.329984</v>
      </c>
      <c r="AE49">
        <v>46821</v>
      </c>
      <c r="AF49">
        <v>326</v>
      </c>
      <c r="AG49">
        <v>46820</v>
      </c>
      <c r="AH49">
        <v>302</v>
      </c>
      <c r="AI49">
        <v>896419</v>
      </c>
      <c r="AJ49">
        <v>912865</v>
      </c>
    </row>
    <row r="50" spans="1:36" x14ac:dyDescent="0.25">
      <c r="A50" t="s">
        <v>38</v>
      </c>
      <c r="B50">
        <v>9</v>
      </c>
      <c r="C50" t="s">
        <v>34</v>
      </c>
      <c r="D50" t="s">
        <v>46</v>
      </c>
      <c r="E50" t="s">
        <v>114</v>
      </c>
      <c r="F50">
        <v>0</v>
      </c>
      <c r="G50">
        <v>443.14228437237091</v>
      </c>
      <c r="I50">
        <v>14</v>
      </c>
      <c r="J50">
        <v>15</v>
      </c>
      <c r="K50">
        <v>15</v>
      </c>
      <c r="L50">
        <v>15</v>
      </c>
      <c r="M50">
        <v>15</v>
      </c>
      <c r="N50">
        <v>15</v>
      </c>
      <c r="O50">
        <v>15</v>
      </c>
      <c r="P50">
        <v>14</v>
      </c>
      <c r="Q50">
        <v>1.4551915228366852E-11</v>
      </c>
      <c r="R50">
        <v>0.14599999999999999</v>
      </c>
      <c r="S50">
        <v>0.30599999999999999</v>
      </c>
      <c r="T50">
        <v>326</v>
      </c>
      <c r="U50">
        <v>300</v>
      </c>
      <c r="V50">
        <v>2</v>
      </c>
      <c r="W50">
        <v>0.40291399999999999</v>
      </c>
      <c r="X50">
        <v>5.1670999999999995E-2</v>
      </c>
      <c r="Y50">
        <v>0.355547</v>
      </c>
      <c r="Z50">
        <v>0.40721799999999997</v>
      </c>
      <c r="AA50">
        <v>0.51499899999999998</v>
      </c>
      <c r="AB50">
        <v>1.1956E-2</v>
      </c>
      <c r="AC50">
        <v>0.499332</v>
      </c>
      <c r="AD50">
        <v>0.51128799999999996</v>
      </c>
      <c r="AE50">
        <v>46821</v>
      </c>
      <c r="AF50">
        <v>326</v>
      </c>
      <c r="AG50">
        <v>46820</v>
      </c>
      <c r="AH50">
        <v>302</v>
      </c>
      <c r="AI50">
        <v>896928</v>
      </c>
      <c r="AJ50">
        <v>914017</v>
      </c>
    </row>
    <row r="51" spans="1:36" x14ac:dyDescent="0.25">
      <c r="A51" t="s">
        <v>38</v>
      </c>
      <c r="B51">
        <v>10</v>
      </c>
      <c r="C51" t="s">
        <v>34</v>
      </c>
      <c r="D51" t="s">
        <v>46</v>
      </c>
      <c r="E51" t="s">
        <v>114</v>
      </c>
      <c r="F51">
        <v>0</v>
      </c>
      <c r="G51">
        <v>443.14228437237091</v>
      </c>
      <c r="I51">
        <v>14</v>
      </c>
      <c r="J51">
        <v>15</v>
      </c>
      <c r="K51">
        <v>15</v>
      </c>
      <c r="L51">
        <v>15</v>
      </c>
      <c r="M51">
        <v>15</v>
      </c>
      <c r="N51">
        <v>15</v>
      </c>
      <c r="O51">
        <v>15</v>
      </c>
      <c r="P51">
        <v>14</v>
      </c>
      <c r="Q51">
        <v>1.4551915228366852E-11</v>
      </c>
      <c r="R51">
        <v>9.2999999999999999E-2</v>
      </c>
      <c r="S51">
        <v>0.22500000000000001</v>
      </c>
      <c r="T51">
        <v>326</v>
      </c>
      <c r="U51">
        <v>300</v>
      </c>
      <c r="V51">
        <v>2</v>
      </c>
      <c r="W51">
        <v>0.32106099999999993</v>
      </c>
      <c r="X51">
        <v>5.8768000000000001E-2</v>
      </c>
      <c r="Y51">
        <v>0.26792099999999996</v>
      </c>
      <c r="Z51">
        <v>0.32668899999999995</v>
      </c>
      <c r="AA51">
        <v>0.36676300000000006</v>
      </c>
      <c r="AB51">
        <v>1.5960999999999999E-2</v>
      </c>
      <c r="AC51">
        <v>0.34721399999999997</v>
      </c>
      <c r="AD51">
        <v>0.36317499999999997</v>
      </c>
      <c r="AE51">
        <v>46821</v>
      </c>
      <c r="AF51">
        <v>326</v>
      </c>
      <c r="AG51">
        <v>46820</v>
      </c>
      <c r="AH51">
        <v>302</v>
      </c>
      <c r="AI51">
        <v>1274534</v>
      </c>
      <c r="AJ51">
        <v>1292041</v>
      </c>
    </row>
    <row r="52" spans="1:36" x14ac:dyDescent="0.25">
      <c r="A52" t="s">
        <v>39</v>
      </c>
      <c r="B52">
        <v>1</v>
      </c>
      <c r="C52" t="s">
        <v>34</v>
      </c>
      <c r="D52" t="s">
        <v>46</v>
      </c>
      <c r="E52" t="s">
        <v>114</v>
      </c>
      <c r="F52">
        <v>0</v>
      </c>
      <c r="G52">
        <v>5.7300002084580255</v>
      </c>
      <c r="I52">
        <v>161</v>
      </c>
      <c r="J52">
        <v>186</v>
      </c>
      <c r="K52">
        <v>162</v>
      </c>
      <c r="L52">
        <v>186</v>
      </c>
      <c r="M52">
        <v>186</v>
      </c>
      <c r="N52">
        <v>164</v>
      </c>
      <c r="O52">
        <v>164</v>
      </c>
      <c r="P52">
        <v>161</v>
      </c>
      <c r="Q52">
        <v>4.8149573217415309E-10</v>
      </c>
      <c r="R52">
        <v>12.896000000000001</v>
      </c>
      <c r="S52">
        <v>16.443000000000001</v>
      </c>
      <c r="T52">
        <v>2345</v>
      </c>
      <c r="U52">
        <v>2331</v>
      </c>
      <c r="V52">
        <v>206</v>
      </c>
      <c r="W52">
        <v>2.3901740000000018</v>
      </c>
      <c r="X52">
        <v>0.35219200000000001</v>
      </c>
      <c r="Y52">
        <v>2.0452089999999998</v>
      </c>
      <c r="Z52">
        <v>2.3974009999999999</v>
      </c>
      <c r="AA52">
        <v>29.642575999999998</v>
      </c>
      <c r="AB52">
        <v>7.2800000000000004E-2</v>
      </c>
      <c r="AC52">
        <v>29.488764</v>
      </c>
      <c r="AD52">
        <v>29.561564000000001</v>
      </c>
      <c r="AE52">
        <v>371155</v>
      </c>
      <c r="AF52">
        <v>2345</v>
      </c>
      <c r="AG52">
        <v>372492</v>
      </c>
      <c r="AH52">
        <v>2537</v>
      </c>
      <c r="AI52">
        <v>32921</v>
      </c>
      <c r="AJ52">
        <v>76002</v>
      </c>
    </row>
    <row r="53" spans="1:36" x14ac:dyDescent="0.25">
      <c r="A53" t="s">
        <v>39</v>
      </c>
      <c r="B53">
        <v>2</v>
      </c>
      <c r="C53" t="s">
        <v>34</v>
      </c>
      <c r="D53" t="s">
        <v>46</v>
      </c>
      <c r="E53" t="s">
        <v>114</v>
      </c>
      <c r="F53">
        <v>0</v>
      </c>
      <c r="G53">
        <v>5.7300002084580255</v>
      </c>
      <c r="I53">
        <v>161</v>
      </c>
      <c r="J53">
        <v>186</v>
      </c>
      <c r="K53">
        <v>162</v>
      </c>
      <c r="L53">
        <v>186</v>
      </c>
      <c r="M53">
        <v>186</v>
      </c>
      <c r="N53">
        <v>164</v>
      </c>
      <c r="O53">
        <v>164</v>
      </c>
      <c r="P53">
        <v>161</v>
      </c>
      <c r="Q53">
        <v>4.8149573217415309E-10</v>
      </c>
      <c r="R53">
        <v>11.151</v>
      </c>
      <c r="S53">
        <v>16.641999999999999</v>
      </c>
      <c r="T53">
        <v>2345</v>
      </c>
      <c r="U53">
        <v>2331</v>
      </c>
      <c r="V53">
        <v>206</v>
      </c>
      <c r="W53">
        <v>2.2642610000000012</v>
      </c>
      <c r="X53">
        <v>0.29032799999999997</v>
      </c>
      <c r="Y53">
        <v>1.9813499999999999</v>
      </c>
      <c r="Z53">
        <v>2.2716780000000001</v>
      </c>
      <c r="AA53">
        <v>28.086062999999999</v>
      </c>
      <c r="AB53">
        <v>7.6785999999999993E-2</v>
      </c>
      <c r="AC53">
        <v>27.9208</v>
      </c>
      <c r="AD53">
        <v>27.997585999999998</v>
      </c>
      <c r="AE53">
        <v>371155</v>
      </c>
      <c r="AF53">
        <v>2345</v>
      </c>
      <c r="AG53">
        <v>372492</v>
      </c>
      <c r="AH53">
        <v>2537</v>
      </c>
      <c r="AI53">
        <v>444216</v>
      </c>
      <c r="AJ53">
        <v>499887</v>
      </c>
    </row>
    <row r="54" spans="1:36" x14ac:dyDescent="0.25">
      <c r="A54" t="s">
        <v>39</v>
      </c>
      <c r="B54">
        <v>3</v>
      </c>
      <c r="C54" t="s">
        <v>34</v>
      </c>
      <c r="D54" t="s">
        <v>46</v>
      </c>
      <c r="E54" t="s">
        <v>114</v>
      </c>
      <c r="F54">
        <v>0</v>
      </c>
      <c r="G54">
        <v>5.7300002084580255</v>
      </c>
      <c r="I54">
        <v>161</v>
      </c>
      <c r="J54">
        <v>186</v>
      </c>
      <c r="K54">
        <v>162</v>
      </c>
      <c r="L54">
        <v>186</v>
      </c>
      <c r="M54">
        <v>186</v>
      </c>
      <c r="N54">
        <v>164</v>
      </c>
      <c r="O54">
        <v>164</v>
      </c>
      <c r="P54">
        <v>161</v>
      </c>
      <c r="Q54">
        <v>4.8149573217415309E-10</v>
      </c>
      <c r="R54">
        <v>11.14</v>
      </c>
      <c r="S54">
        <v>16.510000000000002</v>
      </c>
      <c r="T54">
        <v>2345</v>
      </c>
      <c r="U54">
        <v>2331</v>
      </c>
      <c r="V54">
        <v>206</v>
      </c>
      <c r="W54">
        <v>2.2650660000000009</v>
      </c>
      <c r="X54">
        <v>0.28424199999999999</v>
      </c>
      <c r="Y54">
        <v>1.987838</v>
      </c>
      <c r="Z54">
        <v>2.2720799999999999</v>
      </c>
      <c r="AA54">
        <v>27.940864999999999</v>
      </c>
      <c r="AB54">
        <v>6.980299999999999E-2</v>
      </c>
      <c r="AC54">
        <v>27.785378000000001</v>
      </c>
      <c r="AD54">
        <v>27.855181000000002</v>
      </c>
      <c r="AE54">
        <v>371155</v>
      </c>
      <c r="AF54">
        <v>2345</v>
      </c>
      <c r="AG54">
        <v>372492</v>
      </c>
      <c r="AH54">
        <v>2537</v>
      </c>
      <c r="AI54">
        <v>474987</v>
      </c>
      <c r="AJ54">
        <v>539073</v>
      </c>
    </row>
    <row r="55" spans="1:36" x14ac:dyDescent="0.25">
      <c r="A55" t="s">
        <v>39</v>
      </c>
      <c r="B55">
        <v>4</v>
      </c>
      <c r="C55" t="s">
        <v>34</v>
      </c>
      <c r="D55" t="s">
        <v>46</v>
      </c>
      <c r="E55" t="s">
        <v>114</v>
      </c>
      <c r="F55">
        <v>0</v>
      </c>
      <c r="G55">
        <v>5.7300002084580255</v>
      </c>
      <c r="I55">
        <v>161</v>
      </c>
      <c r="J55">
        <v>186</v>
      </c>
      <c r="K55">
        <v>162</v>
      </c>
      <c r="L55">
        <v>186</v>
      </c>
      <c r="M55">
        <v>186</v>
      </c>
      <c r="N55">
        <v>164</v>
      </c>
      <c r="O55">
        <v>164</v>
      </c>
      <c r="P55">
        <v>161</v>
      </c>
      <c r="Q55">
        <v>4.8149573217415309E-10</v>
      </c>
      <c r="R55">
        <v>13.042</v>
      </c>
      <c r="S55">
        <v>17.173999999999999</v>
      </c>
      <c r="T55">
        <v>2345</v>
      </c>
      <c r="U55">
        <v>2331</v>
      </c>
      <c r="V55">
        <v>206</v>
      </c>
      <c r="W55">
        <v>2.5414259999999942</v>
      </c>
      <c r="X55">
        <v>0.31330799999999998</v>
      </c>
      <c r="Y55">
        <v>2.2379069999999999</v>
      </c>
      <c r="Z55">
        <v>2.551215</v>
      </c>
      <c r="AA55">
        <v>30.524629000000004</v>
      </c>
      <c r="AB55">
        <v>8.2782999999999995E-2</v>
      </c>
      <c r="AC55">
        <v>30.342386999999999</v>
      </c>
      <c r="AD55">
        <v>30.425169999999998</v>
      </c>
      <c r="AE55">
        <v>371155</v>
      </c>
      <c r="AF55">
        <v>2345</v>
      </c>
      <c r="AG55">
        <v>372492</v>
      </c>
      <c r="AH55">
        <v>2537</v>
      </c>
      <c r="AI55">
        <v>743859</v>
      </c>
      <c r="AJ55">
        <v>843488</v>
      </c>
    </row>
    <row r="56" spans="1:36" x14ac:dyDescent="0.25">
      <c r="A56" t="s">
        <v>39</v>
      </c>
      <c r="B56">
        <v>5</v>
      </c>
      <c r="C56" t="s">
        <v>34</v>
      </c>
      <c r="D56" t="s">
        <v>46</v>
      </c>
      <c r="E56" t="s">
        <v>114</v>
      </c>
      <c r="F56">
        <v>0</v>
      </c>
      <c r="G56">
        <v>5.7300002084580255</v>
      </c>
      <c r="I56">
        <v>161</v>
      </c>
      <c r="J56">
        <v>186</v>
      </c>
      <c r="K56">
        <v>162</v>
      </c>
      <c r="L56">
        <v>186</v>
      </c>
      <c r="M56">
        <v>186</v>
      </c>
      <c r="N56">
        <v>164</v>
      </c>
      <c r="O56">
        <v>164</v>
      </c>
      <c r="P56">
        <v>161</v>
      </c>
      <c r="Q56">
        <v>4.8149573217415309E-10</v>
      </c>
      <c r="R56">
        <v>13.826000000000001</v>
      </c>
      <c r="S56">
        <v>19.303000000000001</v>
      </c>
      <c r="T56">
        <v>2345</v>
      </c>
      <c r="U56">
        <v>2331</v>
      </c>
      <c r="V56">
        <v>206</v>
      </c>
      <c r="W56">
        <v>2.5915559999999971</v>
      </c>
      <c r="X56">
        <v>0.33117399999999997</v>
      </c>
      <c r="Y56">
        <v>2.2672470000000002</v>
      </c>
      <c r="Z56">
        <v>2.5984210000000001</v>
      </c>
      <c r="AA56">
        <v>33.476446000000003</v>
      </c>
      <c r="AB56">
        <v>9.3733999999999998E-2</v>
      </c>
      <c r="AC56">
        <v>33.286824000000003</v>
      </c>
      <c r="AD56">
        <v>33.380558000000001</v>
      </c>
      <c r="AE56">
        <v>371155</v>
      </c>
      <c r="AF56">
        <v>2345</v>
      </c>
      <c r="AG56">
        <v>372492</v>
      </c>
      <c r="AH56">
        <v>2537</v>
      </c>
      <c r="AI56">
        <v>792635</v>
      </c>
      <c r="AJ56">
        <v>855247</v>
      </c>
    </row>
    <row r="57" spans="1:36" x14ac:dyDescent="0.25">
      <c r="A57" t="s">
        <v>39</v>
      </c>
      <c r="B57">
        <v>6</v>
      </c>
      <c r="C57" t="s">
        <v>34</v>
      </c>
      <c r="D57" t="s">
        <v>46</v>
      </c>
      <c r="E57" t="s">
        <v>114</v>
      </c>
      <c r="F57">
        <v>0</v>
      </c>
      <c r="G57">
        <v>5.7300002084580255</v>
      </c>
      <c r="I57">
        <v>161</v>
      </c>
      <c r="J57">
        <v>186</v>
      </c>
      <c r="K57">
        <v>162</v>
      </c>
      <c r="L57">
        <v>186</v>
      </c>
      <c r="M57">
        <v>186</v>
      </c>
      <c r="N57">
        <v>164</v>
      </c>
      <c r="O57">
        <v>164</v>
      </c>
      <c r="P57">
        <v>161</v>
      </c>
      <c r="Q57">
        <v>4.8149573217415309E-10</v>
      </c>
      <c r="R57">
        <v>12.162000000000001</v>
      </c>
      <c r="S57">
        <v>21.042999999999999</v>
      </c>
      <c r="T57">
        <v>2345</v>
      </c>
      <c r="U57">
        <v>2331</v>
      </c>
      <c r="V57">
        <v>206</v>
      </c>
      <c r="W57">
        <v>2.586350000000003</v>
      </c>
      <c r="X57">
        <v>0.34489599999999998</v>
      </c>
      <c r="Y57">
        <v>2.2481610000000001</v>
      </c>
      <c r="Z57">
        <v>2.5930569999999999</v>
      </c>
      <c r="AA57">
        <v>33.553148999999998</v>
      </c>
      <c r="AB57">
        <v>8.5733999999999991E-2</v>
      </c>
      <c r="AC57">
        <v>33.364747999999999</v>
      </c>
      <c r="AD57">
        <v>33.450482000000001</v>
      </c>
      <c r="AE57">
        <v>371155</v>
      </c>
      <c r="AF57">
        <v>2345</v>
      </c>
      <c r="AG57">
        <v>372492</v>
      </c>
      <c r="AH57">
        <v>2537</v>
      </c>
      <c r="AI57">
        <v>796828</v>
      </c>
      <c r="AJ57">
        <v>855200</v>
      </c>
    </row>
    <row r="58" spans="1:36" x14ac:dyDescent="0.25">
      <c r="A58" t="s">
        <v>39</v>
      </c>
      <c r="B58">
        <v>7</v>
      </c>
      <c r="C58" t="s">
        <v>34</v>
      </c>
      <c r="D58" t="s">
        <v>46</v>
      </c>
      <c r="E58" t="s">
        <v>114</v>
      </c>
      <c r="F58">
        <v>0</v>
      </c>
      <c r="G58">
        <v>5.7300002084580255</v>
      </c>
      <c r="I58">
        <v>161</v>
      </c>
      <c r="J58">
        <v>186</v>
      </c>
      <c r="K58">
        <v>162</v>
      </c>
      <c r="L58">
        <v>186</v>
      </c>
      <c r="M58">
        <v>186</v>
      </c>
      <c r="N58">
        <v>164</v>
      </c>
      <c r="O58">
        <v>164</v>
      </c>
      <c r="P58">
        <v>161</v>
      </c>
      <c r="Q58">
        <v>4.8149573217415309E-10</v>
      </c>
      <c r="R58">
        <v>12.311</v>
      </c>
      <c r="S58">
        <v>21.738</v>
      </c>
      <c r="T58">
        <v>2345</v>
      </c>
      <c r="U58">
        <v>2331</v>
      </c>
      <c r="V58">
        <v>206</v>
      </c>
      <c r="W58">
        <v>2.4737910000000056</v>
      </c>
      <c r="X58">
        <v>0.280302</v>
      </c>
      <c r="Y58">
        <v>2.194849</v>
      </c>
      <c r="Z58">
        <v>2.4751509999999999</v>
      </c>
      <c r="AA58">
        <v>34.393806999999995</v>
      </c>
      <c r="AB58">
        <v>8.8721999999999995E-2</v>
      </c>
      <c r="AC58">
        <v>34.203328999999997</v>
      </c>
      <c r="AD58">
        <v>34.292050999999994</v>
      </c>
      <c r="AE58">
        <v>371155</v>
      </c>
      <c r="AF58">
        <v>2345</v>
      </c>
      <c r="AG58">
        <v>372492</v>
      </c>
      <c r="AH58">
        <v>2537</v>
      </c>
      <c r="AI58">
        <v>806085</v>
      </c>
      <c r="AJ58">
        <v>895387</v>
      </c>
    </row>
    <row r="59" spans="1:36" x14ac:dyDescent="0.25">
      <c r="A59" t="s">
        <v>39</v>
      </c>
      <c r="B59">
        <v>8</v>
      </c>
      <c r="C59" t="s">
        <v>34</v>
      </c>
      <c r="D59" t="s">
        <v>46</v>
      </c>
      <c r="E59" t="s">
        <v>114</v>
      </c>
      <c r="F59">
        <v>0</v>
      </c>
      <c r="G59">
        <v>5.7300002084580255</v>
      </c>
      <c r="I59">
        <v>161</v>
      </c>
      <c r="J59">
        <v>186</v>
      </c>
      <c r="K59">
        <v>162</v>
      </c>
      <c r="L59">
        <v>186</v>
      </c>
      <c r="M59">
        <v>186</v>
      </c>
      <c r="N59">
        <v>164</v>
      </c>
      <c r="O59">
        <v>164</v>
      </c>
      <c r="P59">
        <v>161</v>
      </c>
      <c r="Q59">
        <v>4.8149573217415309E-10</v>
      </c>
      <c r="R59">
        <v>14.212</v>
      </c>
      <c r="S59">
        <v>20.712</v>
      </c>
      <c r="T59">
        <v>2345</v>
      </c>
      <c r="U59">
        <v>2331</v>
      </c>
      <c r="V59">
        <v>206</v>
      </c>
      <c r="W59">
        <v>2.9025229999999951</v>
      </c>
      <c r="X59">
        <v>0.35414299999999999</v>
      </c>
      <c r="Y59">
        <v>2.5547339999999998</v>
      </c>
      <c r="Z59">
        <v>2.9088769999999999</v>
      </c>
      <c r="AA59">
        <v>35.285307000000003</v>
      </c>
      <c r="AB59">
        <v>8.4774999999999989E-2</v>
      </c>
      <c r="AC59">
        <v>35.094195999999997</v>
      </c>
      <c r="AD59">
        <v>35.178970999999997</v>
      </c>
      <c r="AE59">
        <v>371155</v>
      </c>
      <c r="AF59">
        <v>2345</v>
      </c>
      <c r="AG59">
        <v>372492</v>
      </c>
      <c r="AH59">
        <v>2537</v>
      </c>
      <c r="AI59">
        <v>837572</v>
      </c>
      <c r="AJ59">
        <v>896849</v>
      </c>
    </row>
    <row r="60" spans="1:36" x14ac:dyDescent="0.25">
      <c r="A60" t="s">
        <v>39</v>
      </c>
      <c r="B60">
        <v>9</v>
      </c>
      <c r="C60" t="s">
        <v>34</v>
      </c>
      <c r="D60" t="s">
        <v>46</v>
      </c>
      <c r="E60" t="s">
        <v>114</v>
      </c>
      <c r="F60">
        <v>0</v>
      </c>
      <c r="G60">
        <v>5.7300002084580255</v>
      </c>
      <c r="I60">
        <v>161</v>
      </c>
      <c r="J60">
        <v>186</v>
      </c>
      <c r="K60">
        <v>162</v>
      </c>
      <c r="L60">
        <v>186</v>
      </c>
      <c r="M60">
        <v>186</v>
      </c>
      <c r="N60">
        <v>164</v>
      </c>
      <c r="O60">
        <v>164</v>
      </c>
      <c r="P60">
        <v>161</v>
      </c>
      <c r="Q60">
        <v>4.8149573217415309E-10</v>
      </c>
      <c r="R60">
        <v>20.759</v>
      </c>
      <c r="S60">
        <v>28.812000000000001</v>
      </c>
      <c r="T60">
        <v>2345</v>
      </c>
      <c r="U60">
        <v>2331</v>
      </c>
      <c r="V60">
        <v>206</v>
      </c>
      <c r="W60">
        <v>3.4159779999999955</v>
      </c>
      <c r="X60">
        <v>0.35859099999999999</v>
      </c>
      <c r="Y60">
        <v>3.0568420000000001</v>
      </c>
      <c r="Z60">
        <v>3.4154330000000002</v>
      </c>
      <c r="AA60">
        <v>50.040755000000004</v>
      </c>
      <c r="AB60">
        <v>0.10058499999999999</v>
      </c>
      <c r="AC60">
        <v>49.731852000000003</v>
      </c>
      <c r="AD60">
        <v>49.832437000000006</v>
      </c>
      <c r="AE60">
        <v>371155</v>
      </c>
      <c r="AF60">
        <v>2345</v>
      </c>
      <c r="AG60">
        <v>372492</v>
      </c>
      <c r="AH60">
        <v>2537</v>
      </c>
      <c r="AI60">
        <v>838076</v>
      </c>
      <c r="AJ60">
        <v>915637</v>
      </c>
    </row>
    <row r="61" spans="1:36" x14ac:dyDescent="0.25">
      <c r="A61" t="s">
        <v>39</v>
      </c>
      <c r="B61">
        <v>10</v>
      </c>
      <c r="C61" t="s">
        <v>34</v>
      </c>
      <c r="D61" t="s">
        <v>46</v>
      </c>
      <c r="E61" t="s">
        <v>114</v>
      </c>
      <c r="F61">
        <v>0</v>
      </c>
      <c r="G61">
        <v>5.7300002084580255</v>
      </c>
      <c r="I61">
        <v>161</v>
      </c>
      <c r="J61">
        <v>186</v>
      </c>
      <c r="K61">
        <v>162</v>
      </c>
      <c r="L61">
        <v>186</v>
      </c>
      <c r="M61">
        <v>186</v>
      </c>
      <c r="N61">
        <v>164</v>
      </c>
      <c r="O61">
        <v>164</v>
      </c>
      <c r="P61">
        <v>161</v>
      </c>
      <c r="Q61">
        <v>4.8149573217415309E-10</v>
      </c>
      <c r="R61">
        <v>13.234999999999999</v>
      </c>
      <c r="S61">
        <v>19.77</v>
      </c>
      <c r="T61">
        <v>2345</v>
      </c>
      <c r="U61">
        <v>2331</v>
      </c>
      <c r="V61">
        <v>206</v>
      </c>
      <c r="W61">
        <v>2.8241270000000043</v>
      </c>
      <c r="X61">
        <v>0.35822599999999999</v>
      </c>
      <c r="Y61">
        <v>2.4740519999999999</v>
      </c>
      <c r="Z61">
        <v>2.8322780000000001</v>
      </c>
      <c r="AA61">
        <v>33.345774999999996</v>
      </c>
      <c r="AB61">
        <v>9.3747999999999998E-2</v>
      </c>
      <c r="AC61">
        <v>33.162351999999998</v>
      </c>
      <c r="AD61">
        <v>33.256099999999996</v>
      </c>
      <c r="AE61">
        <v>371155</v>
      </c>
      <c r="AF61">
        <v>2345</v>
      </c>
      <c r="AG61">
        <v>372492</v>
      </c>
      <c r="AH61">
        <v>2537</v>
      </c>
      <c r="AI61">
        <v>1221459</v>
      </c>
      <c r="AJ61">
        <v>1311980</v>
      </c>
    </row>
    <row r="62" spans="1:36" x14ac:dyDescent="0.25">
      <c r="A62" t="s">
        <v>81</v>
      </c>
      <c r="B62">
        <v>1</v>
      </c>
      <c r="C62" t="s">
        <v>94</v>
      </c>
      <c r="D62" t="s">
        <v>95</v>
      </c>
      <c r="E62" t="s">
        <v>45</v>
      </c>
      <c r="AI62">
        <v>32921</v>
      </c>
      <c r="AJ62">
        <v>45819</v>
      </c>
    </row>
    <row r="63" spans="1:36" x14ac:dyDescent="0.25">
      <c r="A63" t="s">
        <v>81</v>
      </c>
      <c r="B63">
        <v>2</v>
      </c>
      <c r="C63" t="s">
        <v>94</v>
      </c>
      <c r="D63" t="s">
        <v>95</v>
      </c>
      <c r="E63" t="s">
        <v>45</v>
      </c>
      <c r="AI63">
        <v>448261</v>
      </c>
      <c r="AJ63">
        <v>474579</v>
      </c>
    </row>
    <row r="64" spans="1:36" x14ac:dyDescent="0.25">
      <c r="A64" t="s">
        <v>81</v>
      </c>
      <c r="B64">
        <v>3</v>
      </c>
      <c r="C64" t="s">
        <v>94</v>
      </c>
      <c r="D64" t="s">
        <v>95</v>
      </c>
      <c r="E64" t="s">
        <v>45</v>
      </c>
      <c r="AI64">
        <v>474988</v>
      </c>
      <c r="AJ64">
        <v>514456</v>
      </c>
    </row>
    <row r="65" spans="1:36" x14ac:dyDescent="0.25">
      <c r="A65" t="s">
        <v>81</v>
      </c>
      <c r="B65">
        <v>4</v>
      </c>
      <c r="C65" t="s">
        <v>94</v>
      </c>
      <c r="D65" t="s">
        <v>95</v>
      </c>
      <c r="E65" t="s">
        <v>45</v>
      </c>
      <c r="AI65">
        <v>792636</v>
      </c>
      <c r="AJ65">
        <v>837576</v>
      </c>
    </row>
    <row r="66" spans="1:36" x14ac:dyDescent="0.25">
      <c r="A66" t="s">
        <v>81</v>
      </c>
      <c r="B66">
        <v>5</v>
      </c>
      <c r="C66" t="s">
        <v>94</v>
      </c>
      <c r="D66" t="s">
        <v>95</v>
      </c>
      <c r="E66" t="s">
        <v>45</v>
      </c>
      <c r="AI66">
        <v>838577</v>
      </c>
      <c r="AJ66">
        <v>895438</v>
      </c>
    </row>
    <row r="67" spans="1:36" x14ac:dyDescent="0.25">
      <c r="A67" t="s">
        <v>81</v>
      </c>
      <c r="B67">
        <v>6</v>
      </c>
      <c r="C67" t="s">
        <v>94</v>
      </c>
      <c r="D67" t="s">
        <v>95</v>
      </c>
      <c r="E67" t="s">
        <v>45</v>
      </c>
      <c r="AI67">
        <v>855390</v>
      </c>
      <c r="AJ67">
        <v>906382</v>
      </c>
    </row>
    <row r="68" spans="1:36" x14ac:dyDescent="0.25">
      <c r="A68" t="s">
        <v>81</v>
      </c>
      <c r="B68">
        <v>7</v>
      </c>
      <c r="C68" t="s">
        <v>94</v>
      </c>
      <c r="D68" t="s">
        <v>95</v>
      </c>
      <c r="E68" t="s">
        <v>45</v>
      </c>
      <c r="AI68">
        <v>1244212</v>
      </c>
      <c r="AJ68">
        <v>1275671</v>
      </c>
    </row>
    <row r="69" spans="1:36" x14ac:dyDescent="0.25">
      <c r="A69" t="s">
        <v>81</v>
      </c>
      <c r="B69">
        <v>8</v>
      </c>
      <c r="C69" t="s">
        <v>94</v>
      </c>
      <c r="D69" t="s">
        <v>95</v>
      </c>
      <c r="E69" t="s">
        <v>45</v>
      </c>
      <c r="AI69">
        <v>1244715</v>
      </c>
      <c r="AJ69">
        <v>1276043</v>
      </c>
    </row>
    <row r="70" spans="1:36" x14ac:dyDescent="0.25">
      <c r="A70" t="s">
        <v>81</v>
      </c>
      <c r="B70">
        <v>9</v>
      </c>
      <c r="C70" t="s">
        <v>94</v>
      </c>
      <c r="D70" t="s">
        <v>95</v>
      </c>
      <c r="E70" t="s">
        <v>45</v>
      </c>
      <c r="AI70">
        <v>1338177</v>
      </c>
      <c r="AJ70">
        <v>1411599</v>
      </c>
    </row>
    <row r="71" spans="1:36" x14ac:dyDescent="0.25">
      <c r="A71" t="s">
        <v>81</v>
      </c>
      <c r="B71">
        <v>10</v>
      </c>
      <c r="C71" t="s">
        <v>94</v>
      </c>
      <c r="D71" t="s">
        <v>95</v>
      </c>
      <c r="E71" t="s">
        <v>45</v>
      </c>
      <c r="AI71">
        <v>1372854</v>
      </c>
      <c r="AJ71">
        <v>1411657</v>
      </c>
    </row>
    <row r="72" spans="1:36" x14ac:dyDescent="0.25">
      <c r="A72" t="s">
        <v>110</v>
      </c>
      <c r="B72">
        <v>1</v>
      </c>
      <c r="C72" t="s">
        <v>104</v>
      </c>
      <c r="D72" t="s">
        <v>105</v>
      </c>
      <c r="E72" t="s">
        <v>115</v>
      </c>
      <c r="F72">
        <v>100</v>
      </c>
      <c r="G72">
        <v>6</v>
      </c>
      <c r="W72">
        <v>0.12411900000000001</v>
      </c>
      <c r="X72">
        <v>2.3982999999999997E-2</v>
      </c>
      <c r="Y72">
        <v>0.102934</v>
      </c>
      <c r="Z72">
        <v>0.126917</v>
      </c>
      <c r="AA72">
        <v>5.5729999999999946E-3</v>
      </c>
      <c r="AB72">
        <v>2.0139999999999997E-3</v>
      </c>
      <c r="AC72">
        <v>3.0239999999999998E-3</v>
      </c>
      <c r="AD72">
        <v>5.0379999999999991E-3</v>
      </c>
      <c r="AE72">
        <v>29729</v>
      </c>
      <c r="AF72">
        <v>73</v>
      </c>
      <c r="AG72">
        <v>29766</v>
      </c>
      <c r="AH72">
        <v>80</v>
      </c>
      <c r="AI72">
        <v>32921</v>
      </c>
      <c r="AJ72">
        <v>44187</v>
      </c>
    </row>
    <row r="73" spans="1:36" x14ac:dyDescent="0.25">
      <c r="A73" t="s">
        <v>110</v>
      </c>
      <c r="B73">
        <v>2</v>
      </c>
      <c r="C73" t="s">
        <v>104</v>
      </c>
      <c r="D73" t="s">
        <v>105</v>
      </c>
      <c r="E73" t="s">
        <v>115</v>
      </c>
      <c r="F73">
        <v>100</v>
      </c>
      <c r="G73">
        <v>6</v>
      </c>
      <c r="W73">
        <v>0.14917000000000002</v>
      </c>
      <c r="X73">
        <v>2.7838999999999999E-2</v>
      </c>
      <c r="Y73">
        <v>0.12523899999999999</v>
      </c>
      <c r="Z73">
        <v>0.15307799999999999</v>
      </c>
      <c r="AA73">
        <v>6.8829999999999725E-3</v>
      </c>
      <c r="AB73">
        <v>1.9989999999999999E-3</v>
      </c>
      <c r="AC73">
        <v>4.0029999999999996E-3</v>
      </c>
      <c r="AD73">
        <v>6.0019999999999995E-3</v>
      </c>
      <c r="AE73">
        <v>29729</v>
      </c>
      <c r="AF73">
        <v>73</v>
      </c>
      <c r="AG73">
        <v>29766</v>
      </c>
      <c r="AH73">
        <v>80</v>
      </c>
      <c r="AI73">
        <v>452307</v>
      </c>
      <c r="AJ73">
        <v>474630</v>
      </c>
    </row>
    <row r="74" spans="1:36" x14ac:dyDescent="0.25">
      <c r="A74" t="s">
        <v>110</v>
      </c>
      <c r="B74">
        <v>3</v>
      </c>
      <c r="C74" t="s">
        <v>104</v>
      </c>
      <c r="D74" t="s">
        <v>105</v>
      </c>
      <c r="E74" t="s">
        <v>115</v>
      </c>
      <c r="F74">
        <v>100</v>
      </c>
      <c r="G74">
        <v>6</v>
      </c>
      <c r="W74">
        <v>0.152169</v>
      </c>
      <c r="X74">
        <v>1.5924999999999998E-2</v>
      </c>
      <c r="Y74">
        <v>0.14036399999999999</v>
      </c>
      <c r="Z74">
        <v>0.15628899999999998</v>
      </c>
      <c r="AA74">
        <v>7.0000000000000062E-3</v>
      </c>
      <c r="AB74">
        <v>3.0329999999999997E-3</v>
      </c>
      <c r="AC74">
        <v>3.0349999999999999E-3</v>
      </c>
      <c r="AD74">
        <v>6.0679999999999996E-3</v>
      </c>
      <c r="AE74">
        <v>29729</v>
      </c>
      <c r="AF74">
        <v>73</v>
      </c>
      <c r="AG74">
        <v>29766</v>
      </c>
      <c r="AH74">
        <v>80</v>
      </c>
      <c r="AI74">
        <v>500284</v>
      </c>
      <c r="AJ74">
        <v>534640</v>
      </c>
    </row>
    <row r="75" spans="1:36" x14ac:dyDescent="0.25">
      <c r="A75" t="s">
        <v>110</v>
      </c>
      <c r="B75">
        <v>4</v>
      </c>
      <c r="C75" t="s">
        <v>104</v>
      </c>
      <c r="D75" t="s">
        <v>105</v>
      </c>
      <c r="E75" t="s">
        <v>115</v>
      </c>
      <c r="F75">
        <v>100</v>
      </c>
      <c r="G75">
        <v>6</v>
      </c>
      <c r="W75">
        <v>0.11801</v>
      </c>
      <c r="X75">
        <v>1.8029E-2</v>
      </c>
      <c r="Y75">
        <v>0.10314899999999999</v>
      </c>
      <c r="Z75">
        <v>0.12117799999999999</v>
      </c>
      <c r="AA75">
        <v>6.4649999999999985E-3</v>
      </c>
      <c r="AB75">
        <v>3.607E-3</v>
      </c>
      <c r="AC75">
        <v>1.802E-3</v>
      </c>
      <c r="AD75">
        <v>5.4089999999999997E-3</v>
      </c>
      <c r="AE75">
        <v>29729</v>
      </c>
      <c r="AF75">
        <v>73</v>
      </c>
      <c r="AG75">
        <v>29766</v>
      </c>
      <c r="AH75">
        <v>80</v>
      </c>
      <c r="AI75">
        <v>504832</v>
      </c>
      <c r="AJ75">
        <v>540381</v>
      </c>
    </row>
    <row r="76" spans="1:36" x14ac:dyDescent="0.25">
      <c r="A76" t="s">
        <v>110</v>
      </c>
      <c r="B76">
        <v>5</v>
      </c>
      <c r="C76" t="s">
        <v>104</v>
      </c>
      <c r="D76" t="s">
        <v>105</v>
      </c>
      <c r="E76" t="s">
        <v>115</v>
      </c>
      <c r="F76">
        <v>100</v>
      </c>
      <c r="G76">
        <v>6</v>
      </c>
      <c r="W76">
        <v>0.145595</v>
      </c>
      <c r="X76">
        <v>3.2801999999999998E-2</v>
      </c>
      <c r="Y76">
        <v>0.11652</v>
      </c>
      <c r="Z76">
        <v>0.14932200000000001</v>
      </c>
      <c r="AA76">
        <v>7.7899999999999914E-3</v>
      </c>
      <c r="AB76">
        <v>2.1879999999999998E-3</v>
      </c>
      <c r="AC76">
        <v>4.3809999999999995E-3</v>
      </c>
      <c r="AD76">
        <v>6.5689999999999993E-3</v>
      </c>
      <c r="AE76">
        <v>29729</v>
      </c>
      <c r="AF76">
        <v>73</v>
      </c>
      <c r="AG76">
        <v>29766</v>
      </c>
      <c r="AH76">
        <v>80</v>
      </c>
      <c r="AI76">
        <v>540646</v>
      </c>
      <c r="AJ76">
        <v>548123</v>
      </c>
    </row>
    <row r="77" spans="1:36" x14ac:dyDescent="0.25">
      <c r="A77" t="s">
        <v>110</v>
      </c>
      <c r="B77">
        <v>6</v>
      </c>
      <c r="C77" t="s">
        <v>104</v>
      </c>
      <c r="D77" t="s">
        <v>105</v>
      </c>
      <c r="E77" t="s">
        <v>115</v>
      </c>
      <c r="F77">
        <v>100</v>
      </c>
      <c r="G77">
        <v>6</v>
      </c>
      <c r="W77">
        <v>0.14466200000000001</v>
      </c>
      <c r="X77">
        <v>2.3909999999999997E-2</v>
      </c>
      <c r="Y77">
        <v>0.12455799999999999</v>
      </c>
      <c r="Z77">
        <v>0.14846799999999999</v>
      </c>
      <c r="AA77">
        <v>7.7979999999999994E-3</v>
      </c>
      <c r="AB77">
        <v>2.2169999999999998E-3</v>
      </c>
      <c r="AC77">
        <v>4.4469999999999996E-3</v>
      </c>
      <c r="AD77">
        <v>6.6639999999999998E-3</v>
      </c>
      <c r="AE77">
        <v>29729</v>
      </c>
      <c r="AF77">
        <v>73</v>
      </c>
      <c r="AG77">
        <v>29766</v>
      </c>
      <c r="AH77">
        <v>80</v>
      </c>
      <c r="AI77">
        <v>544180</v>
      </c>
      <c r="AJ77">
        <v>552463</v>
      </c>
    </row>
    <row r="78" spans="1:36" x14ac:dyDescent="0.25">
      <c r="A78" t="s">
        <v>110</v>
      </c>
      <c r="B78">
        <v>7</v>
      </c>
      <c r="C78" t="s">
        <v>104</v>
      </c>
      <c r="D78" t="s">
        <v>105</v>
      </c>
      <c r="E78" t="s">
        <v>115</v>
      </c>
      <c r="F78">
        <v>100</v>
      </c>
      <c r="G78">
        <v>6</v>
      </c>
      <c r="W78">
        <v>0.120047</v>
      </c>
      <c r="X78">
        <v>1.8939999999999999E-2</v>
      </c>
      <c r="Y78">
        <v>0.10464599999999999</v>
      </c>
      <c r="Z78">
        <v>0.12358599999999999</v>
      </c>
      <c r="AA78">
        <v>6.2259999999999954E-3</v>
      </c>
      <c r="AB78">
        <v>3.156E-3</v>
      </c>
      <c r="AC78">
        <v>2.098E-3</v>
      </c>
      <c r="AD78">
        <v>5.254E-3</v>
      </c>
      <c r="AE78">
        <v>29729</v>
      </c>
      <c r="AF78">
        <v>73</v>
      </c>
      <c r="AG78">
        <v>29766</v>
      </c>
      <c r="AH78">
        <v>80</v>
      </c>
      <c r="AI78">
        <v>587016</v>
      </c>
      <c r="AJ78">
        <v>591734</v>
      </c>
    </row>
    <row r="79" spans="1:36" x14ac:dyDescent="0.25">
      <c r="A79" t="s">
        <v>110</v>
      </c>
      <c r="B79">
        <v>8</v>
      </c>
      <c r="C79" t="s">
        <v>104</v>
      </c>
      <c r="D79" t="s">
        <v>105</v>
      </c>
      <c r="E79" t="s">
        <v>115</v>
      </c>
      <c r="F79">
        <v>100</v>
      </c>
      <c r="G79">
        <v>6</v>
      </c>
      <c r="W79">
        <v>0.21537199999999992</v>
      </c>
      <c r="X79">
        <v>2.5656999999999999E-2</v>
      </c>
      <c r="Y79">
        <v>0.194829</v>
      </c>
      <c r="Z79">
        <v>0.22048600000000002</v>
      </c>
      <c r="AA79">
        <v>0.14600600000000005</v>
      </c>
      <c r="AB79">
        <v>7.4249999999999993E-3</v>
      </c>
      <c r="AC79">
        <v>4.6249999999999998E-3</v>
      </c>
      <c r="AD79">
        <v>1.2049999999999998E-2</v>
      </c>
      <c r="AE79">
        <v>29729</v>
      </c>
      <c r="AF79">
        <v>73</v>
      </c>
      <c r="AG79">
        <v>29766</v>
      </c>
      <c r="AH79">
        <v>80</v>
      </c>
      <c r="AI79">
        <v>590530</v>
      </c>
      <c r="AJ79">
        <v>595715</v>
      </c>
    </row>
    <row r="80" spans="1:36" x14ac:dyDescent="0.25">
      <c r="A80" t="s">
        <v>110</v>
      </c>
      <c r="B80">
        <v>9</v>
      </c>
      <c r="C80" t="s">
        <v>104</v>
      </c>
      <c r="D80" t="s">
        <v>105</v>
      </c>
      <c r="E80" t="s">
        <v>115</v>
      </c>
      <c r="F80">
        <v>100</v>
      </c>
      <c r="G80">
        <v>6</v>
      </c>
      <c r="W80">
        <v>0.21861800000000001</v>
      </c>
      <c r="X80">
        <v>2.7935999999999999E-2</v>
      </c>
      <c r="Y80">
        <v>0.19564999999999999</v>
      </c>
      <c r="Z80">
        <v>0.22358599999999998</v>
      </c>
      <c r="AA80">
        <v>1.1330000000000007E-2</v>
      </c>
      <c r="AB80">
        <v>3.9290000000000002E-3</v>
      </c>
      <c r="AC80">
        <v>5.8939999999999999E-3</v>
      </c>
      <c r="AD80">
        <v>9.8230000000000001E-3</v>
      </c>
      <c r="AE80">
        <v>29729</v>
      </c>
      <c r="AF80">
        <v>73</v>
      </c>
      <c r="AG80">
        <v>29766</v>
      </c>
      <c r="AH80">
        <v>80</v>
      </c>
      <c r="AI80">
        <v>592042</v>
      </c>
      <c r="AJ80">
        <v>597223</v>
      </c>
    </row>
    <row r="81" spans="1:36" x14ac:dyDescent="0.25">
      <c r="A81" t="s">
        <v>110</v>
      </c>
      <c r="B81">
        <v>10</v>
      </c>
      <c r="C81" t="s">
        <v>104</v>
      </c>
      <c r="D81" t="s">
        <v>105</v>
      </c>
      <c r="E81" t="s">
        <v>115</v>
      </c>
      <c r="F81">
        <v>100</v>
      </c>
      <c r="G81">
        <v>6</v>
      </c>
      <c r="W81">
        <v>0.116789</v>
      </c>
      <c r="X81">
        <v>1.3122999999999999E-2</v>
      </c>
      <c r="Y81">
        <v>0.10702199999999999</v>
      </c>
      <c r="Z81">
        <v>0.12014499999999999</v>
      </c>
      <c r="AA81">
        <v>6.519999999999998E-3</v>
      </c>
      <c r="AB81">
        <v>2.7369999999999998E-3</v>
      </c>
      <c r="AC81">
        <v>2.7329999999999998E-3</v>
      </c>
      <c r="AD81">
        <v>5.4699999999999992E-3</v>
      </c>
      <c r="AE81">
        <v>29729</v>
      </c>
      <c r="AF81">
        <v>73</v>
      </c>
      <c r="AG81">
        <v>29766</v>
      </c>
      <c r="AH81">
        <v>80</v>
      </c>
      <c r="AI81">
        <v>594568</v>
      </c>
      <c r="AJ81">
        <v>606212</v>
      </c>
    </row>
    <row r="82" spans="1:36" x14ac:dyDescent="0.25">
      <c r="A82" t="s">
        <v>82</v>
      </c>
      <c r="B82">
        <v>1</v>
      </c>
      <c r="C82" t="s">
        <v>45</v>
      </c>
      <c r="D82" t="s">
        <v>45</v>
      </c>
      <c r="E82" t="s">
        <v>116</v>
      </c>
      <c r="AI82">
        <v>32921</v>
      </c>
      <c r="AJ82">
        <v>45817</v>
      </c>
    </row>
    <row r="83" spans="1:36" x14ac:dyDescent="0.25">
      <c r="A83" t="s">
        <v>82</v>
      </c>
      <c r="B83">
        <v>2</v>
      </c>
      <c r="C83" t="s">
        <v>45</v>
      </c>
      <c r="D83" t="s">
        <v>45</v>
      </c>
      <c r="E83" t="s">
        <v>116</v>
      </c>
      <c r="AI83">
        <v>514648</v>
      </c>
      <c r="AJ83">
        <v>540434</v>
      </c>
    </row>
    <row r="84" spans="1:36" x14ac:dyDescent="0.25">
      <c r="A84" t="s">
        <v>82</v>
      </c>
      <c r="B84">
        <v>3</v>
      </c>
      <c r="C84" t="s">
        <v>45</v>
      </c>
      <c r="D84" t="s">
        <v>45</v>
      </c>
      <c r="E84" t="s">
        <v>116</v>
      </c>
      <c r="AI84">
        <v>534600</v>
      </c>
      <c r="AJ84">
        <v>540472</v>
      </c>
    </row>
    <row r="85" spans="1:36" x14ac:dyDescent="0.25">
      <c r="A85" t="s">
        <v>82</v>
      </c>
      <c r="B85">
        <v>4</v>
      </c>
      <c r="C85" t="s">
        <v>45</v>
      </c>
      <c r="D85" t="s">
        <v>45</v>
      </c>
      <c r="E85" t="s">
        <v>116</v>
      </c>
      <c r="AI85">
        <v>539171</v>
      </c>
      <c r="AJ85">
        <v>541901</v>
      </c>
    </row>
    <row r="86" spans="1:36" x14ac:dyDescent="0.25">
      <c r="A86" t="s">
        <v>82</v>
      </c>
      <c r="B86">
        <v>5</v>
      </c>
      <c r="C86" t="s">
        <v>45</v>
      </c>
      <c r="D86" t="s">
        <v>45</v>
      </c>
      <c r="E86" t="s">
        <v>116</v>
      </c>
      <c r="AI86">
        <v>541679</v>
      </c>
      <c r="AJ86">
        <v>544073</v>
      </c>
    </row>
    <row r="87" spans="1:36" x14ac:dyDescent="0.25">
      <c r="A87" t="s">
        <v>82</v>
      </c>
      <c r="B87">
        <v>6</v>
      </c>
      <c r="C87" t="s">
        <v>45</v>
      </c>
      <c r="D87" t="s">
        <v>45</v>
      </c>
      <c r="E87" t="s">
        <v>116</v>
      </c>
      <c r="AI87">
        <v>551213</v>
      </c>
      <c r="AJ87">
        <v>554123</v>
      </c>
    </row>
    <row r="88" spans="1:36" x14ac:dyDescent="0.25">
      <c r="A88" t="s">
        <v>82</v>
      </c>
      <c r="B88">
        <v>7</v>
      </c>
      <c r="C88" t="s">
        <v>45</v>
      </c>
      <c r="D88" t="s">
        <v>45</v>
      </c>
      <c r="E88" t="s">
        <v>116</v>
      </c>
      <c r="AI88">
        <v>552729</v>
      </c>
      <c r="AJ88">
        <v>557788</v>
      </c>
    </row>
    <row r="89" spans="1:36" x14ac:dyDescent="0.25">
      <c r="A89" t="s">
        <v>82</v>
      </c>
      <c r="B89">
        <v>8</v>
      </c>
      <c r="C89" t="s">
        <v>45</v>
      </c>
      <c r="D89" t="s">
        <v>45</v>
      </c>
      <c r="E89" t="s">
        <v>116</v>
      </c>
      <c r="AI89">
        <v>554233</v>
      </c>
      <c r="AJ89">
        <v>575065</v>
      </c>
    </row>
    <row r="90" spans="1:36" x14ac:dyDescent="0.25">
      <c r="A90" t="s">
        <v>82</v>
      </c>
      <c r="B90">
        <v>9</v>
      </c>
      <c r="C90" t="s">
        <v>45</v>
      </c>
      <c r="D90" t="s">
        <v>45</v>
      </c>
      <c r="E90" t="s">
        <v>116</v>
      </c>
      <c r="AI90">
        <v>584988</v>
      </c>
      <c r="AJ90">
        <v>589353</v>
      </c>
    </row>
    <row r="91" spans="1:36" x14ac:dyDescent="0.25">
      <c r="A91" t="s">
        <v>82</v>
      </c>
      <c r="B91">
        <v>10</v>
      </c>
      <c r="C91" t="s">
        <v>45</v>
      </c>
      <c r="D91" t="s">
        <v>45</v>
      </c>
      <c r="E91" t="s">
        <v>116</v>
      </c>
      <c r="AI91">
        <v>589530</v>
      </c>
      <c r="AJ91">
        <v>593123</v>
      </c>
    </row>
    <row r="92" spans="1:36" x14ac:dyDescent="0.25">
      <c r="A92" t="s">
        <v>83</v>
      </c>
      <c r="B92">
        <v>1</v>
      </c>
      <c r="C92" t="s">
        <v>98</v>
      </c>
      <c r="D92" t="s">
        <v>99</v>
      </c>
      <c r="E92" t="s">
        <v>117</v>
      </c>
      <c r="F92">
        <v>500</v>
      </c>
      <c r="G92">
        <v>0</v>
      </c>
      <c r="W92">
        <v>0.126248</v>
      </c>
      <c r="X92">
        <v>2.1727E-2</v>
      </c>
      <c r="Y92">
        <v>0.10760399999999999</v>
      </c>
      <c r="Z92">
        <v>0.129331</v>
      </c>
      <c r="AA92">
        <v>8.4519999999999873E-3</v>
      </c>
      <c r="AB92">
        <v>2.2390000000000001E-3</v>
      </c>
      <c r="AC92">
        <v>5.5959999999999994E-3</v>
      </c>
      <c r="AD92">
        <v>7.835E-3</v>
      </c>
      <c r="AE92">
        <v>29729</v>
      </c>
      <c r="AF92">
        <v>73</v>
      </c>
      <c r="AG92">
        <v>29766</v>
      </c>
      <c r="AH92">
        <v>80</v>
      </c>
      <c r="AI92">
        <v>32922</v>
      </c>
      <c r="AJ92">
        <v>44187</v>
      </c>
    </row>
    <row r="93" spans="1:36" x14ac:dyDescent="0.25">
      <c r="A93" t="s">
        <v>83</v>
      </c>
      <c r="B93">
        <v>2</v>
      </c>
      <c r="C93" t="s">
        <v>98</v>
      </c>
      <c r="D93" t="s">
        <v>99</v>
      </c>
      <c r="E93" t="s">
        <v>117</v>
      </c>
      <c r="F93">
        <v>500</v>
      </c>
      <c r="G93">
        <v>0</v>
      </c>
      <c r="W93">
        <v>0.11715100000000012</v>
      </c>
      <c r="X93">
        <v>2.0070999999999999E-2</v>
      </c>
      <c r="Y93">
        <v>0.100351</v>
      </c>
      <c r="Z93">
        <v>0.120422</v>
      </c>
      <c r="AA93">
        <v>9.1789999999999372E-3</v>
      </c>
      <c r="AB93">
        <v>2.0349999999999999E-3</v>
      </c>
      <c r="AC93">
        <v>6.0989999999999994E-3</v>
      </c>
      <c r="AD93">
        <v>8.1339999999999989E-3</v>
      </c>
      <c r="AE93">
        <v>29729</v>
      </c>
      <c r="AF93">
        <v>73</v>
      </c>
      <c r="AG93">
        <v>29766</v>
      </c>
      <c r="AH93">
        <v>80</v>
      </c>
      <c r="AI93">
        <v>514649</v>
      </c>
      <c r="AJ93">
        <v>541666</v>
      </c>
    </row>
    <row r="94" spans="1:36" x14ac:dyDescent="0.25">
      <c r="A94" t="s">
        <v>83</v>
      </c>
      <c r="B94">
        <v>3</v>
      </c>
      <c r="C94" t="s">
        <v>98</v>
      </c>
      <c r="D94" t="s">
        <v>99</v>
      </c>
      <c r="E94" t="s">
        <v>117</v>
      </c>
      <c r="F94">
        <v>500</v>
      </c>
      <c r="G94">
        <v>0</v>
      </c>
      <c r="W94">
        <v>0.14044699999999999</v>
      </c>
      <c r="X94">
        <v>2.7909E-2</v>
      </c>
      <c r="Y94">
        <v>0.116631</v>
      </c>
      <c r="Z94">
        <v>0.14454</v>
      </c>
      <c r="AA94">
        <v>1.0329000000000033E-2</v>
      </c>
      <c r="AB94">
        <v>2.0279999999999999E-3</v>
      </c>
      <c r="AC94">
        <v>7.0979999999999993E-3</v>
      </c>
      <c r="AD94">
        <v>9.1259999999999987E-3</v>
      </c>
      <c r="AE94">
        <v>29729</v>
      </c>
      <c r="AF94">
        <v>73</v>
      </c>
      <c r="AG94">
        <v>29766</v>
      </c>
      <c r="AH94">
        <v>80</v>
      </c>
      <c r="AI94">
        <v>540646</v>
      </c>
      <c r="AJ94">
        <v>546735</v>
      </c>
    </row>
    <row r="95" spans="1:36" x14ac:dyDescent="0.25">
      <c r="A95" t="s">
        <v>83</v>
      </c>
      <c r="B95">
        <v>4</v>
      </c>
      <c r="C95" t="s">
        <v>98</v>
      </c>
      <c r="D95" t="s">
        <v>99</v>
      </c>
      <c r="E95" t="s">
        <v>117</v>
      </c>
      <c r="F95">
        <v>500</v>
      </c>
      <c r="G95">
        <v>0</v>
      </c>
      <c r="W95">
        <v>0.14066499999999998</v>
      </c>
      <c r="X95">
        <v>2.2862E-2</v>
      </c>
      <c r="Y95">
        <v>0.12227199999999999</v>
      </c>
      <c r="Z95">
        <v>0.14513399999999999</v>
      </c>
      <c r="AA95">
        <v>1.0558000000000012E-2</v>
      </c>
      <c r="AB95">
        <v>2.0790000000000001E-3</v>
      </c>
      <c r="AC95">
        <v>7.2740000000000001E-3</v>
      </c>
      <c r="AD95">
        <v>9.3530000000000002E-3</v>
      </c>
      <c r="AE95">
        <v>29729</v>
      </c>
      <c r="AF95">
        <v>73</v>
      </c>
      <c r="AG95">
        <v>29766</v>
      </c>
      <c r="AH95">
        <v>80</v>
      </c>
      <c r="AI95">
        <v>542166</v>
      </c>
      <c r="AJ95">
        <v>549594</v>
      </c>
    </row>
    <row r="96" spans="1:36" x14ac:dyDescent="0.25">
      <c r="A96" t="s">
        <v>83</v>
      </c>
      <c r="B96">
        <v>5</v>
      </c>
      <c r="C96" t="s">
        <v>98</v>
      </c>
      <c r="D96" t="s">
        <v>99</v>
      </c>
      <c r="E96" t="s">
        <v>117</v>
      </c>
      <c r="F96">
        <v>500</v>
      </c>
      <c r="G96">
        <v>0</v>
      </c>
      <c r="W96">
        <v>0.119917</v>
      </c>
      <c r="X96">
        <v>2.4079999999999997E-2</v>
      </c>
      <c r="Y96">
        <v>9.9360999999999991E-2</v>
      </c>
      <c r="Z96">
        <v>0.123441</v>
      </c>
      <c r="AA96">
        <v>9.206999999999993E-3</v>
      </c>
      <c r="AB96">
        <v>2.0379999999999999E-3</v>
      </c>
      <c r="AC96">
        <v>6.1110000000000001E-3</v>
      </c>
      <c r="AD96">
        <v>8.149E-3</v>
      </c>
      <c r="AE96">
        <v>29729</v>
      </c>
      <c r="AF96">
        <v>73</v>
      </c>
      <c r="AG96">
        <v>29766</v>
      </c>
      <c r="AH96">
        <v>80</v>
      </c>
      <c r="AI96">
        <v>588020</v>
      </c>
      <c r="AJ96">
        <v>593066</v>
      </c>
    </row>
    <row r="97" spans="1:36" x14ac:dyDescent="0.25">
      <c r="A97" t="s">
        <v>83</v>
      </c>
      <c r="B97">
        <v>6</v>
      </c>
      <c r="C97" t="s">
        <v>98</v>
      </c>
      <c r="D97" t="s">
        <v>99</v>
      </c>
      <c r="E97" t="s">
        <v>117</v>
      </c>
      <c r="F97">
        <v>500</v>
      </c>
      <c r="G97">
        <v>0</v>
      </c>
      <c r="W97">
        <v>0.142872</v>
      </c>
      <c r="X97">
        <v>2.5026E-2</v>
      </c>
      <c r="Y97">
        <v>0.12111899999999999</v>
      </c>
      <c r="Z97">
        <v>0.146145</v>
      </c>
      <c r="AA97">
        <v>9.5300000000000107E-3</v>
      </c>
      <c r="AB97">
        <v>1.8829999999999999E-3</v>
      </c>
      <c r="AC97">
        <v>6.5699999999999995E-3</v>
      </c>
      <c r="AD97">
        <v>8.4529999999999987E-3</v>
      </c>
      <c r="AE97">
        <v>29729</v>
      </c>
      <c r="AF97">
        <v>73</v>
      </c>
      <c r="AG97">
        <v>29766</v>
      </c>
      <c r="AH97">
        <v>80</v>
      </c>
      <c r="AI97">
        <v>589529</v>
      </c>
      <c r="AJ97">
        <v>594417</v>
      </c>
    </row>
    <row r="98" spans="1:36" x14ac:dyDescent="0.25">
      <c r="A98" t="s">
        <v>83</v>
      </c>
      <c r="B98">
        <v>7</v>
      </c>
      <c r="C98" t="s">
        <v>98</v>
      </c>
      <c r="D98" t="s">
        <v>99</v>
      </c>
      <c r="E98" t="s">
        <v>117</v>
      </c>
      <c r="F98">
        <v>500</v>
      </c>
      <c r="G98">
        <v>0</v>
      </c>
      <c r="W98">
        <v>0.117642</v>
      </c>
      <c r="X98">
        <v>2.9725999999999999E-2</v>
      </c>
      <c r="Y98">
        <v>9.1169E-2</v>
      </c>
      <c r="Z98">
        <v>0.120895</v>
      </c>
      <c r="AA98">
        <v>9.0749999999999997E-3</v>
      </c>
      <c r="AB98">
        <v>3.9919999999999999E-3</v>
      </c>
      <c r="AC98">
        <v>3.9909999999999998E-3</v>
      </c>
      <c r="AD98">
        <v>7.9830000000000005E-3</v>
      </c>
      <c r="AE98">
        <v>29729</v>
      </c>
      <c r="AF98">
        <v>73</v>
      </c>
      <c r="AG98">
        <v>29766</v>
      </c>
      <c r="AH98">
        <v>80</v>
      </c>
      <c r="AI98">
        <v>592042</v>
      </c>
      <c r="AJ98">
        <v>600418</v>
      </c>
    </row>
    <row r="99" spans="1:36" x14ac:dyDescent="0.25">
      <c r="A99" t="s">
        <v>83</v>
      </c>
      <c r="B99">
        <v>8</v>
      </c>
      <c r="C99" t="s">
        <v>98</v>
      </c>
      <c r="D99" t="s">
        <v>99</v>
      </c>
      <c r="E99" t="s">
        <v>117</v>
      </c>
      <c r="F99">
        <v>500</v>
      </c>
      <c r="G99">
        <v>0</v>
      </c>
      <c r="W99">
        <v>0.21086200000000005</v>
      </c>
      <c r="X99">
        <v>2.4996999999999998E-2</v>
      </c>
      <c r="Y99">
        <v>0.191079</v>
      </c>
      <c r="Z99">
        <v>0.21607599999999999</v>
      </c>
      <c r="AA99">
        <v>9.0636999999999968E-2</v>
      </c>
      <c r="AB99">
        <v>7.0819999999999998E-3</v>
      </c>
      <c r="AC99">
        <v>7.9379999999999989E-3</v>
      </c>
      <c r="AD99">
        <v>1.5019999999999999E-2</v>
      </c>
      <c r="AE99">
        <v>29729</v>
      </c>
      <c r="AF99">
        <v>73</v>
      </c>
      <c r="AG99">
        <v>29766</v>
      </c>
      <c r="AH99">
        <v>80</v>
      </c>
      <c r="AI99">
        <v>597586</v>
      </c>
      <c r="AJ99">
        <v>605389</v>
      </c>
    </row>
    <row r="100" spans="1:36" x14ac:dyDescent="0.25">
      <c r="A100" t="s">
        <v>83</v>
      </c>
      <c r="B100">
        <v>9</v>
      </c>
      <c r="C100" t="s">
        <v>98</v>
      </c>
      <c r="D100" t="s">
        <v>99</v>
      </c>
      <c r="E100" t="s">
        <v>117</v>
      </c>
      <c r="F100">
        <v>500</v>
      </c>
      <c r="G100">
        <v>0</v>
      </c>
      <c r="W100">
        <v>0.117342</v>
      </c>
      <c r="X100">
        <v>2.4974999999999997E-2</v>
      </c>
      <c r="Y100">
        <v>9.5885999999999999E-2</v>
      </c>
      <c r="Z100">
        <v>0.120861</v>
      </c>
      <c r="AA100">
        <v>9.1269999999999962E-3</v>
      </c>
      <c r="AB100">
        <v>3.0199999999999997E-3</v>
      </c>
      <c r="AC100">
        <v>5.0279999999999995E-3</v>
      </c>
      <c r="AD100">
        <v>8.0479999999999996E-3</v>
      </c>
      <c r="AE100">
        <v>29729</v>
      </c>
      <c r="AF100">
        <v>73</v>
      </c>
      <c r="AG100">
        <v>29766</v>
      </c>
      <c r="AH100">
        <v>80</v>
      </c>
      <c r="AI100">
        <v>599104</v>
      </c>
      <c r="AJ100">
        <v>607506</v>
      </c>
    </row>
    <row r="101" spans="1:36" x14ac:dyDescent="0.25">
      <c r="A101" t="s">
        <v>83</v>
      </c>
      <c r="B101">
        <v>10</v>
      </c>
      <c r="C101" t="s">
        <v>98</v>
      </c>
      <c r="D101" t="s">
        <v>99</v>
      </c>
      <c r="E101" t="s">
        <v>117</v>
      </c>
      <c r="F101">
        <v>500</v>
      </c>
      <c r="G101">
        <v>0</v>
      </c>
      <c r="W101">
        <v>0.214335</v>
      </c>
      <c r="X101">
        <v>3.1786999999999996E-2</v>
      </c>
      <c r="Y101">
        <v>0.187807</v>
      </c>
      <c r="Z101">
        <v>0.21959400000000001</v>
      </c>
      <c r="AA101">
        <v>1.5317999999999998E-2</v>
      </c>
      <c r="AB101">
        <v>3.1689999999999999E-3</v>
      </c>
      <c r="AC101">
        <v>1.0558999999999999E-2</v>
      </c>
      <c r="AD101">
        <v>1.3727999999999999E-2</v>
      </c>
      <c r="AE101">
        <v>29729</v>
      </c>
      <c r="AF101">
        <v>73</v>
      </c>
      <c r="AG101">
        <v>29766</v>
      </c>
      <c r="AH101">
        <v>80</v>
      </c>
      <c r="AI101">
        <v>600619</v>
      </c>
      <c r="AJ101">
        <v>608074</v>
      </c>
    </row>
    <row r="102" spans="1:36" x14ac:dyDescent="0.25">
      <c r="A102" t="s">
        <v>84</v>
      </c>
      <c r="B102">
        <v>1</v>
      </c>
      <c r="C102" t="s">
        <v>96</v>
      </c>
      <c r="D102" t="s">
        <v>97</v>
      </c>
      <c r="E102" t="s">
        <v>114</v>
      </c>
      <c r="F102">
        <v>0</v>
      </c>
      <c r="G102">
        <v>33</v>
      </c>
      <c r="W102">
        <v>0.13560899999999998</v>
      </c>
      <c r="X102">
        <v>2.6841999999999998E-2</v>
      </c>
      <c r="Y102">
        <v>0.112346</v>
      </c>
      <c r="Z102">
        <v>0.13918800000000001</v>
      </c>
      <c r="AA102">
        <v>1.4854000000000034E-2</v>
      </c>
      <c r="AB102">
        <v>5.8989999999999997E-3</v>
      </c>
      <c r="AC102">
        <v>1.2745999999999999E-2</v>
      </c>
      <c r="AD102">
        <v>1.8644999999999998E-2</v>
      </c>
      <c r="AE102">
        <v>29729</v>
      </c>
      <c r="AF102">
        <v>73</v>
      </c>
      <c r="AG102">
        <v>29766</v>
      </c>
      <c r="AH102">
        <v>80</v>
      </c>
      <c r="AI102">
        <v>45987</v>
      </c>
      <c r="AJ102">
        <v>61690</v>
      </c>
    </row>
    <row r="103" spans="1:36" x14ac:dyDescent="0.25">
      <c r="A103" t="s">
        <v>84</v>
      </c>
      <c r="B103">
        <v>2</v>
      </c>
      <c r="C103" t="s">
        <v>96</v>
      </c>
      <c r="D103" t="s">
        <v>97</v>
      </c>
      <c r="E103" t="s">
        <v>114</v>
      </c>
      <c r="F103">
        <v>0</v>
      </c>
      <c r="G103">
        <v>33</v>
      </c>
      <c r="W103">
        <v>0.124774</v>
      </c>
      <c r="X103">
        <v>2.3828999999999999E-2</v>
      </c>
      <c r="Y103">
        <v>0.10425799999999999</v>
      </c>
      <c r="Z103">
        <v>0.12808699999999998</v>
      </c>
      <c r="AA103">
        <v>1.5164000000000011E-2</v>
      </c>
      <c r="AB103">
        <v>5.4819999999999999E-3</v>
      </c>
      <c r="AC103">
        <v>1.2534E-2</v>
      </c>
      <c r="AD103">
        <v>1.8016000000000001E-2</v>
      </c>
      <c r="AE103">
        <v>29729</v>
      </c>
      <c r="AF103">
        <v>73</v>
      </c>
      <c r="AG103">
        <v>29766</v>
      </c>
      <c r="AH103">
        <v>80</v>
      </c>
      <c r="AI103">
        <v>91223</v>
      </c>
      <c r="AJ103">
        <v>97105</v>
      </c>
    </row>
    <row r="104" spans="1:36" x14ac:dyDescent="0.25">
      <c r="A104" t="s">
        <v>84</v>
      </c>
      <c r="B104">
        <v>3</v>
      </c>
      <c r="C104" t="s">
        <v>96</v>
      </c>
      <c r="D104" t="s">
        <v>97</v>
      </c>
      <c r="E104" t="s">
        <v>114</v>
      </c>
      <c r="F104">
        <v>0</v>
      </c>
      <c r="G104">
        <v>33</v>
      </c>
      <c r="W104">
        <v>0.11608500000000001</v>
      </c>
      <c r="X104">
        <v>2.1861999999999999E-2</v>
      </c>
      <c r="Y104">
        <v>9.7479999999999997E-2</v>
      </c>
      <c r="Z104">
        <v>0.119342</v>
      </c>
      <c r="AA104">
        <v>1.5309000000000003E-2</v>
      </c>
      <c r="AB104">
        <v>7.2679999999999993E-3</v>
      </c>
      <c r="AC104">
        <v>1.0494999999999999E-2</v>
      </c>
      <c r="AD104">
        <v>1.7762999999999998E-2</v>
      </c>
      <c r="AE104">
        <v>29729</v>
      </c>
      <c r="AF104">
        <v>73</v>
      </c>
      <c r="AG104">
        <v>29766</v>
      </c>
      <c r="AH104">
        <v>80</v>
      </c>
      <c r="AI104">
        <v>627249</v>
      </c>
      <c r="AJ104">
        <v>635411</v>
      </c>
    </row>
    <row r="105" spans="1:36" x14ac:dyDescent="0.25">
      <c r="A105" t="s">
        <v>84</v>
      </c>
      <c r="B105">
        <v>4</v>
      </c>
      <c r="C105" t="s">
        <v>96</v>
      </c>
      <c r="D105" t="s">
        <v>97</v>
      </c>
      <c r="E105" t="s">
        <v>114</v>
      </c>
      <c r="F105">
        <v>0</v>
      </c>
      <c r="G105">
        <v>33</v>
      </c>
      <c r="W105">
        <v>0.117303</v>
      </c>
      <c r="X105">
        <v>2.1971999999999998E-2</v>
      </c>
      <c r="Y105">
        <v>9.8858000000000001E-2</v>
      </c>
      <c r="Z105">
        <v>0.12082999999999999</v>
      </c>
      <c r="AA105">
        <v>1.5436999999999992E-2</v>
      </c>
      <c r="AB105">
        <v>6.0299999999999998E-3</v>
      </c>
      <c r="AC105">
        <v>1.2114E-2</v>
      </c>
      <c r="AD105">
        <v>1.8144E-2</v>
      </c>
      <c r="AE105">
        <v>29729</v>
      </c>
      <c r="AF105">
        <v>73</v>
      </c>
      <c r="AG105">
        <v>29766</v>
      </c>
      <c r="AH105">
        <v>80</v>
      </c>
      <c r="AI105">
        <v>634805</v>
      </c>
      <c r="AJ105">
        <v>639759</v>
      </c>
    </row>
    <row r="106" spans="1:36" x14ac:dyDescent="0.25">
      <c r="A106" t="s">
        <v>84</v>
      </c>
      <c r="B106">
        <v>5</v>
      </c>
      <c r="C106" t="s">
        <v>96</v>
      </c>
      <c r="D106" t="s">
        <v>97</v>
      </c>
      <c r="E106" t="s">
        <v>114</v>
      </c>
      <c r="F106">
        <v>0</v>
      </c>
      <c r="G106">
        <v>33</v>
      </c>
      <c r="W106">
        <v>0.24022300000000002</v>
      </c>
      <c r="X106">
        <v>2.3789999999999999E-2</v>
      </c>
      <c r="Y106">
        <v>0.22094899999999998</v>
      </c>
      <c r="Z106">
        <v>0.24473899999999998</v>
      </c>
      <c r="AA106">
        <v>1.9104999999999983E-2</v>
      </c>
      <c r="AB106">
        <v>5.8729999999999997E-3</v>
      </c>
      <c r="AC106">
        <v>1.7496999999999999E-2</v>
      </c>
      <c r="AD106">
        <v>2.3369999999999998E-2</v>
      </c>
      <c r="AE106">
        <v>29729</v>
      </c>
      <c r="AF106">
        <v>73</v>
      </c>
      <c r="AG106">
        <v>29766</v>
      </c>
      <c r="AH106">
        <v>80</v>
      </c>
      <c r="AI106">
        <v>905544</v>
      </c>
      <c r="AJ106">
        <v>914414</v>
      </c>
    </row>
    <row r="107" spans="1:36" x14ac:dyDescent="0.25">
      <c r="A107" t="s">
        <v>84</v>
      </c>
      <c r="B107">
        <v>6</v>
      </c>
      <c r="C107" t="s">
        <v>96</v>
      </c>
      <c r="D107" t="s">
        <v>97</v>
      </c>
      <c r="E107" t="s">
        <v>114</v>
      </c>
      <c r="F107">
        <v>0</v>
      </c>
      <c r="G107">
        <v>33</v>
      </c>
      <c r="W107">
        <v>0.23486599999999999</v>
      </c>
      <c r="X107">
        <v>2.4933999999999998E-2</v>
      </c>
      <c r="Y107">
        <v>0.214505</v>
      </c>
      <c r="Z107">
        <v>0.23943900000000001</v>
      </c>
      <c r="AA107">
        <v>2.8163000000000021E-2</v>
      </c>
      <c r="AB107">
        <v>9.1570000000000002E-3</v>
      </c>
      <c r="AC107">
        <v>1.4300999999999999E-2</v>
      </c>
      <c r="AD107">
        <v>2.3458E-2</v>
      </c>
      <c r="AE107">
        <v>29729</v>
      </c>
      <c r="AF107">
        <v>73</v>
      </c>
      <c r="AG107">
        <v>29766</v>
      </c>
      <c r="AH107">
        <v>80</v>
      </c>
      <c r="AI107">
        <v>911109</v>
      </c>
      <c r="AJ107">
        <v>917402</v>
      </c>
    </row>
    <row r="108" spans="1:36" x14ac:dyDescent="0.25">
      <c r="A108" t="s">
        <v>84</v>
      </c>
      <c r="B108">
        <v>7</v>
      </c>
      <c r="C108" t="s">
        <v>96</v>
      </c>
      <c r="D108" t="s">
        <v>97</v>
      </c>
      <c r="E108" t="s">
        <v>114</v>
      </c>
      <c r="F108">
        <v>0</v>
      </c>
      <c r="G108">
        <v>33</v>
      </c>
      <c r="W108">
        <v>0.14527000000000004</v>
      </c>
      <c r="X108">
        <v>2.9848E-2</v>
      </c>
      <c r="Y108">
        <v>0.11841499999999999</v>
      </c>
      <c r="Z108">
        <v>0.14826299999999998</v>
      </c>
      <c r="AA108">
        <v>1.9124999999999975E-2</v>
      </c>
      <c r="AB108">
        <v>1.9589999999999998E-3</v>
      </c>
      <c r="AC108">
        <v>1.5678000000000001E-2</v>
      </c>
      <c r="AD108">
        <v>1.7637E-2</v>
      </c>
      <c r="AE108">
        <v>29729</v>
      </c>
      <c r="AF108">
        <v>73</v>
      </c>
      <c r="AG108">
        <v>29766</v>
      </c>
      <c r="AH108">
        <v>80</v>
      </c>
      <c r="AI108">
        <v>1276548</v>
      </c>
      <c r="AJ108">
        <v>1295753</v>
      </c>
    </row>
    <row r="109" spans="1:36" x14ac:dyDescent="0.25">
      <c r="A109" t="s">
        <v>84</v>
      </c>
      <c r="B109">
        <v>8</v>
      </c>
      <c r="C109" t="s">
        <v>96</v>
      </c>
      <c r="D109" t="s">
        <v>97</v>
      </c>
      <c r="E109" t="s">
        <v>114</v>
      </c>
      <c r="F109">
        <v>0</v>
      </c>
      <c r="G109">
        <v>33</v>
      </c>
      <c r="W109">
        <v>0.130885</v>
      </c>
      <c r="X109">
        <v>3.2698999999999999E-2</v>
      </c>
      <c r="Y109">
        <v>0.10201099999999999</v>
      </c>
      <c r="Z109">
        <v>0.13471</v>
      </c>
      <c r="AA109">
        <v>1.7108999999999985E-2</v>
      </c>
      <c r="AB109">
        <v>7.9329999999999991E-3</v>
      </c>
      <c r="AC109">
        <v>1.1849999999999999E-2</v>
      </c>
      <c r="AD109">
        <v>1.9782999999999999E-2</v>
      </c>
      <c r="AE109">
        <v>29729</v>
      </c>
      <c r="AF109">
        <v>73</v>
      </c>
      <c r="AG109">
        <v>29766</v>
      </c>
      <c r="AH109">
        <v>80</v>
      </c>
      <c r="AI109">
        <v>1402189</v>
      </c>
      <c r="AJ109">
        <v>1422434</v>
      </c>
    </row>
    <row r="110" spans="1:36" x14ac:dyDescent="0.25">
      <c r="A110" t="s">
        <v>84</v>
      </c>
      <c r="B110">
        <v>9</v>
      </c>
      <c r="C110" t="s">
        <v>96</v>
      </c>
      <c r="D110" t="s">
        <v>97</v>
      </c>
      <c r="E110" t="s">
        <v>114</v>
      </c>
      <c r="F110">
        <v>0</v>
      </c>
      <c r="G110">
        <v>33</v>
      </c>
      <c r="W110">
        <v>0.13519300000000001</v>
      </c>
      <c r="X110">
        <v>3.2888000000000001E-2</v>
      </c>
      <c r="Y110">
        <v>0.105656</v>
      </c>
      <c r="Z110">
        <v>0.138544</v>
      </c>
      <c r="AA110">
        <v>1.6560999999999992E-2</v>
      </c>
      <c r="AB110">
        <v>9.7879999999999998E-3</v>
      </c>
      <c r="AC110">
        <v>9.8250000000000004E-3</v>
      </c>
      <c r="AD110">
        <v>1.9612999999999998E-2</v>
      </c>
      <c r="AE110">
        <v>29729</v>
      </c>
      <c r="AF110">
        <v>73</v>
      </c>
      <c r="AG110">
        <v>29766</v>
      </c>
      <c r="AH110">
        <v>80</v>
      </c>
      <c r="AI110">
        <v>1416312</v>
      </c>
      <c r="AJ110">
        <v>1431785</v>
      </c>
    </row>
    <row r="111" spans="1:36" x14ac:dyDescent="0.25">
      <c r="A111" t="s">
        <v>84</v>
      </c>
      <c r="B111">
        <v>10</v>
      </c>
      <c r="C111" t="s">
        <v>96</v>
      </c>
      <c r="D111" t="s">
        <v>97</v>
      </c>
      <c r="E111" t="s">
        <v>114</v>
      </c>
      <c r="F111">
        <v>0</v>
      </c>
      <c r="G111">
        <v>33</v>
      </c>
      <c r="W111">
        <v>1.9852090000000002</v>
      </c>
      <c r="X111">
        <v>8.1054000000000001E-2</v>
      </c>
      <c r="Y111">
        <v>0.19746999999999998</v>
      </c>
      <c r="Z111">
        <v>0.27852399999999999</v>
      </c>
      <c r="AA111">
        <v>3.5419679999999998</v>
      </c>
      <c r="AB111">
        <v>8.0883999999999998E-2</v>
      </c>
      <c r="AC111">
        <v>0.66202399999999995</v>
      </c>
      <c r="AD111">
        <v>0.7429079999999999</v>
      </c>
      <c r="AE111">
        <v>29729</v>
      </c>
      <c r="AF111">
        <v>73</v>
      </c>
      <c r="AG111">
        <v>29766</v>
      </c>
      <c r="AH111">
        <v>80</v>
      </c>
      <c r="AI111">
        <v>1421853</v>
      </c>
      <c r="AJ111">
        <v>1574612</v>
      </c>
    </row>
    <row r="112" spans="1:36" x14ac:dyDescent="0.25">
      <c r="A112" t="s">
        <v>85</v>
      </c>
      <c r="B112">
        <v>1</v>
      </c>
      <c r="C112" t="s">
        <v>100</v>
      </c>
      <c r="D112" t="s">
        <v>101</v>
      </c>
      <c r="E112" t="s">
        <v>45</v>
      </c>
      <c r="AI112">
        <v>45987</v>
      </c>
      <c r="AJ112">
        <v>64130</v>
      </c>
    </row>
    <row r="113" spans="1:36" x14ac:dyDescent="0.25">
      <c r="A113" t="s">
        <v>85</v>
      </c>
      <c r="B113">
        <v>2</v>
      </c>
      <c r="C113" t="s">
        <v>100</v>
      </c>
      <c r="D113" t="s">
        <v>101</v>
      </c>
      <c r="E113" t="s">
        <v>45</v>
      </c>
      <c r="AI113">
        <v>353338</v>
      </c>
      <c r="AJ113">
        <v>415307</v>
      </c>
    </row>
    <row r="114" spans="1:36" x14ac:dyDescent="0.25">
      <c r="A114" t="s">
        <v>85</v>
      </c>
      <c r="B114">
        <v>3</v>
      </c>
      <c r="C114" t="s">
        <v>100</v>
      </c>
      <c r="D114" t="s">
        <v>101</v>
      </c>
      <c r="E114" t="s">
        <v>45</v>
      </c>
      <c r="AI114">
        <v>390591</v>
      </c>
      <c r="AJ114">
        <v>423450</v>
      </c>
    </row>
    <row r="115" spans="1:36" x14ac:dyDescent="0.25">
      <c r="A115" t="s">
        <v>85</v>
      </c>
      <c r="B115">
        <v>4</v>
      </c>
      <c r="C115" t="s">
        <v>100</v>
      </c>
      <c r="D115" t="s">
        <v>101</v>
      </c>
      <c r="E115" t="s">
        <v>45</v>
      </c>
      <c r="AI115">
        <v>407868</v>
      </c>
      <c r="AJ115">
        <v>427032</v>
      </c>
    </row>
    <row r="116" spans="1:36" x14ac:dyDescent="0.25">
      <c r="A116" t="s">
        <v>85</v>
      </c>
      <c r="B116">
        <v>5</v>
      </c>
      <c r="C116" t="s">
        <v>100</v>
      </c>
      <c r="D116" t="s">
        <v>101</v>
      </c>
      <c r="E116" t="s">
        <v>45</v>
      </c>
      <c r="AI116">
        <v>410382</v>
      </c>
      <c r="AJ116">
        <v>430848</v>
      </c>
    </row>
    <row r="117" spans="1:36" x14ac:dyDescent="0.25">
      <c r="A117" t="s">
        <v>85</v>
      </c>
      <c r="B117">
        <v>6</v>
      </c>
      <c r="C117" t="s">
        <v>100</v>
      </c>
      <c r="D117" t="s">
        <v>101</v>
      </c>
      <c r="E117" t="s">
        <v>45</v>
      </c>
      <c r="AI117">
        <v>411886</v>
      </c>
      <c r="AJ117">
        <v>434580</v>
      </c>
    </row>
    <row r="118" spans="1:36" x14ac:dyDescent="0.25">
      <c r="A118" t="s">
        <v>85</v>
      </c>
      <c r="B118">
        <v>7</v>
      </c>
      <c r="C118" t="s">
        <v>100</v>
      </c>
      <c r="D118" t="s">
        <v>101</v>
      </c>
      <c r="E118" t="s">
        <v>45</v>
      </c>
      <c r="AI118">
        <v>415415</v>
      </c>
      <c r="AJ118">
        <v>448113</v>
      </c>
    </row>
    <row r="119" spans="1:36" x14ac:dyDescent="0.25">
      <c r="A119" t="s">
        <v>85</v>
      </c>
      <c r="B119">
        <v>8</v>
      </c>
      <c r="C119" t="s">
        <v>100</v>
      </c>
      <c r="D119" t="s">
        <v>101</v>
      </c>
      <c r="E119" t="s">
        <v>45</v>
      </c>
      <c r="AI119">
        <v>423995</v>
      </c>
      <c r="AJ119">
        <v>451882</v>
      </c>
    </row>
    <row r="120" spans="1:36" x14ac:dyDescent="0.25">
      <c r="A120" t="s">
        <v>85</v>
      </c>
      <c r="B120">
        <v>9</v>
      </c>
      <c r="C120" t="s">
        <v>100</v>
      </c>
      <c r="D120" t="s">
        <v>101</v>
      </c>
      <c r="E120" t="s">
        <v>45</v>
      </c>
      <c r="AI120">
        <v>427530</v>
      </c>
      <c r="AJ120">
        <v>455634</v>
      </c>
    </row>
    <row r="121" spans="1:36" x14ac:dyDescent="0.25">
      <c r="A121" t="s">
        <v>85</v>
      </c>
      <c r="B121">
        <v>10</v>
      </c>
      <c r="C121" t="s">
        <v>100</v>
      </c>
      <c r="D121" t="s">
        <v>101</v>
      </c>
      <c r="E121" t="s">
        <v>45</v>
      </c>
      <c r="AI121">
        <v>700003</v>
      </c>
      <c r="AJ121">
        <v>796792</v>
      </c>
    </row>
    <row r="122" spans="1:36" x14ac:dyDescent="0.25">
      <c r="A122" t="s">
        <v>86</v>
      </c>
      <c r="B122">
        <v>1</v>
      </c>
      <c r="C122" t="s">
        <v>102</v>
      </c>
      <c r="D122" t="s">
        <v>103</v>
      </c>
      <c r="E122" t="s">
        <v>45</v>
      </c>
      <c r="AI122">
        <v>45987</v>
      </c>
      <c r="AJ122">
        <v>77928</v>
      </c>
    </row>
    <row r="123" spans="1:36" x14ac:dyDescent="0.25">
      <c r="A123" t="s">
        <v>86</v>
      </c>
      <c r="B123">
        <v>2</v>
      </c>
      <c r="C123" t="s">
        <v>102</v>
      </c>
      <c r="D123" t="s">
        <v>103</v>
      </c>
      <c r="E123" t="s">
        <v>45</v>
      </c>
      <c r="AI123">
        <v>431059</v>
      </c>
      <c r="AJ123">
        <v>464088</v>
      </c>
    </row>
    <row r="124" spans="1:36" x14ac:dyDescent="0.25">
      <c r="A124" t="s">
        <v>86</v>
      </c>
      <c r="B124">
        <v>3</v>
      </c>
      <c r="C124" t="s">
        <v>102</v>
      </c>
      <c r="D124" t="s">
        <v>103</v>
      </c>
      <c r="E124" t="s">
        <v>45</v>
      </c>
      <c r="AI124">
        <v>455783</v>
      </c>
      <c r="AJ124">
        <v>487361</v>
      </c>
    </row>
    <row r="125" spans="1:36" x14ac:dyDescent="0.25">
      <c r="A125" t="s">
        <v>86</v>
      </c>
      <c r="B125">
        <v>4</v>
      </c>
      <c r="C125" t="s">
        <v>102</v>
      </c>
      <c r="D125" t="s">
        <v>103</v>
      </c>
      <c r="E125" t="s">
        <v>45</v>
      </c>
      <c r="AI125">
        <v>464405</v>
      </c>
      <c r="AJ125">
        <v>504736</v>
      </c>
    </row>
    <row r="126" spans="1:36" x14ac:dyDescent="0.25">
      <c r="A126" t="s">
        <v>86</v>
      </c>
      <c r="B126">
        <v>5</v>
      </c>
      <c r="C126" t="s">
        <v>102</v>
      </c>
      <c r="D126" t="s">
        <v>103</v>
      </c>
      <c r="E126" t="s">
        <v>45</v>
      </c>
      <c r="AI126">
        <v>540646</v>
      </c>
      <c r="AJ126">
        <v>557681</v>
      </c>
    </row>
    <row r="127" spans="1:36" x14ac:dyDescent="0.25">
      <c r="A127" t="s">
        <v>86</v>
      </c>
      <c r="B127">
        <v>6</v>
      </c>
      <c r="C127" t="s">
        <v>102</v>
      </c>
      <c r="D127" t="s">
        <v>103</v>
      </c>
      <c r="E127" t="s">
        <v>45</v>
      </c>
      <c r="AI127">
        <v>548193</v>
      </c>
      <c r="AJ127">
        <v>567991</v>
      </c>
    </row>
    <row r="128" spans="1:36" x14ac:dyDescent="0.25">
      <c r="A128" t="s">
        <v>86</v>
      </c>
      <c r="B128">
        <v>7</v>
      </c>
      <c r="C128" t="s">
        <v>102</v>
      </c>
      <c r="D128" t="s">
        <v>103</v>
      </c>
      <c r="E128" t="s">
        <v>45</v>
      </c>
      <c r="AI128">
        <v>549703</v>
      </c>
      <c r="AJ128">
        <v>578374</v>
      </c>
    </row>
    <row r="129" spans="1:36" x14ac:dyDescent="0.25">
      <c r="A129" t="s">
        <v>86</v>
      </c>
      <c r="B129">
        <v>8</v>
      </c>
      <c r="C129" t="s">
        <v>102</v>
      </c>
      <c r="D129" t="s">
        <v>103</v>
      </c>
      <c r="E129" t="s">
        <v>45</v>
      </c>
      <c r="AI129">
        <v>554232</v>
      </c>
      <c r="AJ129">
        <v>584732</v>
      </c>
    </row>
    <row r="130" spans="1:36" x14ac:dyDescent="0.25">
      <c r="A130" t="s">
        <v>86</v>
      </c>
      <c r="B130">
        <v>9</v>
      </c>
      <c r="C130" t="s">
        <v>102</v>
      </c>
      <c r="D130" t="s">
        <v>103</v>
      </c>
      <c r="E130" t="s">
        <v>45</v>
      </c>
      <c r="AI130">
        <v>557782</v>
      </c>
      <c r="AJ130">
        <v>588721</v>
      </c>
    </row>
    <row r="131" spans="1:36" x14ac:dyDescent="0.25">
      <c r="A131" t="s">
        <v>86</v>
      </c>
      <c r="B131">
        <v>10</v>
      </c>
      <c r="C131" t="s">
        <v>102</v>
      </c>
      <c r="D131" t="s">
        <v>103</v>
      </c>
      <c r="E131" t="s">
        <v>45</v>
      </c>
      <c r="AI131">
        <v>578393</v>
      </c>
      <c r="AJ131">
        <v>599095</v>
      </c>
    </row>
    <row r="132" spans="1:36" x14ac:dyDescent="0.25">
      <c r="A132" t="s">
        <v>87</v>
      </c>
      <c r="B132">
        <v>1</v>
      </c>
      <c r="C132" t="s">
        <v>104</v>
      </c>
      <c r="D132" t="s">
        <v>105</v>
      </c>
      <c r="E132" t="s">
        <v>115</v>
      </c>
      <c r="F132">
        <v>100</v>
      </c>
      <c r="G132">
        <v>1.9590243219240222</v>
      </c>
      <c r="W132">
        <v>7.3255000000000001E-2</v>
      </c>
      <c r="X132">
        <v>2.4417999999999999E-2</v>
      </c>
      <c r="Y132">
        <v>5.1889999999999999E-2</v>
      </c>
      <c r="Z132">
        <v>7.6308000000000001E-2</v>
      </c>
      <c r="AA132">
        <v>7.4689999999999993E-2</v>
      </c>
      <c r="AB132">
        <v>6.8889999999999993E-3</v>
      </c>
      <c r="AC132">
        <v>6.6832000000000003E-2</v>
      </c>
      <c r="AD132">
        <v>7.3721000000000009E-2</v>
      </c>
      <c r="AE132">
        <v>16623</v>
      </c>
      <c r="AF132">
        <v>391</v>
      </c>
      <c r="AG132">
        <v>16624</v>
      </c>
      <c r="AH132">
        <v>341</v>
      </c>
      <c r="AI132">
        <v>45988</v>
      </c>
      <c r="AJ132">
        <v>61671</v>
      </c>
    </row>
    <row r="133" spans="1:36" x14ac:dyDescent="0.25">
      <c r="A133" t="s">
        <v>87</v>
      </c>
      <c r="B133">
        <v>2</v>
      </c>
      <c r="C133" t="s">
        <v>104</v>
      </c>
      <c r="D133" t="s">
        <v>105</v>
      </c>
      <c r="E133" t="s">
        <v>115</v>
      </c>
      <c r="F133">
        <v>100</v>
      </c>
      <c r="G133">
        <v>1.9590243219240222</v>
      </c>
      <c r="W133">
        <v>6.9262000000000004E-2</v>
      </c>
      <c r="X133">
        <v>2.5212999999999999E-2</v>
      </c>
      <c r="Y133">
        <v>4.7390999999999996E-2</v>
      </c>
      <c r="Z133">
        <v>7.2604000000000002E-2</v>
      </c>
      <c r="AA133">
        <v>6.8895999999999999E-2</v>
      </c>
      <c r="AB133">
        <v>6.9499999999999996E-3</v>
      </c>
      <c r="AC133">
        <v>6.0528999999999999E-2</v>
      </c>
      <c r="AD133">
        <v>6.7478999999999997E-2</v>
      </c>
      <c r="AE133">
        <v>16623</v>
      </c>
      <c r="AF133">
        <v>391</v>
      </c>
      <c r="AG133">
        <v>16624</v>
      </c>
      <c r="AH133">
        <v>341</v>
      </c>
      <c r="AI133">
        <v>435097</v>
      </c>
      <c r="AJ133">
        <v>465419</v>
      </c>
    </row>
    <row r="134" spans="1:36" x14ac:dyDescent="0.25">
      <c r="A134" t="s">
        <v>87</v>
      </c>
      <c r="B134">
        <v>3</v>
      </c>
      <c r="C134" t="s">
        <v>104</v>
      </c>
      <c r="D134" t="s">
        <v>105</v>
      </c>
      <c r="E134" t="s">
        <v>115</v>
      </c>
      <c r="F134">
        <v>100</v>
      </c>
      <c r="G134">
        <v>1.9590243219240222</v>
      </c>
      <c r="W134">
        <v>8.5894999999999999E-2</v>
      </c>
      <c r="X134">
        <v>2.5741999999999998E-2</v>
      </c>
      <c r="Y134">
        <v>6.4341999999999996E-2</v>
      </c>
      <c r="Z134">
        <v>9.0083999999999997E-2</v>
      </c>
      <c r="AA134">
        <v>9.8541999999999991E-2</v>
      </c>
      <c r="AB134">
        <v>1.1904E-2</v>
      </c>
      <c r="AC134">
        <v>8.5334999999999994E-2</v>
      </c>
      <c r="AD134">
        <v>9.7238999999999992E-2</v>
      </c>
      <c r="AE134">
        <v>16623</v>
      </c>
      <c r="AF134">
        <v>391</v>
      </c>
      <c r="AG134">
        <v>16624</v>
      </c>
      <c r="AH134">
        <v>341</v>
      </c>
      <c r="AI134">
        <v>465891</v>
      </c>
      <c r="AJ134">
        <v>499973</v>
      </c>
    </row>
    <row r="135" spans="1:36" x14ac:dyDescent="0.25">
      <c r="A135" t="s">
        <v>87</v>
      </c>
      <c r="B135">
        <v>4</v>
      </c>
      <c r="C135" t="s">
        <v>104</v>
      </c>
      <c r="D135" t="s">
        <v>105</v>
      </c>
      <c r="E135" t="s">
        <v>115</v>
      </c>
      <c r="F135">
        <v>100</v>
      </c>
      <c r="G135">
        <v>1.9590243219240222</v>
      </c>
      <c r="W135">
        <v>9.1066000000000008E-2</v>
      </c>
      <c r="X135">
        <v>2.7702999999999998E-2</v>
      </c>
      <c r="Y135">
        <v>6.7344000000000001E-2</v>
      </c>
      <c r="Z135">
        <v>9.5046999999999993E-2</v>
      </c>
      <c r="AA135">
        <v>9.8958999999999991E-2</v>
      </c>
      <c r="AB135">
        <v>1.098E-2</v>
      </c>
      <c r="AC135">
        <v>8.6759000000000003E-2</v>
      </c>
      <c r="AD135">
        <v>9.7739000000000006E-2</v>
      </c>
      <c r="AE135">
        <v>16623</v>
      </c>
      <c r="AF135">
        <v>391</v>
      </c>
      <c r="AG135">
        <v>16624</v>
      </c>
      <c r="AH135">
        <v>341</v>
      </c>
      <c r="AI135">
        <v>487480</v>
      </c>
      <c r="AJ135">
        <v>514558</v>
      </c>
    </row>
    <row r="136" spans="1:36" x14ac:dyDescent="0.25">
      <c r="A136" t="s">
        <v>87</v>
      </c>
      <c r="B136">
        <v>5</v>
      </c>
      <c r="C136" t="s">
        <v>104</v>
      </c>
      <c r="D136" t="s">
        <v>105</v>
      </c>
      <c r="E136" t="s">
        <v>115</v>
      </c>
      <c r="F136">
        <v>100</v>
      </c>
      <c r="G136">
        <v>1.9590243219240222</v>
      </c>
      <c r="W136">
        <v>6.9920999999999983E-2</v>
      </c>
      <c r="X136">
        <v>2.0184999999999998E-2</v>
      </c>
      <c r="Y136">
        <v>5.3463999999999998E-2</v>
      </c>
      <c r="Z136">
        <v>7.3648999999999992E-2</v>
      </c>
      <c r="AA136">
        <v>6.9583000000000006E-2</v>
      </c>
      <c r="AB136">
        <v>8.9119999999999998E-3</v>
      </c>
      <c r="AC136">
        <v>5.9420999999999995E-2</v>
      </c>
      <c r="AD136">
        <v>6.8332999999999991E-2</v>
      </c>
      <c r="AE136">
        <v>16623</v>
      </c>
      <c r="AF136">
        <v>391</v>
      </c>
      <c r="AG136">
        <v>16624</v>
      </c>
      <c r="AH136">
        <v>341</v>
      </c>
      <c r="AI136">
        <v>500059</v>
      </c>
      <c r="AJ136">
        <v>534499</v>
      </c>
    </row>
    <row r="137" spans="1:36" x14ac:dyDescent="0.25">
      <c r="A137" t="s">
        <v>87</v>
      </c>
      <c r="B137">
        <v>6</v>
      </c>
      <c r="C137" t="s">
        <v>104</v>
      </c>
      <c r="D137" t="s">
        <v>105</v>
      </c>
      <c r="E137" t="s">
        <v>115</v>
      </c>
      <c r="F137">
        <v>100</v>
      </c>
      <c r="G137">
        <v>1.9590243219240222</v>
      </c>
      <c r="W137">
        <v>0.11317100000000002</v>
      </c>
      <c r="X137">
        <v>2.8825E-2</v>
      </c>
      <c r="Y137">
        <v>8.9453999999999992E-2</v>
      </c>
      <c r="Z137">
        <v>0.118279</v>
      </c>
      <c r="AA137">
        <v>0.14287700000000003</v>
      </c>
      <c r="AB137">
        <v>1.1937E-2</v>
      </c>
      <c r="AC137">
        <v>0.12939699999999998</v>
      </c>
      <c r="AD137">
        <v>0.14133399999999999</v>
      </c>
      <c r="AE137">
        <v>16623</v>
      </c>
      <c r="AF137">
        <v>391</v>
      </c>
      <c r="AG137">
        <v>16624</v>
      </c>
      <c r="AH137">
        <v>341</v>
      </c>
      <c r="AI137">
        <v>792636</v>
      </c>
      <c r="AJ137">
        <v>837576</v>
      </c>
    </row>
    <row r="138" spans="1:36" x14ac:dyDescent="0.25">
      <c r="A138" t="s">
        <v>87</v>
      </c>
      <c r="B138">
        <v>7</v>
      </c>
      <c r="C138" t="s">
        <v>104</v>
      </c>
      <c r="D138" t="s">
        <v>105</v>
      </c>
      <c r="E138" t="s">
        <v>115</v>
      </c>
      <c r="F138">
        <v>100</v>
      </c>
      <c r="G138">
        <v>1.9590243219240222</v>
      </c>
      <c r="W138">
        <v>0.11300000000000004</v>
      </c>
      <c r="X138">
        <v>2.7947999999999997E-2</v>
      </c>
      <c r="Y138">
        <v>8.8991000000000001E-2</v>
      </c>
      <c r="Z138">
        <v>0.116939</v>
      </c>
      <c r="AA138">
        <v>0.11119799999999996</v>
      </c>
      <c r="AB138">
        <v>8.9259999999999999E-3</v>
      </c>
      <c r="AC138">
        <v>0.10112399999999999</v>
      </c>
      <c r="AD138">
        <v>0.11005</v>
      </c>
      <c r="AE138">
        <v>16623</v>
      </c>
      <c r="AF138">
        <v>391</v>
      </c>
      <c r="AG138">
        <v>16624</v>
      </c>
      <c r="AH138">
        <v>341</v>
      </c>
      <c r="AI138">
        <v>843626</v>
      </c>
      <c r="AJ138">
        <v>895438</v>
      </c>
    </row>
    <row r="139" spans="1:36" x14ac:dyDescent="0.25">
      <c r="A139" t="s">
        <v>87</v>
      </c>
      <c r="B139">
        <v>8</v>
      </c>
      <c r="C139" t="s">
        <v>104</v>
      </c>
      <c r="D139" t="s">
        <v>105</v>
      </c>
      <c r="E139" t="s">
        <v>115</v>
      </c>
      <c r="F139">
        <v>100</v>
      </c>
      <c r="G139">
        <v>1.9590243219240222</v>
      </c>
      <c r="W139">
        <v>8.4986999999999993E-2</v>
      </c>
      <c r="X139">
        <v>1.8092999999999998E-2</v>
      </c>
      <c r="Y139">
        <v>7.0352999999999999E-2</v>
      </c>
      <c r="Z139">
        <v>8.8445999999999997E-2</v>
      </c>
      <c r="AA139">
        <v>7.4729000000000004E-2</v>
      </c>
      <c r="AB139">
        <v>1.2948999999999999E-2</v>
      </c>
      <c r="AC139">
        <v>6.0796999999999997E-2</v>
      </c>
      <c r="AD139">
        <v>7.3745999999999992E-2</v>
      </c>
      <c r="AE139">
        <v>16623</v>
      </c>
      <c r="AF139">
        <v>391</v>
      </c>
      <c r="AG139">
        <v>16624</v>
      </c>
      <c r="AH139">
        <v>341</v>
      </c>
      <c r="AI139">
        <v>855389</v>
      </c>
      <c r="AJ139">
        <v>904830</v>
      </c>
    </row>
    <row r="140" spans="1:36" x14ac:dyDescent="0.25">
      <c r="A140" t="s">
        <v>87</v>
      </c>
      <c r="B140">
        <v>9</v>
      </c>
      <c r="C140" t="s">
        <v>104</v>
      </c>
      <c r="D140" t="s">
        <v>105</v>
      </c>
      <c r="E140" t="s">
        <v>115</v>
      </c>
      <c r="F140">
        <v>100</v>
      </c>
      <c r="G140">
        <v>1.9590243219240222</v>
      </c>
      <c r="W140">
        <v>0.10016200000000001</v>
      </c>
      <c r="X140">
        <v>2.7970999999999999E-2</v>
      </c>
      <c r="Y140">
        <v>7.6940999999999996E-2</v>
      </c>
      <c r="Z140">
        <v>0.10491199999999999</v>
      </c>
      <c r="AA140">
        <v>0.10971299999999999</v>
      </c>
      <c r="AB140">
        <v>1.0985999999999999E-2</v>
      </c>
      <c r="AC140">
        <v>9.6983E-2</v>
      </c>
      <c r="AD140">
        <v>0.107969</v>
      </c>
      <c r="AE140">
        <v>16623</v>
      </c>
      <c r="AF140">
        <v>391</v>
      </c>
      <c r="AG140">
        <v>16624</v>
      </c>
      <c r="AH140">
        <v>341</v>
      </c>
      <c r="AI140">
        <v>1231685</v>
      </c>
      <c r="AJ140">
        <v>1273817</v>
      </c>
    </row>
    <row r="141" spans="1:36" x14ac:dyDescent="0.25">
      <c r="A141" t="s">
        <v>87</v>
      </c>
      <c r="B141">
        <v>10</v>
      </c>
      <c r="C141" t="s">
        <v>104</v>
      </c>
      <c r="D141" t="s">
        <v>105</v>
      </c>
      <c r="E141" t="s">
        <v>115</v>
      </c>
      <c r="F141">
        <v>100</v>
      </c>
      <c r="G141">
        <v>1.9590243219240222</v>
      </c>
      <c r="W141">
        <v>8.5896000000000014E-2</v>
      </c>
      <c r="X141">
        <v>2.4891E-2</v>
      </c>
      <c r="Y141">
        <v>6.4742999999999995E-2</v>
      </c>
      <c r="Z141">
        <v>8.9633999999999991E-2</v>
      </c>
      <c r="AA141">
        <v>9.0803999999999982E-2</v>
      </c>
      <c r="AB141">
        <v>1.2966999999999999E-2</v>
      </c>
      <c r="AC141">
        <v>7.6775999999999997E-2</v>
      </c>
      <c r="AD141">
        <v>8.9742999999999989E-2</v>
      </c>
      <c r="AE141">
        <v>16623</v>
      </c>
      <c r="AF141">
        <v>391</v>
      </c>
      <c r="AG141">
        <v>16624</v>
      </c>
      <c r="AH141">
        <v>341</v>
      </c>
      <c r="AI141">
        <v>1375593</v>
      </c>
      <c r="AJ141">
        <v>1414777</v>
      </c>
    </row>
    <row r="142" spans="1:36" x14ac:dyDescent="0.25">
      <c r="A142" t="s">
        <v>88</v>
      </c>
      <c r="B142">
        <v>1</v>
      </c>
      <c r="C142" t="s">
        <v>108</v>
      </c>
      <c r="D142" t="s">
        <v>109</v>
      </c>
      <c r="E142" t="s">
        <v>118</v>
      </c>
      <c r="F142">
        <v>201</v>
      </c>
      <c r="G142">
        <v>0</v>
      </c>
      <c r="W142">
        <v>8.0992000000000008E-2</v>
      </c>
      <c r="X142">
        <v>2.3710999999999999E-2</v>
      </c>
      <c r="Y142">
        <v>6.1237E-2</v>
      </c>
      <c r="Z142">
        <v>8.4947999999999996E-2</v>
      </c>
      <c r="AA142">
        <v>1.0443999999999995E-2</v>
      </c>
      <c r="AB142">
        <v>5.208E-3</v>
      </c>
      <c r="AC142">
        <v>4.1570000000000001E-3</v>
      </c>
      <c r="AD142">
        <v>9.3650000000000001E-3</v>
      </c>
      <c r="AE142">
        <v>16623</v>
      </c>
      <c r="AF142">
        <v>391</v>
      </c>
      <c r="AG142">
        <v>16624</v>
      </c>
      <c r="AH142">
        <v>341</v>
      </c>
      <c r="AI142">
        <v>66999</v>
      </c>
      <c r="AJ142">
        <v>77287</v>
      </c>
    </row>
    <row r="143" spans="1:36" x14ac:dyDescent="0.25">
      <c r="A143" t="s">
        <v>88</v>
      </c>
      <c r="B143">
        <v>2</v>
      </c>
      <c r="C143" t="s">
        <v>108</v>
      </c>
      <c r="D143" t="s">
        <v>109</v>
      </c>
      <c r="E143" t="s">
        <v>118</v>
      </c>
      <c r="F143">
        <v>201</v>
      </c>
      <c r="G143">
        <v>0</v>
      </c>
      <c r="W143">
        <v>8.2912E-2</v>
      </c>
      <c r="X143">
        <v>2.9991E-2</v>
      </c>
      <c r="Y143">
        <v>5.6982999999999999E-2</v>
      </c>
      <c r="Z143">
        <v>8.6973999999999996E-2</v>
      </c>
      <c r="AA143">
        <v>1.0137000000000007E-2</v>
      </c>
      <c r="AB143">
        <v>3.999E-3</v>
      </c>
      <c r="AC143">
        <v>4.9979999999999998E-3</v>
      </c>
      <c r="AD143">
        <v>8.9969999999999998E-3</v>
      </c>
      <c r="AE143">
        <v>16623</v>
      </c>
      <c r="AF143">
        <v>391</v>
      </c>
      <c r="AG143">
        <v>16624</v>
      </c>
      <c r="AH143">
        <v>341</v>
      </c>
      <c r="AI143">
        <v>67513</v>
      </c>
      <c r="AJ143">
        <v>81047</v>
      </c>
    </row>
    <row r="144" spans="1:36" x14ac:dyDescent="0.25">
      <c r="A144" t="s">
        <v>88</v>
      </c>
      <c r="B144">
        <v>3</v>
      </c>
      <c r="C144" t="s">
        <v>108</v>
      </c>
      <c r="D144" t="s">
        <v>109</v>
      </c>
      <c r="E144" t="s">
        <v>118</v>
      </c>
      <c r="F144">
        <v>201</v>
      </c>
      <c r="G144">
        <v>0</v>
      </c>
      <c r="W144">
        <v>8.7204000000000004E-2</v>
      </c>
      <c r="X144">
        <v>2.4778999999999999E-2</v>
      </c>
      <c r="Y144">
        <v>6.647299999999999E-2</v>
      </c>
      <c r="Z144">
        <v>9.1251999999999986E-2</v>
      </c>
      <c r="AA144">
        <v>1.0554999999999995E-2</v>
      </c>
      <c r="AB144">
        <v>5.1379999999999993E-3</v>
      </c>
      <c r="AC144">
        <v>4.1129999999999995E-3</v>
      </c>
      <c r="AD144">
        <v>9.2509999999999988E-3</v>
      </c>
      <c r="AE144">
        <v>16623</v>
      </c>
      <c r="AF144">
        <v>391</v>
      </c>
      <c r="AG144">
        <v>16624</v>
      </c>
      <c r="AH144">
        <v>341</v>
      </c>
      <c r="AI144">
        <v>534814</v>
      </c>
      <c r="AJ144">
        <v>545280</v>
      </c>
    </row>
    <row r="145" spans="1:36" x14ac:dyDescent="0.25">
      <c r="A145" t="s">
        <v>88</v>
      </c>
      <c r="B145">
        <v>4</v>
      </c>
      <c r="C145" t="s">
        <v>108</v>
      </c>
      <c r="D145" t="s">
        <v>109</v>
      </c>
      <c r="E145" t="s">
        <v>118</v>
      </c>
      <c r="F145">
        <v>201</v>
      </c>
      <c r="G145">
        <v>0</v>
      </c>
      <c r="W145">
        <v>8.8179000000000007E-2</v>
      </c>
      <c r="X145">
        <v>2.4059000000000001E-2</v>
      </c>
      <c r="Y145">
        <v>6.8156999999999995E-2</v>
      </c>
      <c r="Z145">
        <v>9.2215999999999992E-2</v>
      </c>
      <c r="AA145">
        <v>1.0594999999999993E-2</v>
      </c>
      <c r="AB145">
        <v>5.1500000000000001E-3</v>
      </c>
      <c r="AC145">
        <v>4.1209999999999997E-3</v>
      </c>
      <c r="AD145">
        <v>9.2709999999999997E-3</v>
      </c>
      <c r="AE145">
        <v>16623</v>
      </c>
      <c r="AF145">
        <v>391</v>
      </c>
      <c r="AG145">
        <v>16624</v>
      </c>
      <c r="AH145">
        <v>341</v>
      </c>
      <c r="AI145">
        <v>545389</v>
      </c>
      <c r="AJ145">
        <v>553795</v>
      </c>
    </row>
    <row r="146" spans="1:36" x14ac:dyDescent="0.25">
      <c r="A146" t="s">
        <v>88</v>
      </c>
      <c r="B146">
        <v>5</v>
      </c>
      <c r="C146" t="s">
        <v>108</v>
      </c>
      <c r="D146" t="s">
        <v>109</v>
      </c>
      <c r="E146" t="s">
        <v>118</v>
      </c>
      <c r="F146">
        <v>201</v>
      </c>
      <c r="G146">
        <v>0</v>
      </c>
      <c r="W146">
        <v>0.11223599999999999</v>
      </c>
      <c r="X146">
        <v>3.1919999999999997E-2</v>
      </c>
      <c r="Y146">
        <v>8.5774000000000003E-2</v>
      </c>
      <c r="Z146">
        <v>0.11769399999999999</v>
      </c>
      <c r="AA146">
        <v>2.2090000000000012E-2</v>
      </c>
      <c r="AB146">
        <v>6.9589999999999999E-3</v>
      </c>
      <c r="AC146">
        <v>7.3739999999999995E-3</v>
      </c>
      <c r="AD146">
        <v>1.4332999999999999E-2</v>
      </c>
      <c r="AE146">
        <v>16623</v>
      </c>
      <c r="AF146">
        <v>391</v>
      </c>
      <c r="AG146">
        <v>16624</v>
      </c>
      <c r="AH146">
        <v>341</v>
      </c>
      <c r="AI146">
        <v>546905</v>
      </c>
      <c r="AJ146">
        <v>554090</v>
      </c>
    </row>
    <row r="147" spans="1:36" x14ac:dyDescent="0.25">
      <c r="A147" t="s">
        <v>88</v>
      </c>
      <c r="B147">
        <v>6</v>
      </c>
      <c r="C147" t="s">
        <v>108</v>
      </c>
      <c r="D147" t="s">
        <v>109</v>
      </c>
      <c r="E147" t="s">
        <v>118</v>
      </c>
      <c r="F147">
        <v>201</v>
      </c>
      <c r="G147">
        <v>0</v>
      </c>
      <c r="W147">
        <v>0.11285900000000004</v>
      </c>
      <c r="X147">
        <v>2.3837999999999998E-2</v>
      </c>
      <c r="Y147">
        <v>9.4351999999999991E-2</v>
      </c>
      <c r="Z147">
        <v>0.11818999999999999</v>
      </c>
      <c r="AA147">
        <v>1.613500000000001E-2</v>
      </c>
      <c r="AB147">
        <v>8.5830000000000004E-3</v>
      </c>
      <c r="AC147">
        <v>5.9459999999999999E-3</v>
      </c>
      <c r="AD147">
        <v>1.4529E-2</v>
      </c>
      <c r="AE147">
        <v>16623</v>
      </c>
      <c r="AF147">
        <v>391</v>
      </c>
      <c r="AG147">
        <v>16624</v>
      </c>
      <c r="AH147">
        <v>341</v>
      </c>
      <c r="AI147">
        <v>598625</v>
      </c>
      <c r="AJ147">
        <v>606612</v>
      </c>
    </row>
    <row r="148" spans="1:36" x14ac:dyDescent="0.25">
      <c r="A148" t="s">
        <v>88</v>
      </c>
      <c r="B148">
        <v>7</v>
      </c>
      <c r="C148" t="s">
        <v>108</v>
      </c>
      <c r="D148" t="s">
        <v>109</v>
      </c>
      <c r="E148" t="s">
        <v>118</v>
      </c>
      <c r="F148">
        <v>201</v>
      </c>
      <c r="G148">
        <v>0</v>
      </c>
      <c r="W148">
        <v>0.11297999999999998</v>
      </c>
      <c r="X148">
        <v>3.0824999999999998E-2</v>
      </c>
      <c r="Y148">
        <v>8.7548000000000001E-2</v>
      </c>
      <c r="Z148">
        <v>0.11837300000000001</v>
      </c>
      <c r="AA148">
        <v>1.5759000000000009E-2</v>
      </c>
      <c r="AB148">
        <v>7.8700000000000003E-3</v>
      </c>
      <c r="AC148">
        <v>6.2229999999999994E-3</v>
      </c>
      <c r="AD148">
        <v>1.4093E-2</v>
      </c>
      <c r="AE148">
        <v>16623</v>
      </c>
      <c r="AF148">
        <v>391</v>
      </c>
      <c r="AG148">
        <v>16624</v>
      </c>
      <c r="AH148">
        <v>341</v>
      </c>
      <c r="AI148">
        <v>604177</v>
      </c>
      <c r="AJ148">
        <v>609442</v>
      </c>
    </row>
    <row r="149" spans="1:36" x14ac:dyDescent="0.25">
      <c r="A149" t="s">
        <v>88</v>
      </c>
      <c r="B149">
        <v>8</v>
      </c>
      <c r="C149" t="s">
        <v>108</v>
      </c>
      <c r="D149" t="s">
        <v>109</v>
      </c>
      <c r="E149" t="s">
        <v>118</v>
      </c>
      <c r="F149">
        <v>201</v>
      </c>
      <c r="G149">
        <v>0</v>
      </c>
      <c r="W149">
        <v>7.0456000000000005E-2</v>
      </c>
      <c r="X149">
        <v>2.3661999999999999E-2</v>
      </c>
      <c r="Y149">
        <v>5.0266999999999999E-2</v>
      </c>
      <c r="Z149">
        <v>7.3928999999999995E-2</v>
      </c>
      <c r="AA149">
        <v>9.5490000000000019E-3</v>
      </c>
      <c r="AB149">
        <v>5.2379999999999996E-3</v>
      </c>
      <c r="AC149">
        <v>3.1409999999999997E-3</v>
      </c>
      <c r="AD149">
        <v>8.3789999999999993E-3</v>
      </c>
      <c r="AE149">
        <v>16623</v>
      </c>
      <c r="AF149">
        <v>391</v>
      </c>
      <c r="AG149">
        <v>16624</v>
      </c>
      <c r="AH149">
        <v>341</v>
      </c>
      <c r="AI149">
        <v>616727</v>
      </c>
      <c r="AJ149">
        <v>625946</v>
      </c>
    </row>
    <row r="150" spans="1:36" x14ac:dyDescent="0.25">
      <c r="A150" t="s">
        <v>88</v>
      </c>
      <c r="B150">
        <v>9</v>
      </c>
      <c r="C150" t="s">
        <v>108</v>
      </c>
      <c r="D150" t="s">
        <v>109</v>
      </c>
      <c r="E150" t="s">
        <v>118</v>
      </c>
      <c r="F150">
        <v>201</v>
      </c>
      <c r="G150">
        <v>0</v>
      </c>
      <c r="W150">
        <v>7.0215E-2</v>
      </c>
      <c r="X150">
        <v>1.8905999999999999E-2</v>
      </c>
      <c r="Y150">
        <v>5.4748999999999999E-2</v>
      </c>
      <c r="Z150">
        <v>7.3654999999999998E-2</v>
      </c>
      <c r="AA150">
        <v>9.5200000000000007E-3</v>
      </c>
      <c r="AB150">
        <v>5.2469999999999999E-3</v>
      </c>
      <c r="AC150">
        <v>3.143E-3</v>
      </c>
      <c r="AD150">
        <v>8.3899999999999999E-3</v>
      </c>
      <c r="AE150">
        <v>16623</v>
      </c>
      <c r="AF150">
        <v>391</v>
      </c>
      <c r="AG150">
        <v>16624</v>
      </c>
      <c r="AH150">
        <v>341</v>
      </c>
      <c r="AI150">
        <v>623238</v>
      </c>
      <c r="AJ150">
        <v>633407</v>
      </c>
    </row>
    <row r="151" spans="1:36" x14ac:dyDescent="0.25">
      <c r="A151" t="s">
        <v>88</v>
      </c>
      <c r="B151">
        <v>10</v>
      </c>
      <c r="C151" t="s">
        <v>108</v>
      </c>
      <c r="D151" t="s">
        <v>109</v>
      </c>
      <c r="E151" t="s">
        <v>118</v>
      </c>
      <c r="F151">
        <v>201</v>
      </c>
      <c r="G151">
        <v>0</v>
      </c>
      <c r="W151">
        <v>7.013400000000003E-2</v>
      </c>
      <c r="X151">
        <v>2.1857999999999999E-2</v>
      </c>
      <c r="Y151">
        <v>5.1670000000000001E-2</v>
      </c>
      <c r="Z151">
        <v>7.3527999999999996E-2</v>
      </c>
      <c r="AA151">
        <v>9.5069999999999322E-3</v>
      </c>
      <c r="AB151">
        <v>5.2499999999999995E-3</v>
      </c>
      <c r="AC151">
        <v>3.1519999999999999E-3</v>
      </c>
      <c r="AD151">
        <v>8.4019999999999997E-3</v>
      </c>
      <c r="AE151">
        <v>16623</v>
      </c>
      <c r="AF151">
        <v>391</v>
      </c>
      <c r="AG151">
        <v>16624</v>
      </c>
      <c r="AH151">
        <v>341</v>
      </c>
      <c r="AI151">
        <v>624750</v>
      </c>
      <c r="AJ151">
        <v>634667</v>
      </c>
    </row>
    <row r="152" spans="1:36" x14ac:dyDescent="0.25">
      <c r="A152" t="s">
        <v>89</v>
      </c>
      <c r="B152">
        <v>1</v>
      </c>
      <c r="C152" t="s">
        <v>45</v>
      </c>
      <c r="D152" t="s">
        <v>45</v>
      </c>
      <c r="E152" t="s">
        <v>116</v>
      </c>
      <c r="AI152">
        <v>66999</v>
      </c>
      <c r="AJ152">
        <v>67293</v>
      </c>
    </row>
    <row r="153" spans="1:36" x14ac:dyDescent="0.25">
      <c r="A153" t="s">
        <v>89</v>
      </c>
      <c r="B153">
        <v>2</v>
      </c>
      <c r="C153" t="s">
        <v>45</v>
      </c>
      <c r="D153" t="s">
        <v>45</v>
      </c>
      <c r="E153" t="s">
        <v>116</v>
      </c>
      <c r="AI153">
        <v>77621</v>
      </c>
      <c r="AJ153">
        <v>81017</v>
      </c>
    </row>
    <row r="154" spans="1:36" x14ac:dyDescent="0.25">
      <c r="A154" t="s">
        <v>89</v>
      </c>
      <c r="B154">
        <v>3</v>
      </c>
      <c r="C154" t="s">
        <v>45</v>
      </c>
      <c r="D154" t="s">
        <v>45</v>
      </c>
      <c r="E154" t="s">
        <v>116</v>
      </c>
      <c r="AI154">
        <v>78131</v>
      </c>
      <c r="AJ154">
        <v>81018</v>
      </c>
    </row>
    <row r="155" spans="1:36" x14ac:dyDescent="0.25">
      <c r="A155" t="s">
        <v>89</v>
      </c>
      <c r="B155">
        <v>4</v>
      </c>
      <c r="C155" t="s">
        <v>45</v>
      </c>
      <c r="D155" t="s">
        <v>45</v>
      </c>
      <c r="E155" t="s">
        <v>116</v>
      </c>
      <c r="AI155">
        <v>89686</v>
      </c>
      <c r="AJ155">
        <v>94275</v>
      </c>
    </row>
    <row r="156" spans="1:36" x14ac:dyDescent="0.25">
      <c r="A156" t="s">
        <v>89</v>
      </c>
      <c r="B156">
        <v>5</v>
      </c>
      <c r="C156" t="s">
        <v>45</v>
      </c>
      <c r="D156" t="s">
        <v>45</v>
      </c>
      <c r="E156" t="s">
        <v>116</v>
      </c>
      <c r="AI156">
        <v>91201</v>
      </c>
      <c r="AJ156">
        <v>94349</v>
      </c>
    </row>
    <row r="157" spans="1:36" x14ac:dyDescent="0.25">
      <c r="A157" t="s">
        <v>89</v>
      </c>
      <c r="B157">
        <v>6</v>
      </c>
      <c r="C157" t="s">
        <v>45</v>
      </c>
      <c r="D157" t="s">
        <v>45</v>
      </c>
      <c r="E157" t="s">
        <v>116</v>
      </c>
      <c r="AI157">
        <v>589117</v>
      </c>
      <c r="AJ157">
        <v>591785</v>
      </c>
    </row>
    <row r="158" spans="1:36" x14ac:dyDescent="0.25">
      <c r="A158" t="s">
        <v>89</v>
      </c>
      <c r="B158">
        <v>7</v>
      </c>
      <c r="C158" t="s">
        <v>45</v>
      </c>
      <c r="D158" t="s">
        <v>45</v>
      </c>
      <c r="E158" t="s">
        <v>116</v>
      </c>
      <c r="AI158">
        <v>611694</v>
      </c>
      <c r="AJ158">
        <v>615199</v>
      </c>
    </row>
    <row r="159" spans="1:36" x14ac:dyDescent="0.25">
      <c r="A159" t="s">
        <v>89</v>
      </c>
      <c r="B159">
        <v>8</v>
      </c>
      <c r="C159" t="s">
        <v>45</v>
      </c>
      <c r="D159" t="s">
        <v>45</v>
      </c>
      <c r="E159" t="s">
        <v>116</v>
      </c>
      <c r="AI159">
        <v>615229</v>
      </c>
      <c r="AJ159">
        <v>616612</v>
      </c>
    </row>
    <row r="160" spans="1:36" x14ac:dyDescent="0.25">
      <c r="A160" t="s">
        <v>89</v>
      </c>
      <c r="B160">
        <v>9</v>
      </c>
      <c r="C160" t="s">
        <v>45</v>
      </c>
      <c r="D160" t="s">
        <v>45</v>
      </c>
      <c r="E160" t="s">
        <v>116</v>
      </c>
      <c r="AI160">
        <v>656000</v>
      </c>
      <c r="AJ160">
        <v>792315</v>
      </c>
    </row>
    <row r="161" spans="1:36" x14ac:dyDescent="0.25">
      <c r="A161" t="s">
        <v>89</v>
      </c>
      <c r="B161">
        <v>10</v>
      </c>
      <c r="C161" t="s">
        <v>45</v>
      </c>
      <c r="D161" t="s">
        <v>45</v>
      </c>
      <c r="E161" t="s">
        <v>116</v>
      </c>
      <c r="AI161">
        <v>921675</v>
      </c>
      <c r="AJ161">
        <v>931156</v>
      </c>
    </row>
    <row r="162" spans="1:36" x14ac:dyDescent="0.25">
      <c r="A162" t="s">
        <v>90</v>
      </c>
      <c r="B162">
        <v>1</v>
      </c>
      <c r="C162" t="s">
        <v>34</v>
      </c>
      <c r="D162" t="s">
        <v>46</v>
      </c>
      <c r="E162" t="s">
        <v>114</v>
      </c>
      <c r="F162">
        <v>0</v>
      </c>
      <c r="G162">
        <v>1.9589704802793861</v>
      </c>
      <c r="I162">
        <v>70</v>
      </c>
      <c r="J162">
        <v>307</v>
      </c>
      <c r="K162">
        <v>68</v>
      </c>
      <c r="L162">
        <v>307</v>
      </c>
      <c r="M162">
        <v>0</v>
      </c>
      <c r="N162">
        <v>73</v>
      </c>
      <c r="O162">
        <v>0</v>
      </c>
      <c r="P162">
        <v>70</v>
      </c>
      <c r="Q162">
        <v>4.7723630602902745E-13</v>
      </c>
      <c r="R162">
        <v>0.51900000000000002</v>
      </c>
      <c r="S162">
        <v>5.2999999999999999E-2</v>
      </c>
      <c r="T162">
        <v>391</v>
      </c>
      <c r="U162">
        <v>341</v>
      </c>
      <c r="V162">
        <v>0</v>
      </c>
      <c r="W162">
        <v>0.11150099999999996</v>
      </c>
      <c r="X162">
        <v>3.1066999999999997E-2</v>
      </c>
      <c r="Y162">
        <v>8.5579000000000002E-2</v>
      </c>
      <c r="Z162">
        <v>0.116646</v>
      </c>
      <c r="AA162">
        <v>0.58515400000000006</v>
      </c>
      <c r="AB162">
        <v>1.5938000000000001E-2</v>
      </c>
      <c r="AC162">
        <v>0.56475799999999998</v>
      </c>
      <c r="AD162">
        <v>0.58069599999999999</v>
      </c>
      <c r="AE162">
        <v>16623</v>
      </c>
      <c r="AF162">
        <v>391</v>
      </c>
      <c r="AG162">
        <v>16624</v>
      </c>
      <c r="AH162">
        <v>341</v>
      </c>
      <c r="AI162">
        <v>67000</v>
      </c>
      <c r="AJ162">
        <v>81388</v>
      </c>
    </row>
    <row r="163" spans="1:36" x14ac:dyDescent="0.25">
      <c r="A163" t="s">
        <v>90</v>
      </c>
      <c r="B163">
        <v>2</v>
      </c>
      <c r="C163" t="s">
        <v>34</v>
      </c>
      <c r="D163" t="s">
        <v>46</v>
      </c>
      <c r="E163" t="s">
        <v>114</v>
      </c>
      <c r="F163">
        <v>0</v>
      </c>
      <c r="G163">
        <v>1.9589704802793861</v>
      </c>
      <c r="I163">
        <v>70</v>
      </c>
      <c r="J163">
        <v>307</v>
      </c>
      <c r="K163">
        <v>68</v>
      </c>
      <c r="L163">
        <v>307</v>
      </c>
      <c r="M163">
        <v>0</v>
      </c>
      <c r="N163">
        <v>73</v>
      </c>
      <c r="O163">
        <v>0</v>
      </c>
      <c r="P163">
        <v>70</v>
      </c>
      <c r="Q163">
        <v>4.7723630602902745E-13</v>
      </c>
      <c r="R163">
        <v>0.26700000000000002</v>
      </c>
      <c r="S163">
        <v>3.6999999999999998E-2</v>
      </c>
      <c r="T163">
        <v>391</v>
      </c>
      <c r="U163">
        <v>341</v>
      </c>
      <c r="V163">
        <v>0</v>
      </c>
      <c r="W163">
        <v>7.8558000000000017E-2</v>
      </c>
      <c r="X163">
        <v>1.4862999999999999E-2</v>
      </c>
      <c r="Y163">
        <v>6.7385E-2</v>
      </c>
      <c r="Z163">
        <v>8.2248000000000002E-2</v>
      </c>
      <c r="AA163">
        <v>0.31260199999999999</v>
      </c>
      <c r="AB163">
        <v>1.9979E-2</v>
      </c>
      <c r="AC163">
        <v>0.29039899999999996</v>
      </c>
      <c r="AD163">
        <v>0.31037799999999999</v>
      </c>
      <c r="AE163">
        <v>16623</v>
      </c>
      <c r="AF163">
        <v>391</v>
      </c>
      <c r="AG163">
        <v>16624</v>
      </c>
      <c r="AH163">
        <v>341</v>
      </c>
      <c r="AI163">
        <v>78625</v>
      </c>
      <c r="AJ163">
        <v>82532</v>
      </c>
    </row>
    <row r="164" spans="1:36" x14ac:dyDescent="0.25">
      <c r="A164" t="s">
        <v>90</v>
      </c>
      <c r="B164">
        <v>3</v>
      </c>
      <c r="C164" t="s">
        <v>34</v>
      </c>
      <c r="D164" t="s">
        <v>46</v>
      </c>
      <c r="E164" t="s">
        <v>114</v>
      </c>
      <c r="F164">
        <v>0</v>
      </c>
      <c r="G164">
        <v>1.9589704802793861</v>
      </c>
      <c r="I164">
        <v>70</v>
      </c>
      <c r="J164">
        <v>307</v>
      </c>
      <c r="K164">
        <v>68</v>
      </c>
      <c r="L164">
        <v>307</v>
      </c>
      <c r="M164">
        <v>0</v>
      </c>
      <c r="N164">
        <v>73</v>
      </c>
      <c r="O164">
        <v>0</v>
      </c>
      <c r="P164">
        <v>70</v>
      </c>
      <c r="Q164">
        <v>4.7723630602902745E-13</v>
      </c>
      <c r="R164">
        <v>0.52300000000000002</v>
      </c>
      <c r="S164">
        <v>5.2999999999999999E-2</v>
      </c>
      <c r="T164">
        <v>391</v>
      </c>
      <c r="U164">
        <v>341</v>
      </c>
      <c r="V164">
        <v>0</v>
      </c>
      <c r="W164">
        <v>0.11644900000000002</v>
      </c>
      <c r="X164">
        <v>2.9713999999999997E-2</v>
      </c>
      <c r="Y164">
        <v>9.2366999999999991E-2</v>
      </c>
      <c r="Z164">
        <v>0.122081</v>
      </c>
      <c r="AA164">
        <v>0.58859799999999995</v>
      </c>
      <c r="AB164">
        <v>1.7906999999999999E-2</v>
      </c>
      <c r="AC164">
        <v>0.56625399999999992</v>
      </c>
      <c r="AD164">
        <v>0.58416099999999993</v>
      </c>
      <c r="AE164">
        <v>16623</v>
      </c>
      <c r="AF164">
        <v>391</v>
      </c>
      <c r="AG164">
        <v>16624</v>
      </c>
      <c r="AH164">
        <v>341</v>
      </c>
      <c r="AI164">
        <v>81146</v>
      </c>
      <c r="AJ164">
        <v>83800</v>
      </c>
    </row>
    <row r="165" spans="1:36" x14ac:dyDescent="0.25">
      <c r="A165" t="s">
        <v>90</v>
      </c>
      <c r="B165">
        <v>4</v>
      </c>
      <c r="C165" t="s">
        <v>34</v>
      </c>
      <c r="D165" t="s">
        <v>46</v>
      </c>
      <c r="E165" t="s">
        <v>114</v>
      </c>
      <c r="F165">
        <v>0</v>
      </c>
      <c r="G165">
        <v>1.9589704802793861</v>
      </c>
      <c r="I165">
        <v>70</v>
      </c>
      <c r="J165">
        <v>307</v>
      </c>
      <c r="K165">
        <v>68</v>
      </c>
      <c r="L165">
        <v>307</v>
      </c>
      <c r="M165">
        <v>0</v>
      </c>
      <c r="N165">
        <v>73</v>
      </c>
      <c r="O165">
        <v>0</v>
      </c>
      <c r="P165">
        <v>70</v>
      </c>
      <c r="Q165">
        <v>4.7723630602902745E-13</v>
      </c>
      <c r="R165">
        <v>0.25800000000000001</v>
      </c>
      <c r="S165">
        <v>2.8000000000000001E-2</v>
      </c>
      <c r="T165">
        <v>391</v>
      </c>
      <c r="U165">
        <v>341</v>
      </c>
      <c r="V165">
        <v>0</v>
      </c>
      <c r="W165">
        <v>8.0765000000000031E-2</v>
      </c>
      <c r="X165">
        <v>2.5989999999999999E-2</v>
      </c>
      <c r="Y165">
        <v>5.8939999999999999E-2</v>
      </c>
      <c r="Z165">
        <v>8.4930000000000005E-2</v>
      </c>
      <c r="AA165">
        <v>0.29436999999999997</v>
      </c>
      <c r="AB165">
        <v>1.6937000000000001E-2</v>
      </c>
      <c r="AC165">
        <v>0.27508199999999999</v>
      </c>
      <c r="AD165">
        <v>0.29201899999999997</v>
      </c>
      <c r="AE165">
        <v>16623</v>
      </c>
      <c r="AF165">
        <v>391</v>
      </c>
      <c r="AG165">
        <v>16624</v>
      </c>
      <c r="AH165">
        <v>341</v>
      </c>
      <c r="AI165">
        <v>94720</v>
      </c>
      <c r="AJ165">
        <v>101876</v>
      </c>
    </row>
    <row r="166" spans="1:36" x14ac:dyDescent="0.25">
      <c r="A166" t="s">
        <v>90</v>
      </c>
      <c r="B166">
        <v>5</v>
      </c>
      <c r="C166" t="s">
        <v>34</v>
      </c>
      <c r="D166" t="s">
        <v>46</v>
      </c>
      <c r="E166" t="s">
        <v>114</v>
      </c>
      <c r="F166">
        <v>0</v>
      </c>
      <c r="G166">
        <v>1.9589704802793861</v>
      </c>
      <c r="I166">
        <v>70</v>
      </c>
      <c r="J166">
        <v>307</v>
      </c>
      <c r="K166">
        <v>68</v>
      </c>
      <c r="L166">
        <v>307</v>
      </c>
      <c r="M166">
        <v>0</v>
      </c>
      <c r="N166">
        <v>73</v>
      </c>
      <c r="O166">
        <v>0</v>
      </c>
      <c r="P166">
        <v>70</v>
      </c>
      <c r="Q166">
        <v>4.7723630602902745E-13</v>
      </c>
      <c r="R166">
        <v>0.50900000000000001</v>
      </c>
      <c r="S166">
        <v>5.2999999999999999E-2</v>
      </c>
      <c r="T166">
        <v>391</v>
      </c>
      <c r="U166">
        <v>341</v>
      </c>
      <c r="V166">
        <v>0</v>
      </c>
      <c r="W166">
        <v>0.11223300000000003</v>
      </c>
      <c r="X166">
        <v>2.1989999999999999E-2</v>
      </c>
      <c r="Y166">
        <v>9.4987000000000002E-2</v>
      </c>
      <c r="Z166">
        <v>0.116977</v>
      </c>
      <c r="AA166">
        <v>0.57347400000000004</v>
      </c>
      <c r="AB166">
        <v>1.8894999999999999E-2</v>
      </c>
      <c r="AC166">
        <v>0.55104900000000001</v>
      </c>
      <c r="AD166">
        <v>0.56994400000000001</v>
      </c>
      <c r="AE166">
        <v>16623</v>
      </c>
      <c r="AF166">
        <v>391</v>
      </c>
      <c r="AG166">
        <v>16624</v>
      </c>
      <c r="AH166">
        <v>341</v>
      </c>
      <c r="AI166">
        <v>96247</v>
      </c>
      <c r="AJ166">
        <v>102260</v>
      </c>
    </row>
    <row r="167" spans="1:36" x14ac:dyDescent="0.25">
      <c r="A167" t="s">
        <v>90</v>
      </c>
      <c r="B167">
        <v>6</v>
      </c>
      <c r="C167" t="s">
        <v>34</v>
      </c>
      <c r="D167" t="s">
        <v>46</v>
      </c>
      <c r="E167" t="s">
        <v>114</v>
      </c>
      <c r="F167">
        <v>0</v>
      </c>
      <c r="G167">
        <v>1.9589704802793861</v>
      </c>
      <c r="I167">
        <v>70</v>
      </c>
      <c r="J167">
        <v>307</v>
      </c>
      <c r="K167">
        <v>68</v>
      </c>
      <c r="L167">
        <v>307</v>
      </c>
      <c r="M167">
        <v>0</v>
      </c>
      <c r="N167">
        <v>73</v>
      </c>
      <c r="O167">
        <v>0</v>
      </c>
      <c r="P167">
        <v>70</v>
      </c>
      <c r="Q167">
        <v>4.7723630602902745E-13</v>
      </c>
      <c r="R167">
        <v>0.23499999999999999</v>
      </c>
      <c r="S167">
        <v>2.5999999999999999E-2</v>
      </c>
      <c r="T167">
        <v>391</v>
      </c>
      <c r="U167">
        <v>341</v>
      </c>
      <c r="V167">
        <v>0</v>
      </c>
      <c r="W167">
        <v>6.9923000000000068E-2</v>
      </c>
      <c r="X167">
        <v>2.085E-2</v>
      </c>
      <c r="Y167">
        <v>5.2607000000000001E-2</v>
      </c>
      <c r="Z167">
        <v>7.3456999999999995E-2</v>
      </c>
      <c r="AA167">
        <v>0.26880099999999996</v>
      </c>
      <c r="AB167">
        <v>1.1873999999999999E-2</v>
      </c>
      <c r="AC167">
        <v>0.25503199999999998</v>
      </c>
      <c r="AD167">
        <v>0.26690599999999998</v>
      </c>
      <c r="AE167">
        <v>16623</v>
      </c>
      <c r="AF167">
        <v>391</v>
      </c>
      <c r="AG167">
        <v>16624</v>
      </c>
      <c r="AH167">
        <v>341</v>
      </c>
      <c r="AI167">
        <v>632290</v>
      </c>
      <c r="AJ167">
        <v>636922</v>
      </c>
    </row>
    <row r="168" spans="1:36" x14ac:dyDescent="0.25">
      <c r="A168" t="s">
        <v>90</v>
      </c>
      <c r="B168">
        <v>7</v>
      </c>
      <c r="C168" t="s">
        <v>34</v>
      </c>
      <c r="D168" t="s">
        <v>46</v>
      </c>
      <c r="E168" t="s">
        <v>114</v>
      </c>
      <c r="F168">
        <v>0</v>
      </c>
      <c r="G168">
        <v>1.9589704802793861</v>
      </c>
      <c r="I168">
        <v>70</v>
      </c>
      <c r="J168">
        <v>307</v>
      </c>
      <c r="K168">
        <v>68</v>
      </c>
      <c r="L168">
        <v>307</v>
      </c>
      <c r="M168">
        <v>0</v>
      </c>
      <c r="N168">
        <v>73</v>
      </c>
      <c r="O168">
        <v>0</v>
      </c>
      <c r="P168">
        <v>70</v>
      </c>
      <c r="Q168">
        <v>4.7723630602902745E-13</v>
      </c>
      <c r="R168">
        <v>0.23699999999999999</v>
      </c>
      <c r="S168">
        <v>2.5999999999999999E-2</v>
      </c>
      <c r="T168">
        <v>391</v>
      </c>
      <c r="U168">
        <v>341</v>
      </c>
      <c r="V168">
        <v>0</v>
      </c>
      <c r="W168">
        <v>7.0612000000000008E-2</v>
      </c>
      <c r="X168">
        <v>2.2037999999999999E-2</v>
      </c>
      <c r="Y168">
        <v>5.2116999999999997E-2</v>
      </c>
      <c r="Z168">
        <v>7.4154999999999999E-2</v>
      </c>
      <c r="AA168">
        <v>0.271316</v>
      </c>
      <c r="AB168">
        <v>1.1800999999999999E-2</v>
      </c>
      <c r="AC168">
        <v>0.25755</v>
      </c>
      <c r="AD168">
        <v>0.26935100000000001</v>
      </c>
      <c r="AE168">
        <v>16623</v>
      </c>
      <c r="AF168">
        <v>391</v>
      </c>
      <c r="AG168">
        <v>16624</v>
      </c>
      <c r="AH168">
        <v>341</v>
      </c>
      <c r="AI168">
        <v>633803</v>
      </c>
      <c r="AJ168">
        <v>638435</v>
      </c>
    </row>
    <row r="169" spans="1:36" x14ac:dyDescent="0.25">
      <c r="A169" t="s">
        <v>90</v>
      </c>
      <c r="B169">
        <v>8</v>
      </c>
      <c r="C169" t="s">
        <v>34</v>
      </c>
      <c r="D169" t="s">
        <v>46</v>
      </c>
      <c r="E169" t="s">
        <v>114</v>
      </c>
      <c r="F169">
        <v>0</v>
      </c>
      <c r="G169">
        <v>1.9589704802793861</v>
      </c>
      <c r="I169">
        <v>70</v>
      </c>
      <c r="J169">
        <v>307</v>
      </c>
      <c r="K169">
        <v>68</v>
      </c>
      <c r="L169">
        <v>307</v>
      </c>
      <c r="M169">
        <v>0</v>
      </c>
      <c r="N169">
        <v>73</v>
      </c>
      <c r="O169">
        <v>0</v>
      </c>
      <c r="P169">
        <v>70</v>
      </c>
      <c r="Q169">
        <v>4.7723630602902745E-13</v>
      </c>
      <c r="R169">
        <v>0.32300000000000001</v>
      </c>
      <c r="S169">
        <v>4.8000000000000001E-2</v>
      </c>
      <c r="T169">
        <v>391</v>
      </c>
      <c r="U169">
        <v>341</v>
      </c>
      <c r="V169">
        <v>0</v>
      </c>
      <c r="W169">
        <v>0.11132199999999998</v>
      </c>
      <c r="X169">
        <v>2.9821E-2</v>
      </c>
      <c r="Y169">
        <v>8.5519999999999999E-2</v>
      </c>
      <c r="Z169">
        <v>0.115341</v>
      </c>
      <c r="AA169">
        <v>0.38110100000000002</v>
      </c>
      <c r="AB169">
        <v>2.9176999999999998E-2</v>
      </c>
      <c r="AC169">
        <v>0.34977999999999998</v>
      </c>
      <c r="AD169">
        <v>0.37895699999999999</v>
      </c>
      <c r="AE169">
        <v>16623</v>
      </c>
      <c r="AF169">
        <v>391</v>
      </c>
      <c r="AG169">
        <v>16624</v>
      </c>
      <c r="AH169">
        <v>341</v>
      </c>
      <c r="AI169">
        <v>905544</v>
      </c>
      <c r="AJ169">
        <v>914231</v>
      </c>
    </row>
    <row r="170" spans="1:36" x14ac:dyDescent="0.25">
      <c r="A170" t="s">
        <v>90</v>
      </c>
      <c r="B170">
        <v>9</v>
      </c>
      <c r="C170" t="s">
        <v>34</v>
      </c>
      <c r="D170" t="s">
        <v>46</v>
      </c>
      <c r="E170" t="s">
        <v>114</v>
      </c>
      <c r="F170">
        <v>0</v>
      </c>
      <c r="G170">
        <v>1.9589704802793861</v>
      </c>
      <c r="I170">
        <v>70</v>
      </c>
      <c r="J170">
        <v>307</v>
      </c>
      <c r="K170">
        <v>68</v>
      </c>
      <c r="L170">
        <v>307</v>
      </c>
      <c r="M170">
        <v>0</v>
      </c>
      <c r="N170">
        <v>73</v>
      </c>
      <c r="O170">
        <v>0</v>
      </c>
      <c r="P170">
        <v>70</v>
      </c>
      <c r="Q170">
        <v>4.7723630602902745E-13</v>
      </c>
      <c r="R170">
        <v>0.54</v>
      </c>
      <c r="S170">
        <v>5.8000000000000003E-2</v>
      </c>
      <c r="T170">
        <v>391</v>
      </c>
      <c r="U170">
        <v>341</v>
      </c>
      <c r="V170">
        <v>0</v>
      </c>
      <c r="W170">
        <v>0.11588399999999999</v>
      </c>
      <c r="X170">
        <v>2.2834999999999998E-2</v>
      </c>
      <c r="Y170">
        <v>9.8321999999999993E-2</v>
      </c>
      <c r="Z170">
        <v>0.12115699999999999</v>
      </c>
      <c r="AA170">
        <v>0.60934500000000003</v>
      </c>
      <c r="AB170">
        <v>2.1901E-2</v>
      </c>
      <c r="AC170">
        <v>0.58335300000000001</v>
      </c>
      <c r="AD170">
        <v>0.60525399999999996</v>
      </c>
      <c r="AE170">
        <v>16623</v>
      </c>
      <c r="AF170">
        <v>391</v>
      </c>
      <c r="AG170">
        <v>16624</v>
      </c>
      <c r="AH170">
        <v>341</v>
      </c>
      <c r="AI170">
        <v>910095</v>
      </c>
      <c r="AJ170">
        <v>917639</v>
      </c>
    </row>
    <row r="171" spans="1:36" x14ac:dyDescent="0.25">
      <c r="A171" t="s">
        <v>90</v>
      </c>
      <c r="B171">
        <v>10</v>
      </c>
      <c r="C171" t="s">
        <v>34</v>
      </c>
      <c r="D171" t="s">
        <v>46</v>
      </c>
      <c r="E171" t="s">
        <v>114</v>
      </c>
      <c r="F171">
        <v>0</v>
      </c>
      <c r="G171">
        <v>1.9589704802793861</v>
      </c>
      <c r="I171">
        <v>70</v>
      </c>
      <c r="J171">
        <v>307</v>
      </c>
      <c r="K171">
        <v>68</v>
      </c>
      <c r="L171">
        <v>307</v>
      </c>
      <c r="M171">
        <v>0</v>
      </c>
      <c r="N171">
        <v>73</v>
      </c>
      <c r="O171">
        <v>0</v>
      </c>
      <c r="P171">
        <v>70</v>
      </c>
      <c r="Q171">
        <v>4.7723630602902745E-13</v>
      </c>
      <c r="R171">
        <v>0.255</v>
      </c>
      <c r="S171">
        <v>2.8000000000000001E-2</v>
      </c>
      <c r="T171">
        <v>391</v>
      </c>
      <c r="U171">
        <v>341</v>
      </c>
      <c r="V171">
        <v>0</v>
      </c>
      <c r="W171">
        <v>9.0025000000000022E-2</v>
      </c>
      <c r="X171">
        <v>1.9046E-2</v>
      </c>
      <c r="Y171">
        <v>7.4198E-2</v>
      </c>
      <c r="Z171">
        <v>9.3243999999999994E-2</v>
      </c>
      <c r="AA171">
        <v>0.29085799999999995</v>
      </c>
      <c r="AB171">
        <v>8.9479999999999994E-3</v>
      </c>
      <c r="AC171">
        <v>0.28021699999999999</v>
      </c>
      <c r="AD171">
        <v>0.28916500000000001</v>
      </c>
      <c r="AE171">
        <v>16623</v>
      </c>
      <c r="AF171">
        <v>391</v>
      </c>
      <c r="AG171">
        <v>16624</v>
      </c>
      <c r="AH171">
        <v>341</v>
      </c>
      <c r="AI171">
        <v>1274535</v>
      </c>
      <c r="AJ171">
        <v>1292087</v>
      </c>
    </row>
    <row r="172" spans="1:36" x14ac:dyDescent="0.25">
      <c r="A172" t="s">
        <v>91</v>
      </c>
      <c r="B172">
        <v>1</v>
      </c>
      <c r="C172" t="s">
        <v>96</v>
      </c>
      <c r="D172" t="s">
        <v>97</v>
      </c>
      <c r="E172" t="s">
        <v>45</v>
      </c>
      <c r="AI172">
        <v>67000</v>
      </c>
      <c r="AJ172">
        <v>78583</v>
      </c>
    </row>
    <row r="173" spans="1:36" x14ac:dyDescent="0.25">
      <c r="A173" t="s">
        <v>91</v>
      </c>
      <c r="B173">
        <v>2</v>
      </c>
      <c r="C173" t="s">
        <v>96</v>
      </c>
      <c r="D173" t="s">
        <v>97</v>
      </c>
      <c r="E173" t="s">
        <v>45</v>
      </c>
      <c r="AI173">
        <v>79630</v>
      </c>
      <c r="AJ173">
        <v>83112</v>
      </c>
    </row>
    <row r="174" spans="1:36" x14ac:dyDescent="0.25">
      <c r="A174" t="s">
        <v>91</v>
      </c>
      <c r="B174">
        <v>3</v>
      </c>
      <c r="C174" t="s">
        <v>96</v>
      </c>
      <c r="D174" t="s">
        <v>97</v>
      </c>
      <c r="E174" t="s">
        <v>45</v>
      </c>
      <c r="AI174">
        <v>80140</v>
      </c>
      <c r="AJ174">
        <v>82943</v>
      </c>
    </row>
    <row r="175" spans="1:36" x14ac:dyDescent="0.25">
      <c r="A175" t="s">
        <v>91</v>
      </c>
      <c r="B175">
        <v>4</v>
      </c>
      <c r="C175" t="s">
        <v>96</v>
      </c>
      <c r="D175" t="s">
        <v>97</v>
      </c>
      <c r="E175" t="s">
        <v>45</v>
      </c>
      <c r="AI175">
        <v>92707</v>
      </c>
      <c r="AJ175">
        <v>97365</v>
      </c>
    </row>
    <row r="176" spans="1:36" x14ac:dyDescent="0.25">
      <c r="A176" t="s">
        <v>91</v>
      </c>
      <c r="B176">
        <v>5</v>
      </c>
      <c r="C176" t="s">
        <v>96</v>
      </c>
      <c r="D176" t="s">
        <v>97</v>
      </c>
      <c r="E176" t="s">
        <v>45</v>
      </c>
      <c r="AI176">
        <v>94226</v>
      </c>
      <c r="AJ176">
        <v>98378</v>
      </c>
    </row>
    <row r="177" spans="1:36" x14ac:dyDescent="0.25">
      <c r="A177" t="s">
        <v>91</v>
      </c>
      <c r="B177">
        <v>6</v>
      </c>
      <c r="C177" t="s">
        <v>96</v>
      </c>
      <c r="D177" t="s">
        <v>97</v>
      </c>
      <c r="E177" t="s">
        <v>45</v>
      </c>
      <c r="AI177">
        <v>629260</v>
      </c>
      <c r="AJ177">
        <v>635489</v>
      </c>
    </row>
    <row r="178" spans="1:36" x14ac:dyDescent="0.25">
      <c r="A178" t="s">
        <v>91</v>
      </c>
      <c r="B178">
        <v>7</v>
      </c>
      <c r="C178" t="s">
        <v>96</v>
      </c>
      <c r="D178" t="s">
        <v>97</v>
      </c>
      <c r="E178" t="s">
        <v>45</v>
      </c>
      <c r="AI178">
        <v>630782</v>
      </c>
      <c r="AJ178">
        <v>635659</v>
      </c>
    </row>
    <row r="179" spans="1:36" x14ac:dyDescent="0.25">
      <c r="A179" t="s">
        <v>91</v>
      </c>
      <c r="B179">
        <v>8</v>
      </c>
      <c r="C179" t="s">
        <v>96</v>
      </c>
      <c r="D179" t="s">
        <v>97</v>
      </c>
      <c r="E179" t="s">
        <v>45</v>
      </c>
      <c r="AI179">
        <v>895405</v>
      </c>
      <c r="AJ179">
        <v>905320</v>
      </c>
    </row>
    <row r="180" spans="1:36" x14ac:dyDescent="0.25">
      <c r="A180" t="s">
        <v>91</v>
      </c>
      <c r="B180">
        <v>9</v>
      </c>
      <c r="C180" t="s">
        <v>96</v>
      </c>
      <c r="D180" t="s">
        <v>97</v>
      </c>
      <c r="E180" t="s">
        <v>45</v>
      </c>
      <c r="AI180">
        <v>895911</v>
      </c>
      <c r="AJ180">
        <v>911021</v>
      </c>
    </row>
    <row r="181" spans="1:36" x14ac:dyDescent="0.25">
      <c r="A181" t="s">
        <v>91</v>
      </c>
      <c r="B181">
        <v>10</v>
      </c>
      <c r="C181" t="s">
        <v>96</v>
      </c>
      <c r="D181" t="s">
        <v>97</v>
      </c>
      <c r="E181" t="s">
        <v>45</v>
      </c>
      <c r="AI181">
        <v>1270507</v>
      </c>
      <c r="AJ181">
        <v>1278444</v>
      </c>
    </row>
    <row r="182" spans="1:36" x14ac:dyDescent="0.25">
      <c r="A182" t="s">
        <v>92</v>
      </c>
      <c r="B182">
        <v>1</v>
      </c>
      <c r="C182" t="s">
        <v>45</v>
      </c>
      <c r="D182" t="s">
        <v>45</v>
      </c>
      <c r="E182" t="s">
        <v>117</v>
      </c>
      <c r="F182">
        <v>520</v>
      </c>
      <c r="G182">
        <v>0</v>
      </c>
      <c r="W182">
        <v>0.111318</v>
      </c>
      <c r="X182">
        <v>2.2924E-2</v>
      </c>
      <c r="Y182">
        <v>9.3623999999999999E-2</v>
      </c>
      <c r="Z182">
        <v>0.116548</v>
      </c>
      <c r="AA182">
        <v>2.2544000000000008E-2</v>
      </c>
      <c r="AB182">
        <v>2.725E-3</v>
      </c>
      <c r="AC182">
        <v>5.4380000000000001E-3</v>
      </c>
      <c r="AD182">
        <v>8.1630000000000001E-3</v>
      </c>
      <c r="AE182">
        <v>16623</v>
      </c>
      <c r="AF182">
        <v>391</v>
      </c>
      <c r="AG182">
        <v>16624</v>
      </c>
      <c r="AH182">
        <v>341</v>
      </c>
      <c r="AI182">
        <v>67000</v>
      </c>
      <c r="AJ182">
        <v>79402</v>
      </c>
    </row>
    <row r="183" spans="1:36" x14ac:dyDescent="0.25">
      <c r="A183" t="s">
        <v>92</v>
      </c>
      <c r="B183">
        <v>2</v>
      </c>
      <c r="C183" t="s">
        <v>45</v>
      </c>
      <c r="D183" t="s">
        <v>45</v>
      </c>
      <c r="E183" t="s">
        <v>117</v>
      </c>
      <c r="F183">
        <v>520</v>
      </c>
      <c r="G183">
        <v>0</v>
      </c>
      <c r="W183">
        <v>7.1226999999999985E-2</v>
      </c>
      <c r="X183">
        <v>1.8897000000000001E-2</v>
      </c>
      <c r="Y183">
        <v>5.5750999999999995E-2</v>
      </c>
      <c r="Z183">
        <v>7.4647999999999992E-2</v>
      </c>
      <c r="AA183">
        <v>6.2390000000000084E-3</v>
      </c>
      <c r="AB183">
        <v>2.467E-3</v>
      </c>
      <c r="AC183">
        <v>2.8189999999999999E-3</v>
      </c>
      <c r="AD183">
        <v>5.2859999999999999E-3</v>
      </c>
      <c r="AE183">
        <v>16623</v>
      </c>
      <c r="AF183">
        <v>391</v>
      </c>
      <c r="AG183">
        <v>16624</v>
      </c>
      <c r="AH183">
        <v>341</v>
      </c>
      <c r="AI183">
        <v>81640</v>
      </c>
      <c r="AJ183">
        <v>85172</v>
      </c>
    </row>
    <row r="184" spans="1:36" x14ac:dyDescent="0.25">
      <c r="A184" t="s">
        <v>92</v>
      </c>
      <c r="B184">
        <v>3</v>
      </c>
      <c r="C184" t="s">
        <v>45</v>
      </c>
      <c r="D184" t="s">
        <v>45</v>
      </c>
      <c r="E184" t="s">
        <v>117</v>
      </c>
      <c r="F184">
        <v>520</v>
      </c>
      <c r="G184">
        <v>0</v>
      </c>
      <c r="W184">
        <v>8.3170999999999995E-2</v>
      </c>
      <c r="X184">
        <v>2.0771999999999999E-2</v>
      </c>
      <c r="Y184">
        <v>6.6249000000000002E-2</v>
      </c>
      <c r="Z184">
        <v>8.7021000000000001E-2</v>
      </c>
      <c r="AA184">
        <v>6.75400000000001E-3</v>
      </c>
      <c r="AB184">
        <v>2.3639999999999998E-3</v>
      </c>
      <c r="AC184">
        <v>3.1509999999999997E-3</v>
      </c>
      <c r="AD184">
        <v>5.5149999999999991E-3</v>
      </c>
      <c r="AE184">
        <v>16623</v>
      </c>
      <c r="AF184">
        <v>391</v>
      </c>
      <c r="AG184">
        <v>16624</v>
      </c>
      <c r="AH184">
        <v>341</v>
      </c>
      <c r="AI184">
        <v>83165</v>
      </c>
      <c r="AJ184">
        <v>87793</v>
      </c>
    </row>
    <row r="185" spans="1:36" x14ac:dyDescent="0.25">
      <c r="A185" t="s">
        <v>92</v>
      </c>
      <c r="B185">
        <v>4</v>
      </c>
      <c r="C185" t="s">
        <v>45</v>
      </c>
      <c r="D185" t="s">
        <v>45</v>
      </c>
      <c r="E185" t="s">
        <v>117</v>
      </c>
      <c r="F185">
        <v>520</v>
      </c>
      <c r="G185">
        <v>0</v>
      </c>
      <c r="W185">
        <v>0.11265599999999999</v>
      </c>
      <c r="X185">
        <v>2.998E-2</v>
      </c>
      <c r="Y185">
        <v>8.7927999999999992E-2</v>
      </c>
      <c r="Z185">
        <v>0.11790799999999999</v>
      </c>
      <c r="AA185">
        <v>1.1005000000000001E-2</v>
      </c>
      <c r="AB185">
        <v>4.5319999999999996E-3</v>
      </c>
      <c r="AC185">
        <v>4.9350000000000002E-3</v>
      </c>
      <c r="AD185">
        <v>9.4669999999999997E-3</v>
      </c>
      <c r="AE185">
        <v>16623</v>
      </c>
      <c r="AF185">
        <v>391</v>
      </c>
      <c r="AG185">
        <v>16624</v>
      </c>
      <c r="AH185">
        <v>341</v>
      </c>
      <c r="AI185">
        <v>553961</v>
      </c>
      <c r="AJ185">
        <v>575012</v>
      </c>
    </row>
    <row r="186" spans="1:36" x14ac:dyDescent="0.25">
      <c r="A186" t="s">
        <v>92</v>
      </c>
      <c r="B186">
        <v>5</v>
      </c>
      <c r="C186" t="s">
        <v>45</v>
      </c>
      <c r="D186" t="s">
        <v>45</v>
      </c>
      <c r="E186" t="s">
        <v>117</v>
      </c>
      <c r="F186">
        <v>520</v>
      </c>
      <c r="G186">
        <v>0</v>
      </c>
      <c r="W186">
        <v>6.9241000000000011E-2</v>
      </c>
      <c r="X186">
        <v>2.5843999999999999E-2</v>
      </c>
      <c r="Y186">
        <v>4.6741999999999999E-2</v>
      </c>
      <c r="Z186">
        <v>7.2585999999999998E-2</v>
      </c>
      <c r="AA186">
        <v>6.5429999999999933E-3</v>
      </c>
      <c r="AB186">
        <v>2.3019999999999998E-3</v>
      </c>
      <c r="AC186">
        <v>3.1149999999999997E-3</v>
      </c>
      <c r="AD186">
        <v>5.4169999999999999E-3</v>
      </c>
      <c r="AE186">
        <v>16623</v>
      </c>
      <c r="AF186">
        <v>391</v>
      </c>
      <c r="AG186">
        <v>16624</v>
      </c>
      <c r="AH186">
        <v>341</v>
      </c>
      <c r="AI186">
        <v>605657</v>
      </c>
      <c r="AJ186">
        <v>610028</v>
      </c>
    </row>
    <row r="187" spans="1:36" x14ac:dyDescent="0.25">
      <c r="A187" t="s">
        <v>92</v>
      </c>
      <c r="B187">
        <v>6</v>
      </c>
      <c r="C187" t="s">
        <v>45</v>
      </c>
      <c r="D187" t="s">
        <v>45</v>
      </c>
      <c r="E187" t="s">
        <v>117</v>
      </c>
      <c r="F187">
        <v>520</v>
      </c>
      <c r="G187">
        <v>0</v>
      </c>
      <c r="W187">
        <v>7.0732000000000003E-2</v>
      </c>
      <c r="X187">
        <v>2.3774E-2</v>
      </c>
      <c r="Y187">
        <v>5.0504999999999994E-2</v>
      </c>
      <c r="Z187">
        <v>7.4278999999999998E-2</v>
      </c>
      <c r="AA187">
        <v>6.4849999999999908E-3</v>
      </c>
      <c r="AB187">
        <v>2.3259999999999999E-3</v>
      </c>
      <c r="AC187">
        <v>3.0589999999999997E-3</v>
      </c>
      <c r="AD187">
        <v>5.3849999999999992E-3</v>
      </c>
      <c r="AE187">
        <v>16623</v>
      </c>
      <c r="AF187">
        <v>391</v>
      </c>
      <c r="AG187">
        <v>16624</v>
      </c>
      <c r="AH187">
        <v>341</v>
      </c>
      <c r="AI187">
        <v>615230</v>
      </c>
      <c r="AJ187">
        <v>620080</v>
      </c>
    </row>
    <row r="188" spans="1:36" x14ac:dyDescent="0.25">
      <c r="A188" t="s">
        <v>92</v>
      </c>
      <c r="B188">
        <v>7</v>
      </c>
      <c r="C188" t="s">
        <v>45</v>
      </c>
      <c r="D188" t="s">
        <v>45</v>
      </c>
      <c r="E188" t="s">
        <v>117</v>
      </c>
      <c r="F188">
        <v>520</v>
      </c>
      <c r="G188">
        <v>0</v>
      </c>
      <c r="W188">
        <v>9.7948000000000007E-2</v>
      </c>
      <c r="X188">
        <v>2.2928E-2</v>
      </c>
      <c r="Y188">
        <v>7.977999999999999E-2</v>
      </c>
      <c r="Z188">
        <v>0.10270799999999999</v>
      </c>
      <c r="AA188">
        <v>7.3199999999999932E-3</v>
      </c>
      <c r="AB188">
        <v>3.1409999999999997E-3</v>
      </c>
      <c r="AC188">
        <v>2.9089999999999997E-3</v>
      </c>
      <c r="AD188">
        <v>6.0499999999999998E-3</v>
      </c>
      <c r="AE188">
        <v>16623</v>
      </c>
      <c r="AF188">
        <v>391</v>
      </c>
      <c r="AG188">
        <v>16624</v>
      </c>
      <c r="AH188">
        <v>341</v>
      </c>
      <c r="AI188">
        <v>924711</v>
      </c>
      <c r="AJ188">
        <v>941835</v>
      </c>
    </row>
    <row r="189" spans="1:36" x14ac:dyDescent="0.25">
      <c r="A189" t="s">
        <v>92</v>
      </c>
      <c r="B189">
        <v>8</v>
      </c>
      <c r="C189" t="s">
        <v>45</v>
      </c>
      <c r="D189" t="s">
        <v>45</v>
      </c>
      <c r="E189" t="s">
        <v>117</v>
      </c>
      <c r="F189">
        <v>520</v>
      </c>
      <c r="G189">
        <v>0</v>
      </c>
      <c r="W189">
        <v>7.7865000000000004E-2</v>
      </c>
      <c r="X189">
        <v>2.7550999999999999E-2</v>
      </c>
      <c r="Y189">
        <v>5.4132E-2</v>
      </c>
      <c r="Z189">
        <v>8.1683000000000006E-2</v>
      </c>
      <c r="AA189">
        <v>6.7750000000000032E-3</v>
      </c>
      <c r="AB189">
        <v>2.418E-3</v>
      </c>
      <c r="AC189">
        <v>3.1489999999999999E-3</v>
      </c>
      <c r="AD189">
        <v>5.5669999999999999E-3</v>
      </c>
      <c r="AE189">
        <v>16623</v>
      </c>
      <c r="AF189">
        <v>391</v>
      </c>
      <c r="AG189">
        <v>16624</v>
      </c>
      <c r="AH189">
        <v>341</v>
      </c>
      <c r="AI189">
        <v>931285</v>
      </c>
      <c r="AJ189">
        <v>945034</v>
      </c>
    </row>
    <row r="190" spans="1:36" x14ac:dyDescent="0.25">
      <c r="A190" t="s">
        <v>92</v>
      </c>
      <c r="B190">
        <v>9</v>
      </c>
      <c r="C190" t="s">
        <v>45</v>
      </c>
      <c r="D190" t="s">
        <v>45</v>
      </c>
      <c r="E190" t="s">
        <v>117</v>
      </c>
      <c r="F190">
        <v>520</v>
      </c>
      <c r="G190">
        <v>0</v>
      </c>
      <c r="W190">
        <v>8.7553999999999993E-2</v>
      </c>
      <c r="X190">
        <v>2.8000999999999998E-2</v>
      </c>
      <c r="Y190">
        <v>6.3017000000000004E-2</v>
      </c>
      <c r="Z190">
        <v>9.1018000000000002E-2</v>
      </c>
      <c r="AA190">
        <v>6.2080000000000052E-3</v>
      </c>
      <c r="AB190">
        <v>3.4879999999999998E-3</v>
      </c>
      <c r="AC190">
        <v>2.1199999999999999E-3</v>
      </c>
      <c r="AD190">
        <v>5.6080000000000001E-3</v>
      </c>
      <c r="AE190">
        <v>16623</v>
      </c>
      <c r="AF190">
        <v>391</v>
      </c>
      <c r="AG190">
        <v>16624</v>
      </c>
      <c r="AH190">
        <v>341</v>
      </c>
      <c r="AI190">
        <v>942065</v>
      </c>
      <c r="AJ190">
        <v>1055992</v>
      </c>
    </row>
    <row r="191" spans="1:36" x14ac:dyDescent="0.25">
      <c r="A191" t="s">
        <v>92</v>
      </c>
      <c r="B191">
        <v>10</v>
      </c>
      <c r="C191" t="s">
        <v>45</v>
      </c>
      <c r="D191" t="s">
        <v>45</v>
      </c>
      <c r="E191" t="s">
        <v>117</v>
      </c>
      <c r="F191">
        <v>520</v>
      </c>
      <c r="G191">
        <v>0</v>
      </c>
      <c r="W191">
        <v>9.1472999999999999E-2</v>
      </c>
      <c r="X191">
        <v>2.3004999999999998E-2</v>
      </c>
      <c r="Y191">
        <v>7.296699999999999E-2</v>
      </c>
      <c r="Z191">
        <v>9.5971999999999988E-2</v>
      </c>
      <c r="AA191">
        <v>7.4040000000000078E-3</v>
      </c>
      <c r="AB191">
        <v>4.2589999999999998E-3</v>
      </c>
      <c r="AC191">
        <v>1.8959999999999999E-3</v>
      </c>
      <c r="AD191">
        <v>6.1549999999999999E-3</v>
      </c>
      <c r="AE191">
        <v>16623</v>
      </c>
      <c r="AF191">
        <v>391</v>
      </c>
      <c r="AG191">
        <v>16624</v>
      </c>
      <c r="AH191">
        <v>341</v>
      </c>
      <c r="AI191">
        <v>1312440</v>
      </c>
      <c r="AJ191">
        <v>1374888</v>
      </c>
    </row>
    <row r="192" spans="1:36" x14ac:dyDescent="0.25">
      <c r="A192" t="s">
        <v>111</v>
      </c>
      <c r="B192">
        <v>1</v>
      </c>
      <c r="C192" t="s">
        <v>45</v>
      </c>
      <c r="D192" t="s">
        <v>45</v>
      </c>
      <c r="E192" t="s">
        <v>114</v>
      </c>
      <c r="F192">
        <v>0</v>
      </c>
      <c r="G192">
        <v>1.958970444228409</v>
      </c>
      <c r="W192">
        <v>8.113999999999999E-2</v>
      </c>
      <c r="X192">
        <v>2.5732999999999999E-2</v>
      </c>
      <c r="Y192">
        <v>5.9406E-2</v>
      </c>
      <c r="Z192">
        <v>8.5138999999999992E-2</v>
      </c>
      <c r="AA192">
        <v>8.6430000000000007E-2</v>
      </c>
      <c r="AB192">
        <v>3.261E-3</v>
      </c>
      <c r="AC192">
        <v>8.1895999999999997E-2</v>
      </c>
      <c r="AD192">
        <v>8.5156999999999997E-2</v>
      </c>
      <c r="AE192">
        <v>16623</v>
      </c>
      <c r="AF192">
        <v>391</v>
      </c>
      <c r="AG192">
        <v>16624</v>
      </c>
      <c r="AH192">
        <v>341</v>
      </c>
      <c r="AI192">
        <v>67000</v>
      </c>
      <c r="AJ192">
        <v>79990</v>
      </c>
    </row>
    <row r="193" spans="1:36" x14ac:dyDescent="0.25">
      <c r="A193" t="s">
        <v>111</v>
      </c>
      <c r="B193">
        <v>2</v>
      </c>
      <c r="C193" t="s">
        <v>45</v>
      </c>
      <c r="D193" t="s">
        <v>45</v>
      </c>
      <c r="E193" t="s">
        <v>114</v>
      </c>
      <c r="F193">
        <v>0</v>
      </c>
      <c r="G193">
        <v>1.9589704228921725</v>
      </c>
      <c r="W193">
        <v>0.11460100000000001</v>
      </c>
      <c r="X193">
        <v>2.5840999999999999E-2</v>
      </c>
      <c r="Y193">
        <v>9.3586000000000003E-2</v>
      </c>
      <c r="Z193">
        <v>0.11942700000000001</v>
      </c>
      <c r="AA193">
        <v>0.15607799999999999</v>
      </c>
      <c r="AB193">
        <v>4.5490000000000001E-3</v>
      </c>
      <c r="AC193">
        <v>0.130608</v>
      </c>
      <c r="AD193">
        <v>0.135157</v>
      </c>
      <c r="AE193">
        <v>16623</v>
      </c>
      <c r="AF193">
        <v>391</v>
      </c>
      <c r="AG193">
        <v>16624</v>
      </c>
      <c r="AH193">
        <v>341</v>
      </c>
      <c r="AI193">
        <v>81641</v>
      </c>
      <c r="AJ193">
        <v>86728</v>
      </c>
    </row>
    <row r="194" spans="1:36" x14ac:dyDescent="0.25">
      <c r="A194" t="s">
        <v>111</v>
      </c>
      <c r="B194">
        <v>3</v>
      </c>
      <c r="C194" t="s">
        <v>45</v>
      </c>
      <c r="D194" t="s">
        <v>45</v>
      </c>
      <c r="E194" t="s">
        <v>114</v>
      </c>
      <c r="F194">
        <v>0</v>
      </c>
      <c r="G194">
        <v>1.9589704228921725</v>
      </c>
      <c r="W194">
        <v>0.11198299999999997</v>
      </c>
      <c r="X194">
        <v>2.9950999999999998E-2</v>
      </c>
      <c r="Y194">
        <v>8.6823999999999998E-2</v>
      </c>
      <c r="Z194">
        <v>0.11677499999999999</v>
      </c>
      <c r="AA194">
        <v>0.13654500000000003</v>
      </c>
      <c r="AB194">
        <v>3.6149999999999997E-3</v>
      </c>
      <c r="AC194">
        <v>0.13153999999999999</v>
      </c>
      <c r="AD194">
        <v>0.135155</v>
      </c>
      <c r="AE194">
        <v>16623</v>
      </c>
      <c r="AF194">
        <v>391</v>
      </c>
      <c r="AG194">
        <v>16624</v>
      </c>
      <c r="AH194">
        <v>341</v>
      </c>
      <c r="AI194">
        <v>83165</v>
      </c>
      <c r="AJ194">
        <v>88296</v>
      </c>
    </row>
    <row r="195" spans="1:36" x14ac:dyDescent="0.25">
      <c r="A195" t="s">
        <v>111</v>
      </c>
      <c r="B195">
        <v>4</v>
      </c>
      <c r="C195" t="s">
        <v>45</v>
      </c>
      <c r="D195" t="s">
        <v>45</v>
      </c>
      <c r="E195" t="s">
        <v>114</v>
      </c>
      <c r="F195">
        <v>0</v>
      </c>
      <c r="G195">
        <v>1.958970444228409</v>
      </c>
      <c r="W195">
        <v>8.4051999999999988E-2</v>
      </c>
      <c r="X195">
        <v>2.7628999999999997E-2</v>
      </c>
      <c r="Y195">
        <v>6.0252E-2</v>
      </c>
      <c r="Z195">
        <v>8.7881000000000001E-2</v>
      </c>
      <c r="AA195">
        <v>6.9811000000000012E-2</v>
      </c>
      <c r="AB195">
        <v>3.0569999999999998E-3</v>
      </c>
      <c r="AC195">
        <v>6.534899999999999E-2</v>
      </c>
      <c r="AD195">
        <v>6.8405999999999995E-2</v>
      </c>
      <c r="AE195">
        <v>16623</v>
      </c>
      <c r="AF195">
        <v>391</v>
      </c>
      <c r="AG195">
        <v>16624</v>
      </c>
      <c r="AH195">
        <v>341</v>
      </c>
      <c r="AI195">
        <v>557975</v>
      </c>
      <c r="AJ195">
        <v>586693</v>
      </c>
    </row>
    <row r="196" spans="1:36" x14ac:dyDescent="0.25">
      <c r="A196" t="s">
        <v>111</v>
      </c>
      <c r="B196">
        <v>5</v>
      </c>
      <c r="C196" t="s">
        <v>45</v>
      </c>
      <c r="D196" t="s">
        <v>45</v>
      </c>
      <c r="E196" t="s">
        <v>114</v>
      </c>
      <c r="F196">
        <v>0</v>
      </c>
      <c r="G196">
        <v>1.9589704228921725</v>
      </c>
      <c r="W196">
        <v>0.113174</v>
      </c>
      <c r="X196">
        <v>2.7895E-2</v>
      </c>
      <c r="Y196">
        <v>9.0630999999999989E-2</v>
      </c>
      <c r="Z196">
        <v>0.11852599999999999</v>
      </c>
      <c r="AA196">
        <v>0.13755299999999998</v>
      </c>
      <c r="AB196">
        <v>4.2659999999999998E-3</v>
      </c>
      <c r="AC196">
        <v>0.13118299999999999</v>
      </c>
      <c r="AD196">
        <v>0.13544899999999999</v>
      </c>
      <c r="AE196">
        <v>16623</v>
      </c>
      <c r="AF196">
        <v>391</v>
      </c>
      <c r="AG196">
        <v>16624</v>
      </c>
      <c r="AH196">
        <v>341</v>
      </c>
      <c r="AI196">
        <v>606664</v>
      </c>
      <c r="AJ196">
        <v>611004</v>
      </c>
    </row>
    <row r="197" spans="1:36" x14ac:dyDescent="0.25">
      <c r="A197" t="s">
        <v>111</v>
      </c>
      <c r="B197">
        <v>6</v>
      </c>
      <c r="C197" t="s">
        <v>45</v>
      </c>
      <c r="D197" t="s">
        <v>45</v>
      </c>
      <c r="E197" t="s">
        <v>114</v>
      </c>
      <c r="F197">
        <v>0</v>
      </c>
      <c r="G197">
        <v>1.9589704228921725</v>
      </c>
      <c r="W197">
        <v>0.11313500000000001</v>
      </c>
      <c r="X197">
        <v>2.6880999999999999E-2</v>
      </c>
      <c r="Y197">
        <v>9.1683000000000001E-2</v>
      </c>
      <c r="Z197">
        <v>0.118564</v>
      </c>
      <c r="AA197">
        <v>0.13771900000000001</v>
      </c>
      <c r="AB197">
        <v>5.9930000000000001E-3</v>
      </c>
      <c r="AC197">
        <v>0.12959499999999999</v>
      </c>
      <c r="AD197">
        <v>0.13558799999999999</v>
      </c>
      <c r="AE197">
        <v>16623</v>
      </c>
      <c r="AF197">
        <v>391</v>
      </c>
      <c r="AG197">
        <v>16624</v>
      </c>
      <c r="AH197">
        <v>341</v>
      </c>
      <c r="AI197">
        <v>609191</v>
      </c>
      <c r="AJ197">
        <v>615317</v>
      </c>
    </row>
    <row r="198" spans="1:36" x14ac:dyDescent="0.25">
      <c r="A198" t="s">
        <v>111</v>
      </c>
      <c r="B198">
        <v>7</v>
      </c>
      <c r="C198" t="s">
        <v>45</v>
      </c>
      <c r="D198" t="s">
        <v>45</v>
      </c>
      <c r="E198" t="s">
        <v>114</v>
      </c>
      <c r="F198">
        <v>0</v>
      </c>
      <c r="G198">
        <v>1.958970444228409</v>
      </c>
      <c r="W198">
        <v>6.9397999999999987E-2</v>
      </c>
      <c r="X198">
        <v>1.9932999999999999E-2</v>
      </c>
      <c r="Y198">
        <v>5.2849E-2</v>
      </c>
      <c r="Z198">
        <v>7.2781999999999999E-2</v>
      </c>
      <c r="AA198">
        <v>6.6064000000000012E-2</v>
      </c>
      <c r="AB198">
        <v>3.0019999999999999E-3</v>
      </c>
      <c r="AC198">
        <v>6.1721999999999999E-2</v>
      </c>
      <c r="AD198">
        <v>6.4724000000000004E-2</v>
      </c>
      <c r="AE198">
        <v>16623</v>
      </c>
      <c r="AF198">
        <v>391</v>
      </c>
      <c r="AG198">
        <v>16624</v>
      </c>
      <c r="AH198">
        <v>341</v>
      </c>
      <c r="AI198">
        <v>635808</v>
      </c>
      <c r="AJ198">
        <v>644051</v>
      </c>
    </row>
    <row r="199" spans="1:36" x14ac:dyDescent="0.25">
      <c r="A199" t="s">
        <v>111</v>
      </c>
      <c r="B199">
        <v>8</v>
      </c>
      <c r="C199" t="s">
        <v>45</v>
      </c>
      <c r="D199" t="s">
        <v>45</v>
      </c>
      <c r="E199" t="s">
        <v>114</v>
      </c>
      <c r="F199">
        <v>0</v>
      </c>
      <c r="G199">
        <v>1.958970444228409</v>
      </c>
      <c r="W199">
        <v>9.9019000000000024E-2</v>
      </c>
      <c r="X199">
        <v>1.9941E-2</v>
      </c>
      <c r="Y199">
        <v>8.3711999999999995E-2</v>
      </c>
      <c r="Z199">
        <v>0.103653</v>
      </c>
      <c r="AA199">
        <v>9.7509999999999986E-2</v>
      </c>
      <c r="AB199">
        <v>4.0019999999999995E-3</v>
      </c>
      <c r="AC199">
        <v>9.1953999999999994E-2</v>
      </c>
      <c r="AD199">
        <v>9.5956E-2</v>
      </c>
      <c r="AE199">
        <v>16623</v>
      </c>
      <c r="AF199">
        <v>391</v>
      </c>
      <c r="AG199">
        <v>16624</v>
      </c>
      <c r="AH199">
        <v>341</v>
      </c>
      <c r="AI199">
        <v>914610</v>
      </c>
      <c r="AJ199">
        <v>919301</v>
      </c>
    </row>
    <row r="200" spans="1:36" x14ac:dyDescent="0.25">
      <c r="A200" t="s">
        <v>111</v>
      </c>
      <c r="B200">
        <v>9</v>
      </c>
      <c r="C200" t="s">
        <v>45</v>
      </c>
      <c r="D200" t="s">
        <v>45</v>
      </c>
      <c r="E200" t="s">
        <v>114</v>
      </c>
      <c r="F200">
        <v>0</v>
      </c>
      <c r="G200">
        <v>1.9589704228921725</v>
      </c>
      <c r="W200">
        <v>0.116124</v>
      </c>
      <c r="X200">
        <v>1.7745E-2</v>
      </c>
      <c r="Y200">
        <v>0.102813</v>
      </c>
      <c r="Z200">
        <v>0.120558</v>
      </c>
      <c r="AA200">
        <v>0.14119999999999999</v>
      </c>
      <c r="AB200">
        <v>5.5829999999999994E-3</v>
      </c>
      <c r="AC200">
        <v>0.13417399999999999</v>
      </c>
      <c r="AD200">
        <v>0.13975699999999999</v>
      </c>
      <c r="AE200">
        <v>16623</v>
      </c>
      <c r="AF200">
        <v>391</v>
      </c>
      <c r="AG200">
        <v>16624</v>
      </c>
      <c r="AH200">
        <v>341</v>
      </c>
      <c r="AI200">
        <v>916172</v>
      </c>
      <c r="AJ200">
        <v>921388</v>
      </c>
    </row>
    <row r="201" spans="1:36" x14ac:dyDescent="0.25">
      <c r="A201" t="s">
        <v>111</v>
      </c>
      <c r="B201">
        <v>10</v>
      </c>
      <c r="C201" t="s">
        <v>45</v>
      </c>
      <c r="D201" t="s">
        <v>45</v>
      </c>
      <c r="E201" t="s">
        <v>114</v>
      </c>
      <c r="F201">
        <v>0</v>
      </c>
      <c r="G201">
        <v>1.958970444228409</v>
      </c>
      <c r="W201">
        <v>8.6444000000000007E-2</v>
      </c>
      <c r="X201">
        <v>2.2055999999999999E-2</v>
      </c>
      <c r="Y201">
        <v>6.8192000000000003E-2</v>
      </c>
      <c r="Z201">
        <v>9.0247999999999995E-2</v>
      </c>
      <c r="AA201">
        <v>7.5169E-2</v>
      </c>
      <c r="AB201">
        <v>4.3089999999999995E-3</v>
      </c>
      <c r="AC201">
        <v>6.9922999999999999E-2</v>
      </c>
      <c r="AD201">
        <v>7.4231999999999992E-2</v>
      </c>
      <c r="AE201">
        <v>16623</v>
      </c>
      <c r="AF201">
        <v>391</v>
      </c>
      <c r="AG201">
        <v>16624</v>
      </c>
      <c r="AH201">
        <v>341</v>
      </c>
      <c r="AI201">
        <v>1292214</v>
      </c>
      <c r="AJ201">
        <v>1311452</v>
      </c>
    </row>
    <row r="202" spans="1:36" x14ac:dyDescent="0.25">
      <c r="A202" t="s">
        <v>112</v>
      </c>
      <c r="B202">
        <v>1</v>
      </c>
      <c r="C202" t="s">
        <v>45</v>
      </c>
      <c r="D202" t="s">
        <v>45</v>
      </c>
      <c r="E202" t="s">
        <v>118</v>
      </c>
      <c r="F202">
        <v>200</v>
      </c>
      <c r="G202">
        <v>0</v>
      </c>
      <c r="W202">
        <v>8.2595000000000002E-2</v>
      </c>
      <c r="X202">
        <v>2.6107999999999999E-2</v>
      </c>
      <c r="Y202">
        <v>6.0236999999999999E-2</v>
      </c>
      <c r="Z202">
        <v>8.6345000000000005E-2</v>
      </c>
      <c r="AA202">
        <v>2.3918999999999996E-2</v>
      </c>
      <c r="AB202">
        <v>2.258E-3</v>
      </c>
      <c r="AC202">
        <v>2.0546999999999999E-2</v>
      </c>
      <c r="AD202">
        <v>2.2804999999999999E-2</v>
      </c>
      <c r="AE202">
        <v>16623</v>
      </c>
      <c r="AF202">
        <v>391</v>
      </c>
      <c r="AG202">
        <v>16624</v>
      </c>
      <c r="AH202">
        <v>341</v>
      </c>
      <c r="AI202">
        <v>67000</v>
      </c>
      <c r="AJ202">
        <v>80967</v>
      </c>
    </row>
    <row r="203" spans="1:36" x14ac:dyDescent="0.25">
      <c r="A203" t="s">
        <v>112</v>
      </c>
      <c r="B203">
        <v>2</v>
      </c>
      <c r="C203" t="s">
        <v>45</v>
      </c>
      <c r="D203" t="s">
        <v>45</v>
      </c>
      <c r="E203" t="s">
        <v>118</v>
      </c>
      <c r="F203">
        <v>200</v>
      </c>
      <c r="G203">
        <v>0</v>
      </c>
      <c r="W203">
        <v>8.8121000000000005E-2</v>
      </c>
      <c r="X203">
        <v>2.6762999999999999E-2</v>
      </c>
      <c r="Y203">
        <v>6.5401000000000001E-2</v>
      </c>
      <c r="Z203">
        <v>9.2163999999999996E-2</v>
      </c>
      <c r="AA203">
        <v>2.2394999999999998E-2</v>
      </c>
      <c r="AB203">
        <v>2.2399999999999998E-3</v>
      </c>
      <c r="AC203">
        <v>1.8851E-2</v>
      </c>
      <c r="AD203">
        <v>2.1090999999999999E-2</v>
      </c>
      <c r="AE203">
        <v>16623</v>
      </c>
      <c r="AF203">
        <v>391</v>
      </c>
      <c r="AG203">
        <v>16624</v>
      </c>
      <c r="AH203">
        <v>341</v>
      </c>
      <c r="AI203">
        <v>82656</v>
      </c>
      <c r="AJ203">
        <v>86513</v>
      </c>
    </row>
    <row r="204" spans="1:36" x14ac:dyDescent="0.25">
      <c r="A204" t="s">
        <v>112</v>
      </c>
      <c r="B204">
        <v>3</v>
      </c>
      <c r="C204" t="s">
        <v>45</v>
      </c>
      <c r="D204" t="s">
        <v>45</v>
      </c>
      <c r="E204" t="s">
        <v>118</v>
      </c>
      <c r="F204">
        <v>200</v>
      </c>
      <c r="G204">
        <v>0</v>
      </c>
      <c r="W204">
        <v>9.0872000000000008E-2</v>
      </c>
      <c r="X204">
        <v>3.7052999999999996E-2</v>
      </c>
      <c r="Y204">
        <v>5.8081000000000001E-2</v>
      </c>
      <c r="Z204">
        <v>9.5133999999999996E-2</v>
      </c>
      <c r="AA204">
        <v>2.3733999999999991E-2</v>
      </c>
      <c r="AB204">
        <v>3.4119999999999997E-3</v>
      </c>
      <c r="AC204">
        <v>1.8973999999999998E-2</v>
      </c>
      <c r="AD204">
        <v>2.2385999999999996E-2</v>
      </c>
      <c r="AE204">
        <v>16623</v>
      </c>
      <c r="AF204">
        <v>391</v>
      </c>
      <c r="AG204">
        <v>16624</v>
      </c>
      <c r="AH204">
        <v>341</v>
      </c>
      <c r="AI204">
        <v>543910</v>
      </c>
      <c r="AJ204">
        <v>551008</v>
      </c>
    </row>
    <row r="205" spans="1:36" x14ac:dyDescent="0.25">
      <c r="A205" t="s">
        <v>112</v>
      </c>
      <c r="B205">
        <v>4</v>
      </c>
      <c r="C205" t="s">
        <v>45</v>
      </c>
      <c r="D205" t="s">
        <v>45</v>
      </c>
      <c r="E205" t="s">
        <v>118</v>
      </c>
      <c r="F205">
        <v>200</v>
      </c>
      <c r="G205">
        <v>0</v>
      </c>
      <c r="W205">
        <v>7.2153000000000009E-2</v>
      </c>
      <c r="X205">
        <v>2.4906999999999999E-2</v>
      </c>
      <c r="Y205">
        <v>5.0782000000000001E-2</v>
      </c>
      <c r="Z205">
        <v>7.5689000000000006E-2</v>
      </c>
      <c r="AA205">
        <v>2.1281999999999995E-2</v>
      </c>
      <c r="AB205">
        <v>2.2469999999999999E-3</v>
      </c>
      <c r="AC205">
        <v>1.7843999999999999E-2</v>
      </c>
      <c r="AD205">
        <v>2.0090999999999998E-2</v>
      </c>
      <c r="AE205">
        <v>16623</v>
      </c>
      <c r="AF205">
        <v>391</v>
      </c>
      <c r="AG205">
        <v>16624</v>
      </c>
      <c r="AH205">
        <v>341</v>
      </c>
      <c r="AI205">
        <v>601639</v>
      </c>
      <c r="AJ205">
        <v>608784</v>
      </c>
    </row>
    <row r="206" spans="1:36" x14ac:dyDescent="0.25">
      <c r="A206" t="s">
        <v>112</v>
      </c>
      <c r="B206">
        <v>5</v>
      </c>
      <c r="C206" t="s">
        <v>45</v>
      </c>
      <c r="D206" t="s">
        <v>45</v>
      </c>
      <c r="E206" t="s">
        <v>118</v>
      </c>
      <c r="F206">
        <v>200</v>
      </c>
      <c r="G206">
        <v>0</v>
      </c>
      <c r="W206">
        <v>7.2155999999999998E-2</v>
      </c>
      <c r="X206">
        <v>1.8866999999999998E-2</v>
      </c>
      <c r="Y206">
        <v>5.6596E-2</v>
      </c>
      <c r="Z206">
        <v>7.5463000000000002E-2</v>
      </c>
      <c r="AA206">
        <v>2.1288000000000001E-2</v>
      </c>
      <c r="AB206">
        <v>2.2819999999999997E-3</v>
      </c>
      <c r="AC206">
        <v>1.7846999999999998E-2</v>
      </c>
      <c r="AD206">
        <v>2.0128999999999998E-2</v>
      </c>
      <c r="AE206">
        <v>16623</v>
      </c>
      <c r="AF206">
        <v>391</v>
      </c>
      <c r="AG206">
        <v>16624</v>
      </c>
      <c r="AH206">
        <v>341</v>
      </c>
      <c r="AI206">
        <v>615230</v>
      </c>
      <c r="AJ206">
        <v>621284</v>
      </c>
    </row>
    <row r="207" spans="1:36" x14ac:dyDescent="0.25">
      <c r="A207" t="s">
        <v>112</v>
      </c>
      <c r="B207">
        <v>6</v>
      </c>
      <c r="C207" t="s">
        <v>45</v>
      </c>
      <c r="D207" t="s">
        <v>45</v>
      </c>
      <c r="E207" t="s">
        <v>118</v>
      </c>
      <c r="F207">
        <v>200</v>
      </c>
      <c r="G207">
        <v>0</v>
      </c>
      <c r="W207">
        <v>8.7075000000000014E-2</v>
      </c>
      <c r="X207">
        <v>2.3073E-2</v>
      </c>
      <c r="Y207">
        <v>6.7191000000000001E-2</v>
      </c>
      <c r="Z207">
        <v>9.0263999999999997E-2</v>
      </c>
      <c r="AA207">
        <v>2.1723999999999993E-2</v>
      </c>
      <c r="AB207">
        <v>1.431E-3</v>
      </c>
      <c r="AC207">
        <v>1.9469999999999998E-2</v>
      </c>
      <c r="AD207">
        <v>2.0900999999999996E-2</v>
      </c>
      <c r="AE207">
        <v>16623</v>
      </c>
      <c r="AF207">
        <v>391</v>
      </c>
      <c r="AG207">
        <v>16624</v>
      </c>
      <c r="AH207">
        <v>341</v>
      </c>
      <c r="AI207">
        <v>1023158</v>
      </c>
      <c r="AJ207">
        <v>1231584</v>
      </c>
    </row>
    <row r="208" spans="1:36" x14ac:dyDescent="0.25">
      <c r="A208" t="s">
        <v>112</v>
      </c>
      <c r="B208">
        <v>7</v>
      </c>
      <c r="C208" t="s">
        <v>45</v>
      </c>
      <c r="D208" t="s">
        <v>45</v>
      </c>
      <c r="E208" t="s">
        <v>118</v>
      </c>
      <c r="F208">
        <v>200</v>
      </c>
      <c r="G208">
        <v>0</v>
      </c>
      <c r="W208">
        <v>0.10243000000000002</v>
      </c>
      <c r="X208">
        <v>1.7892999999999999E-2</v>
      </c>
      <c r="Y208">
        <v>8.8529999999999998E-2</v>
      </c>
      <c r="Z208">
        <v>0.10642299999999999</v>
      </c>
      <c r="AA208">
        <v>2.5590000000000002E-2</v>
      </c>
      <c r="AB208">
        <v>1.157E-3</v>
      </c>
      <c r="AC208">
        <v>2.3611E-2</v>
      </c>
      <c r="AD208">
        <v>2.4767999999999998E-2</v>
      </c>
      <c r="AE208">
        <v>16623</v>
      </c>
      <c r="AF208">
        <v>391</v>
      </c>
      <c r="AG208">
        <v>16624</v>
      </c>
      <c r="AH208">
        <v>341</v>
      </c>
      <c r="AI208">
        <v>1037125</v>
      </c>
      <c r="AJ208">
        <v>1244262</v>
      </c>
    </row>
    <row r="209" spans="1:36" x14ac:dyDescent="0.25">
      <c r="A209" t="s">
        <v>112</v>
      </c>
      <c r="B209">
        <v>8</v>
      </c>
      <c r="C209" t="s">
        <v>45</v>
      </c>
      <c r="D209" t="s">
        <v>45</v>
      </c>
      <c r="E209" t="s">
        <v>118</v>
      </c>
      <c r="F209">
        <v>200</v>
      </c>
      <c r="G209">
        <v>0</v>
      </c>
      <c r="W209">
        <v>9.9938999999999986E-2</v>
      </c>
      <c r="X209">
        <v>1.7867999999999998E-2</v>
      </c>
      <c r="Y209">
        <v>8.6352999999999999E-2</v>
      </c>
      <c r="Z209">
        <v>0.10422099999999999</v>
      </c>
      <c r="AA209">
        <v>2.5777000000000008E-2</v>
      </c>
      <c r="AB209">
        <v>1.1589999999999999E-3</v>
      </c>
      <c r="AC209">
        <v>2.3626999999999999E-2</v>
      </c>
      <c r="AD209">
        <v>2.4785999999999999E-2</v>
      </c>
      <c r="AE209">
        <v>16623</v>
      </c>
      <c r="AF209">
        <v>391</v>
      </c>
      <c r="AG209">
        <v>16624</v>
      </c>
      <c r="AH209">
        <v>341</v>
      </c>
      <c r="AI209">
        <v>1313460</v>
      </c>
      <c r="AJ209">
        <v>1399859</v>
      </c>
    </row>
    <row r="210" spans="1:36" x14ac:dyDescent="0.25">
      <c r="A210" t="s">
        <v>112</v>
      </c>
      <c r="B210">
        <v>9</v>
      </c>
      <c r="C210" t="s">
        <v>45</v>
      </c>
      <c r="D210" t="s">
        <v>45</v>
      </c>
      <c r="E210" t="s">
        <v>118</v>
      </c>
      <c r="F210">
        <v>200</v>
      </c>
      <c r="G210">
        <v>0</v>
      </c>
      <c r="W210">
        <v>9.1336000000000001E-2</v>
      </c>
      <c r="X210">
        <v>2.2848E-2</v>
      </c>
      <c r="Y210">
        <v>7.1603E-2</v>
      </c>
      <c r="Z210">
        <v>9.4451000000000007E-2</v>
      </c>
      <c r="AA210">
        <v>2.1488999999999994E-2</v>
      </c>
      <c r="AB210">
        <v>2.3990000000000001E-3</v>
      </c>
      <c r="AC210">
        <v>1.8387999999999998E-2</v>
      </c>
      <c r="AD210">
        <v>2.0787E-2</v>
      </c>
      <c r="AE210">
        <v>16623</v>
      </c>
      <c r="AF210">
        <v>391</v>
      </c>
      <c r="AG210">
        <v>16624</v>
      </c>
      <c r="AH210">
        <v>341</v>
      </c>
      <c r="AI210">
        <v>1416312</v>
      </c>
      <c r="AJ210">
        <v>1574609</v>
      </c>
    </row>
    <row r="211" spans="1:36" x14ac:dyDescent="0.25">
      <c r="A211" t="s">
        <v>112</v>
      </c>
      <c r="B211">
        <v>10</v>
      </c>
      <c r="C211" t="s">
        <v>45</v>
      </c>
      <c r="D211" t="s">
        <v>45</v>
      </c>
      <c r="E211" t="s">
        <v>118</v>
      </c>
      <c r="F211">
        <v>200</v>
      </c>
      <c r="G211">
        <v>0</v>
      </c>
      <c r="W211">
        <v>8.5552000000000003E-2</v>
      </c>
      <c r="X211">
        <v>2.4943999999999997E-2</v>
      </c>
      <c r="Y211">
        <v>6.4876000000000003E-2</v>
      </c>
      <c r="Z211">
        <v>8.9819999999999997E-2</v>
      </c>
      <c r="AA211">
        <v>2.2949999999999998E-2</v>
      </c>
      <c r="AB211">
        <v>3.3309999999999998E-3</v>
      </c>
      <c r="AC211">
        <v>1.8242999999999999E-2</v>
      </c>
      <c r="AD211">
        <v>2.1573999999999999E-2</v>
      </c>
      <c r="AE211">
        <v>16623</v>
      </c>
      <c r="AF211">
        <v>391</v>
      </c>
      <c r="AG211">
        <v>16624</v>
      </c>
      <c r="AH211">
        <v>341</v>
      </c>
      <c r="AI211">
        <v>1432098</v>
      </c>
      <c r="AJ211">
        <v>1586454</v>
      </c>
    </row>
    <row r="212" spans="1:36" x14ac:dyDescent="0.25">
      <c r="A212" t="s">
        <v>93</v>
      </c>
      <c r="B212">
        <v>1</v>
      </c>
      <c r="C212" t="s">
        <v>106</v>
      </c>
      <c r="D212" t="s">
        <v>107</v>
      </c>
      <c r="E212" t="s">
        <v>118</v>
      </c>
      <c r="F212">
        <v>204</v>
      </c>
      <c r="G212">
        <v>0</v>
      </c>
      <c r="W212">
        <v>8.4859999999999991E-2</v>
      </c>
      <c r="X212">
        <v>3.0622E-2</v>
      </c>
      <c r="Y212">
        <v>5.8259999999999999E-2</v>
      </c>
      <c r="Z212">
        <v>8.8882000000000003E-2</v>
      </c>
      <c r="AA212">
        <v>6.7880000000000024E-3</v>
      </c>
      <c r="AB212">
        <v>2.2079999999999999E-3</v>
      </c>
      <c r="AC212">
        <v>3.3E-3</v>
      </c>
      <c r="AD212">
        <v>5.5079999999999999E-3</v>
      </c>
      <c r="AE212">
        <v>16623</v>
      </c>
      <c r="AF212">
        <v>391</v>
      </c>
      <c r="AG212">
        <v>16624</v>
      </c>
      <c r="AH212">
        <v>341</v>
      </c>
      <c r="AI212">
        <v>67000</v>
      </c>
      <c r="AJ212">
        <v>81018</v>
      </c>
    </row>
    <row r="213" spans="1:36" x14ac:dyDescent="0.25">
      <c r="A213" t="s">
        <v>93</v>
      </c>
      <c r="B213">
        <v>2</v>
      </c>
      <c r="C213" t="s">
        <v>106</v>
      </c>
      <c r="D213" t="s">
        <v>107</v>
      </c>
      <c r="E213" t="s">
        <v>118</v>
      </c>
      <c r="F213">
        <v>204</v>
      </c>
      <c r="G213">
        <v>0</v>
      </c>
      <c r="W213">
        <v>0.11061200000000002</v>
      </c>
      <c r="X213">
        <v>2.8088999999999999E-2</v>
      </c>
      <c r="Y213">
        <v>8.7252999999999997E-2</v>
      </c>
      <c r="Z213">
        <v>0.115342</v>
      </c>
      <c r="AA213">
        <v>2.4574999999999986E-2</v>
      </c>
      <c r="AB213">
        <v>2.091E-3</v>
      </c>
      <c r="AC213">
        <v>5.215E-3</v>
      </c>
      <c r="AD213">
        <v>7.306E-3</v>
      </c>
      <c r="AE213">
        <v>16623</v>
      </c>
      <c r="AF213">
        <v>391</v>
      </c>
      <c r="AG213">
        <v>16624</v>
      </c>
      <c r="AH213">
        <v>341</v>
      </c>
      <c r="AI213">
        <v>86678</v>
      </c>
      <c r="AJ213">
        <v>91042</v>
      </c>
    </row>
    <row r="214" spans="1:36" x14ac:dyDescent="0.25">
      <c r="A214" t="s">
        <v>93</v>
      </c>
      <c r="B214">
        <v>3</v>
      </c>
      <c r="C214" t="s">
        <v>106</v>
      </c>
      <c r="D214" t="s">
        <v>107</v>
      </c>
      <c r="E214" t="s">
        <v>118</v>
      </c>
      <c r="F214">
        <v>204</v>
      </c>
      <c r="G214">
        <v>0</v>
      </c>
      <c r="W214">
        <v>0.11936600000000001</v>
      </c>
      <c r="X214">
        <v>3.2691999999999999E-2</v>
      </c>
      <c r="Y214">
        <v>9.1322E-2</v>
      </c>
      <c r="Z214">
        <v>0.124014</v>
      </c>
      <c r="AA214">
        <v>8.0529999999999907E-3</v>
      </c>
      <c r="AB214">
        <v>4.1159999999999999E-3</v>
      </c>
      <c r="AC214">
        <v>3.0829999999999998E-3</v>
      </c>
      <c r="AD214">
        <v>7.1989999999999997E-3</v>
      </c>
      <c r="AE214">
        <v>16623</v>
      </c>
      <c r="AF214">
        <v>391</v>
      </c>
      <c r="AG214">
        <v>16624</v>
      </c>
      <c r="AH214">
        <v>341</v>
      </c>
      <c r="AI214">
        <v>87186</v>
      </c>
      <c r="AJ214">
        <v>92421</v>
      </c>
    </row>
    <row r="215" spans="1:36" x14ac:dyDescent="0.25">
      <c r="A215" t="s">
        <v>93</v>
      </c>
      <c r="B215">
        <v>4</v>
      </c>
      <c r="C215" t="s">
        <v>106</v>
      </c>
      <c r="D215" t="s">
        <v>107</v>
      </c>
      <c r="E215" t="s">
        <v>118</v>
      </c>
      <c r="F215">
        <v>204</v>
      </c>
      <c r="G215">
        <v>0</v>
      </c>
      <c r="W215">
        <v>7.0321000000000009E-2</v>
      </c>
      <c r="X215">
        <v>2.1899999999999999E-2</v>
      </c>
      <c r="Y215">
        <v>5.1767000000000001E-2</v>
      </c>
      <c r="Z215">
        <v>7.3666999999999996E-2</v>
      </c>
      <c r="AA215">
        <v>6.0419999999999918E-3</v>
      </c>
      <c r="AB215">
        <v>1.9840000000000001E-3</v>
      </c>
      <c r="AC215">
        <v>2.9659999999999999E-3</v>
      </c>
      <c r="AD215">
        <v>4.9499999999999995E-3</v>
      </c>
      <c r="AE215">
        <v>16623</v>
      </c>
      <c r="AF215">
        <v>391</v>
      </c>
      <c r="AG215">
        <v>16624</v>
      </c>
      <c r="AH215">
        <v>341</v>
      </c>
      <c r="AI215">
        <v>575078</v>
      </c>
      <c r="AJ215">
        <v>589221</v>
      </c>
    </row>
    <row r="216" spans="1:36" x14ac:dyDescent="0.25">
      <c r="A216" t="s">
        <v>93</v>
      </c>
      <c r="B216">
        <v>5</v>
      </c>
      <c r="C216" t="s">
        <v>106</v>
      </c>
      <c r="D216" t="s">
        <v>107</v>
      </c>
      <c r="E216" t="s">
        <v>118</v>
      </c>
      <c r="F216">
        <v>204</v>
      </c>
      <c r="G216">
        <v>0</v>
      </c>
      <c r="W216">
        <v>0.113402</v>
      </c>
      <c r="X216">
        <v>4.0864999999999999E-2</v>
      </c>
      <c r="Y216">
        <v>7.7773999999999996E-2</v>
      </c>
      <c r="Z216">
        <v>0.11863899999999999</v>
      </c>
      <c r="AA216">
        <v>1.003699999999999E-2</v>
      </c>
      <c r="AB216">
        <v>4.2599999999999999E-3</v>
      </c>
      <c r="AC216">
        <v>4.2529999999999998E-3</v>
      </c>
      <c r="AD216">
        <v>8.5129999999999997E-3</v>
      </c>
      <c r="AE216">
        <v>16623</v>
      </c>
      <c r="AF216">
        <v>391</v>
      </c>
      <c r="AG216">
        <v>16624</v>
      </c>
      <c r="AH216">
        <v>341</v>
      </c>
      <c r="AI216">
        <v>607668</v>
      </c>
      <c r="AJ216">
        <v>612364</v>
      </c>
    </row>
    <row r="217" spans="1:36" x14ac:dyDescent="0.25">
      <c r="A217" t="s">
        <v>93</v>
      </c>
      <c r="B217">
        <v>6</v>
      </c>
      <c r="C217" t="s">
        <v>106</v>
      </c>
      <c r="D217" t="s">
        <v>107</v>
      </c>
      <c r="E217" t="s">
        <v>118</v>
      </c>
      <c r="F217">
        <v>204</v>
      </c>
      <c r="G217">
        <v>0</v>
      </c>
      <c r="W217">
        <v>0.113318</v>
      </c>
      <c r="X217">
        <v>2.6953999999999999E-2</v>
      </c>
      <c r="Y217">
        <v>9.1823999999999989E-2</v>
      </c>
      <c r="Z217">
        <v>0.11877799999999999</v>
      </c>
      <c r="AA217">
        <v>9.9950000000000039E-3</v>
      </c>
      <c r="AB217">
        <v>4.2309999999999995E-3</v>
      </c>
      <c r="AC217">
        <v>4.2239999999999995E-3</v>
      </c>
      <c r="AD217">
        <v>8.454999999999999E-3</v>
      </c>
      <c r="AE217">
        <v>16623</v>
      </c>
      <c r="AF217">
        <v>391</v>
      </c>
      <c r="AG217">
        <v>16624</v>
      </c>
      <c r="AH217">
        <v>341</v>
      </c>
      <c r="AI217">
        <v>608178</v>
      </c>
      <c r="AJ217">
        <v>613739</v>
      </c>
    </row>
    <row r="218" spans="1:36" x14ac:dyDescent="0.25">
      <c r="A218" t="s">
        <v>93</v>
      </c>
      <c r="B218">
        <v>7</v>
      </c>
      <c r="C218" t="s">
        <v>106</v>
      </c>
      <c r="D218" t="s">
        <v>107</v>
      </c>
      <c r="E218" t="s">
        <v>118</v>
      </c>
      <c r="F218">
        <v>204</v>
      </c>
      <c r="G218">
        <v>0</v>
      </c>
      <c r="W218">
        <v>6.9716999999999987E-2</v>
      </c>
      <c r="X218">
        <v>2.3001000000000001E-2</v>
      </c>
      <c r="Y218">
        <v>5.0047999999999995E-2</v>
      </c>
      <c r="Z218">
        <v>7.3049000000000003E-2</v>
      </c>
      <c r="AA218">
        <v>6.0030000000000083E-3</v>
      </c>
      <c r="AB218">
        <v>2.4510000000000001E-3</v>
      </c>
      <c r="AC218">
        <v>2.4519999999999998E-3</v>
      </c>
      <c r="AD218">
        <v>4.9029999999999994E-3</v>
      </c>
      <c r="AE218">
        <v>16623</v>
      </c>
      <c r="AF218">
        <v>391</v>
      </c>
      <c r="AG218">
        <v>16624</v>
      </c>
      <c r="AH218">
        <v>341</v>
      </c>
      <c r="AI218">
        <v>617728</v>
      </c>
      <c r="AJ218">
        <v>627232</v>
      </c>
    </row>
    <row r="219" spans="1:36" x14ac:dyDescent="0.25">
      <c r="A219" t="s">
        <v>93</v>
      </c>
      <c r="B219">
        <v>8</v>
      </c>
      <c r="C219" t="s">
        <v>106</v>
      </c>
      <c r="D219" t="s">
        <v>107</v>
      </c>
      <c r="E219" t="s">
        <v>118</v>
      </c>
      <c r="F219">
        <v>204</v>
      </c>
      <c r="G219">
        <v>0</v>
      </c>
      <c r="W219">
        <v>0.112803</v>
      </c>
      <c r="X219">
        <v>3.175E-2</v>
      </c>
      <c r="Y219">
        <v>8.6447999999999997E-2</v>
      </c>
      <c r="Z219">
        <v>0.118198</v>
      </c>
      <c r="AA219">
        <v>1.0099999999999998E-2</v>
      </c>
      <c r="AB219">
        <v>5.3099999999999996E-3</v>
      </c>
      <c r="AC219">
        <v>3.1819999999999999E-3</v>
      </c>
      <c r="AD219">
        <v>8.4919999999999995E-3</v>
      </c>
      <c r="AE219">
        <v>16623</v>
      </c>
      <c r="AF219">
        <v>391</v>
      </c>
      <c r="AG219">
        <v>16624</v>
      </c>
      <c r="AH219">
        <v>341</v>
      </c>
      <c r="AI219">
        <v>626245</v>
      </c>
      <c r="AJ219">
        <v>635509</v>
      </c>
    </row>
    <row r="220" spans="1:36" x14ac:dyDescent="0.25">
      <c r="A220" t="s">
        <v>93</v>
      </c>
      <c r="B220">
        <v>9</v>
      </c>
      <c r="C220" t="s">
        <v>106</v>
      </c>
      <c r="D220" t="s">
        <v>107</v>
      </c>
      <c r="E220" t="s">
        <v>118</v>
      </c>
      <c r="F220">
        <v>204</v>
      </c>
      <c r="G220">
        <v>0</v>
      </c>
      <c r="W220">
        <v>7.0785000000000001E-2</v>
      </c>
      <c r="X220">
        <v>2.1107000000000001E-2</v>
      </c>
      <c r="Y220">
        <v>5.3235999999999999E-2</v>
      </c>
      <c r="Z220">
        <v>7.4342999999999992E-2</v>
      </c>
      <c r="AA220">
        <v>5.9389999999999998E-3</v>
      </c>
      <c r="AB220">
        <v>3.8609999999999998E-3</v>
      </c>
      <c r="AC220">
        <v>9.6599999999999995E-4</v>
      </c>
      <c r="AD220">
        <v>4.8269999999999997E-3</v>
      </c>
      <c r="AE220">
        <v>16623</v>
      </c>
      <c r="AF220">
        <v>391</v>
      </c>
      <c r="AG220">
        <v>16624</v>
      </c>
      <c r="AH220">
        <v>341</v>
      </c>
      <c r="AI220">
        <v>635808</v>
      </c>
      <c r="AJ220">
        <v>641009</v>
      </c>
    </row>
    <row r="221" spans="1:36" x14ac:dyDescent="0.25">
      <c r="A221" t="s">
        <v>93</v>
      </c>
      <c r="B221">
        <v>10</v>
      </c>
      <c r="C221" t="s">
        <v>106</v>
      </c>
      <c r="D221" t="s">
        <v>107</v>
      </c>
      <c r="E221" t="s">
        <v>118</v>
      </c>
      <c r="F221">
        <v>204</v>
      </c>
      <c r="G221">
        <v>0</v>
      </c>
      <c r="W221">
        <v>0.12078899999999999</v>
      </c>
      <c r="X221">
        <v>3.2862999999999996E-2</v>
      </c>
      <c r="Y221">
        <v>9.2621999999999996E-2</v>
      </c>
      <c r="Z221">
        <v>0.12548499999999999</v>
      </c>
      <c r="AA221">
        <v>8.3770000000000094E-3</v>
      </c>
      <c r="AB221">
        <v>2.0690000000000001E-3</v>
      </c>
      <c r="AC221">
        <v>5.156E-3</v>
      </c>
      <c r="AD221">
        <v>7.2250000000000005E-3</v>
      </c>
      <c r="AE221">
        <v>16623</v>
      </c>
      <c r="AF221">
        <v>391</v>
      </c>
      <c r="AG221">
        <v>16624</v>
      </c>
      <c r="AH221">
        <v>341</v>
      </c>
      <c r="AI221">
        <v>906547</v>
      </c>
      <c r="AJ221">
        <v>915885</v>
      </c>
    </row>
    <row r="222" spans="1:36" x14ac:dyDescent="0.25">
      <c r="A222" t="s">
        <v>41</v>
      </c>
      <c r="B222">
        <v>1</v>
      </c>
      <c r="C222" t="s">
        <v>34</v>
      </c>
      <c r="D222" t="s">
        <v>46</v>
      </c>
      <c r="E222" t="s">
        <v>114</v>
      </c>
      <c r="F222">
        <v>0</v>
      </c>
      <c r="G222">
        <v>12.055857637172499</v>
      </c>
      <c r="I222">
        <v>7</v>
      </c>
      <c r="J222">
        <v>8</v>
      </c>
      <c r="K222">
        <v>8</v>
      </c>
      <c r="L222">
        <v>8</v>
      </c>
      <c r="M222">
        <v>0</v>
      </c>
      <c r="N222">
        <v>8</v>
      </c>
      <c r="O222">
        <v>0</v>
      </c>
      <c r="P222">
        <v>7</v>
      </c>
      <c r="Q222">
        <v>1.8735013540549517E-16</v>
      </c>
      <c r="R222">
        <v>7.0000000000000001E-3</v>
      </c>
      <c r="S222">
        <v>0</v>
      </c>
      <c r="T222">
        <v>116</v>
      </c>
      <c r="U222">
        <v>88</v>
      </c>
      <c r="V222">
        <v>0</v>
      </c>
      <c r="W222">
        <v>1.3978999999999998E-2</v>
      </c>
      <c r="X222">
        <v>5.9930000000000001E-3</v>
      </c>
      <c r="Y222">
        <v>1.0966999999999999E-2</v>
      </c>
      <c r="Z222">
        <v>1.6959999999999999E-2</v>
      </c>
      <c r="AA222">
        <v>1.2122000000000001E-2</v>
      </c>
      <c r="AB222">
        <v>3.0329999999999997E-3</v>
      </c>
      <c r="AC222">
        <v>8.8389999999999996E-3</v>
      </c>
      <c r="AD222">
        <v>1.1871999999999999E-2</v>
      </c>
      <c r="AE222">
        <v>6689</v>
      </c>
      <c r="AF222">
        <v>116</v>
      </c>
      <c r="AG222">
        <v>6722</v>
      </c>
      <c r="AH222">
        <v>88</v>
      </c>
      <c r="AI222">
        <v>76123</v>
      </c>
      <c r="AJ222">
        <v>81314</v>
      </c>
    </row>
    <row r="223" spans="1:36" x14ac:dyDescent="0.25">
      <c r="A223" t="s">
        <v>41</v>
      </c>
      <c r="B223">
        <v>2</v>
      </c>
      <c r="C223" t="s">
        <v>34</v>
      </c>
      <c r="D223" t="s">
        <v>46</v>
      </c>
      <c r="E223" t="s">
        <v>114</v>
      </c>
      <c r="F223">
        <v>0</v>
      </c>
      <c r="G223">
        <v>12.055857637172499</v>
      </c>
      <c r="I223">
        <v>7</v>
      </c>
      <c r="J223">
        <v>8</v>
      </c>
      <c r="K223">
        <v>8</v>
      </c>
      <c r="L223">
        <v>8</v>
      </c>
      <c r="M223">
        <v>0</v>
      </c>
      <c r="N223">
        <v>8</v>
      </c>
      <c r="O223">
        <v>0</v>
      </c>
      <c r="P223">
        <v>7</v>
      </c>
      <c r="Q223">
        <v>1.8735013540549517E-16</v>
      </c>
      <c r="R223">
        <v>6.0000000000000001E-3</v>
      </c>
      <c r="S223">
        <v>0</v>
      </c>
      <c r="T223">
        <v>116</v>
      </c>
      <c r="U223">
        <v>88</v>
      </c>
      <c r="V223">
        <v>0</v>
      </c>
      <c r="W223">
        <v>1.2097999999999999E-2</v>
      </c>
      <c r="X223">
        <v>4.0929999999999994E-3</v>
      </c>
      <c r="Y223">
        <v>1.1238999999999999E-2</v>
      </c>
      <c r="Z223">
        <v>1.5331999999999998E-2</v>
      </c>
      <c r="AA223">
        <v>1.0437E-2</v>
      </c>
      <c r="AB223">
        <v>1.8209999999999999E-3</v>
      </c>
      <c r="AC223">
        <v>8.3070000000000001E-3</v>
      </c>
      <c r="AD223">
        <v>1.0128E-2</v>
      </c>
      <c r="AE223">
        <v>6689</v>
      </c>
      <c r="AF223">
        <v>116</v>
      </c>
      <c r="AG223">
        <v>6722</v>
      </c>
      <c r="AH223">
        <v>88</v>
      </c>
      <c r="AI223">
        <v>88684</v>
      </c>
      <c r="AJ223">
        <v>94220</v>
      </c>
    </row>
    <row r="224" spans="1:36" x14ac:dyDescent="0.25">
      <c r="A224" t="s">
        <v>41</v>
      </c>
      <c r="B224">
        <v>3</v>
      </c>
      <c r="C224" t="s">
        <v>34</v>
      </c>
      <c r="D224" t="s">
        <v>46</v>
      </c>
      <c r="E224" t="s">
        <v>114</v>
      </c>
      <c r="F224">
        <v>0</v>
      </c>
      <c r="G224">
        <v>12.055857637172499</v>
      </c>
      <c r="I224">
        <v>7</v>
      </c>
      <c r="J224">
        <v>8</v>
      </c>
      <c r="K224">
        <v>8</v>
      </c>
      <c r="L224">
        <v>8</v>
      </c>
      <c r="M224">
        <v>0</v>
      </c>
      <c r="N224">
        <v>8</v>
      </c>
      <c r="O224">
        <v>0</v>
      </c>
      <c r="P224">
        <v>7</v>
      </c>
      <c r="Q224">
        <v>1.8735013540549517E-16</v>
      </c>
      <c r="R224">
        <v>1.2E-2</v>
      </c>
      <c r="S224">
        <v>0</v>
      </c>
      <c r="T224">
        <v>116</v>
      </c>
      <c r="U224">
        <v>88</v>
      </c>
      <c r="V224">
        <v>0</v>
      </c>
      <c r="W224">
        <v>1.9301000000000006E-2</v>
      </c>
      <c r="X224">
        <v>8.8269999999999998E-3</v>
      </c>
      <c r="Y224">
        <v>1.469E-2</v>
      </c>
      <c r="Z224">
        <v>2.3517E-2</v>
      </c>
      <c r="AA224">
        <v>1.8452999999999997E-2</v>
      </c>
      <c r="AB224">
        <v>4.1789999999999996E-3</v>
      </c>
      <c r="AC224">
        <v>1.3847999999999999E-2</v>
      </c>
      <c r="AD224">
        <v>1.8026999999999998E-2</v>
      </c>
      <c r="AE224">
        <v>6689</v>
      </c>
      <c r="AF224">
        <v>116</v>
      </c>
      <c r="AG224">
        <v>6722</v>
      </c>
      <c r="AH224">
        <v>88</v>
      </c>
      <c r="AI224">
        <v>89192</v>
      </c>
      <c r="AJ224">
        <v>95980</v>
      </c>
    </row>
    <row r="225" spans="1:36" x14ac:dyDescent="0.25">
      <c r="A225" t="s">
        <v>41</v>
      </c>
      <c r="B225">
        <v>4</v>
      </c>
      <c r="C225" t="s">
        <v>34</v>
      </c>
      <c r="D225" t="s">
        <v>46</v>
      </c>
      <c r="E225" t="s">
        <v>114</v>
      </c>
      <c r="F225">
        <v>0</v>
      </c>
      <c r="G225">
        <v>12.055857637172499</v>
      </c>
      <c r="I225">
        <v>7</v>
      </c>
      <c r="J225">
        <v>8</v>
      </c>
      <c r="K225">
        <v>8</v>
      </c>
      <c r="L225">
        <v>8</v>
      </c>
      <c r="M225">
        <v>0</v>
      </c>
      <c r="N225">
        <v>8</v>
      </c>
      <c r="O225">
        <v>0</v>
      </c>
      <c r="P225">
        <v>7</v>
      </c>
      <c r="Q225">
        <v>1.8735013540549517E-16</v>
      </c>
      <c r="R225">
        <v>6.0000000000000001E-3</v>
      </c>
      <c r="S225">
        <v>0</v>
      </c>
      <c r="T225">
        <v>116</v>
      </c>
      <c r="U225">
        <v>88</v>
      </c>
      <c r="V225">
        <v>0</v>
      </c>
      <c r="W225">
        <v>1.1876000000000003E-2</v>
      </c>
      <c r="X225">
        <v>5.2759999999999994E-3</v>
      </c>
      <c r="Y225">
        <v>9.5239999999999995E-3</v>
      </c>
      <c r="Z225">
        <v>1.4799999999999999E-2</v>
      </c>
      <c r="AA225">
        <v>1.0621999999999998E-2</v>
      </c>
      <c r="AB225">
        <v>3.6279999999999997E-3</v>
      </c>
      <c r="AC225">
        <v>6.6649999999999999E-3</v>
      </c>
      <c r="AD225">
        <v>1.0293E-2</v>
      </c>
      <c r="AE225">
        <v>6689</v>
      </c>
      <c r="AF225">
        <v>116</v>
      </c>
      <c r="AG225">
        <v>6722</v>
      </c>
      <c r="AH225">
        <v>88</v>
      </c>
      <c r="AI225">
        <v>575078</v>
      </c>
      <c r="AJ225">
        <v>590422</v>
      </c>
    </row>
    <row r="226" spans="1:36" x14ac:dyDescent="0.25">
      <c r="A226" t="s">
        <v>41</v>
      </c>
      <c r="B226">
        <v>5</v>
      </c>
      <c r="C226" t="s">
        <v>34</v>
      </c>
      <c r="D226" t="s">
        <v>46</v>
      </c>
      <c r="E226" t="s">
        <v>114</v>
      </c>
      <c r="F226">
        <v>0</v>
      </c>
      <c r="G226">
        <v>12.055857637172499</v>
      </c>
      <c r="I226">
        <v>7</v>
      </c>
      <c r="J226">
        <v>8</v>
      </c>
      <c r="K226">
        <v>8</v>
      </c>
      <c r="L226">
        <v>8</v>
      </c>
      <c r="M226">
        <v>0</v>
      </c>
      <c r="N226">
        <v>8</v>
      </c>
      <c r="O226">
        <v>0</v>
      </c>
      <c r="P226">
        <v>7</v>
      </c>
      <c r="Q226">
        <v>1.8735013540549517E-16</v>
      </c>
      <c r="R226">
        <v>6.0000000000000001E-3</v>
      </c>
      <c r="S226">
        <v>0</v>
      </c>
      <c r="T226">
        <v>116</v>
      </c>
      <c r="U226">
        <v>88</v>
      </c>
      <c r="V226">
        <v>0</v>
      </c>
      <c r="W226">
        <v>1.1649E-2</v>
      </c>
      <c r="X226">
        <v>5.104E-3</v>
      </c>
      <c r="Y226">
        <v>9.1959999999999993E-3</v>
      </c>
      <c r="Z226">
        <v>1.43E-2</v>
      </c>
      <c r="AA226">
        <v>1.0258E-2</v>
      </c>
      <c r="AB226">
        <v>5.62E-4</v>
      </c>
      <c r="AC226">
        <v>9.4289999999999999E-3</v>
      </c>
      <c r="AD226">
        <v>9.9909999999999999E-3</v>
      </c>
      <c r="AE226">
        <v>6689</v>
      </c>
      <c r="AF226">
        <v>116</v>
      </c>
      <c r="AG226">
        <v>6722</v>
      </c>
      <c r="AH226">
        <v>88</v>
      </c>
      <c r="AI226">
        <v>609686</v>
      </c>
      <c r="AJ226">
        <v>615037</v>
      </c>
    </row>
    <row r="227" spans="1:36" x14ac:dyDescent="0.25">
      <c r="A227" t="s">
        <v>41</v>
      </c>
      <c r="B227">
        <v>6</v>
      </c>
      <c r="C227" t="s">
        <v>34</v>
      </c>
      <c r="D227" t="s">
        <v>46</v>
      </c>
      <c r="E227" t="s">
        <v>114</v>
      </c>
      <c r="F227">
        <v>0</v>
      </c>
      <c r="G227">
        <v>12.055857637172499</v>
      </c>
      <c r="I227">
        <v>7</v>
      </c>
      <c r="J227">
        <v>8</v>
      </c>
      <c r="K227">
        <v>8</v>
      </c>
      <c r="L227">
        <v>8</v>
      </c>
      <c r="M227">
        <v>0</v>
      </c>
      <c r="N227">
        <v>8</v>
      </c>
      <c r="O227">
        <v>0</v>
      </c>
      <c r="P227">
        <v>7</v>
      </c>
      <c r="Q227">
        <v>1.8735013540549517E-16</v>
      </c>
      <c r="R227">
        <v>7.0000000000000001E-3</v>
      </c>
      <c r="S227">
        <v>0</v>
      </c>
      <c r="T227">
        <v>116</v>
      </c>
      <c r="U227">
        <v>88</v>
      </c>
      <c r="V227">
        <v>0</v>
      </c>
      <c r="W227">
        <v>1.4632000000000001E-2</v>
      </c>
      <c r="X227">
        <v>9.4920000000000004E-3</v>
      </c>
      <c r="Y227">
        <v>8.5240000000000003E-3</v>
      </c>
      <c r="Z227">
        <v>1.8016000000000001E-2</v>
      </c>
      <c r="AA227">
        <v>1.1662E-2</v>
      </c>
      <c r="AB227">
        <v>3.973E-3</v>
      </c>
      <c r="AC227">
        <v>7.3929999999999994E-3</v>
      </c>
      <c r="AD227">
        <v>1.1365999999999999E-2</v>
      </c>
      <c r="AE227">
        <v>6689</v>
      </c>
      <c r="AF227">
        <v>116</v>
      </c>
      <c r="AG227">
        <v>6722</v>
      </c>
      <c r="AH227">
        <v>88</v>
      </c>
      <c r="AI227">
        <v>610202</v>
      </c>
      <c r="AJ227">
        <v>615114</v>
      </c>
    </row>
    <row r="228" spans="1:36" x14ac:dyDescent="0.25">
      <c r="A228" t="s">
        <v>41</v>
      </c>
      <c r="B228">
        <v>7</v>
      </c>
      <c r="C228" t="s">
        <v>34</v>
      </c>
      <c r="D228" t="s">
        <v>46</v>
      </c>
      <c r="E228" t="s">
        <v>114</v>
      </c>
      <c r="F228">
        <v>0</v>
      </c>
      <c r="G228">
        <v>12.055857637172499</v>
      </c>
      <c r="I228">
        <v>7</v>
      </c>
      <c r="J228">
        <v>8</v>
      </c>
      <c r="K228">
        <v>8</v>
      </c>
      <c r="L228">
        <v>8</v>
      </c>
      <c r="M228">
        <v>0</v>
      </c>
      <c r="N228">
        <v>8</v>
      </c>
      <c r="O228">
        <v>0</v>
      </c>
      <c r="P228">
        <v>7</v>
      </c>
      <c r="Q228">
        <v>1.8735013540549517E-16</v>
      </c>
      <c r="R228">
        <v>7.0000000000000001E-3</v>
      </c>
      <c r="S228">
        <v>0</v>
      </c>
      <c r="T228">
        <v>116</v>
      </c>
      <c r="U228">
        <v>88</v>
      </c>
      <c r="V228">
        <v>0</v>
      </c>
      <c r="W228">
        <v>1.1880999999999997E-2</v>
      </c>
      <c r="X228">
        <v>5.5169999999999993E-3</v>
      </c>
      <c r="Y228">
        <v>9.1979999999999996E-3</v>
      </c>
      <c r="Z228">
        <v>1.4714999999999999E-2</v>
      </c>
      <c r="AA228">
        <v>1.1011000000000002E-2</v>
      </c>
      <c r="AB228">
        <v>2.1999999999999997E-3</v>
      </c>
      <c r="AC228">
        <v>8.5159999999999993E-3</v>
      </c>
      <c r="AD228">
        <v>1.0716E-2</v>
      </c>
      <c r="AE228">
        <v>6689</v>
      </c>
      <c r="AF228">
        <v>116</v>
      </c>
      <c r="AG228">
        <v>6722</v>
      </c>
      <c r="AH228">
        <v>88</v>
      </c>
      <c r="AI228">
        <v>635808</v>
      </c>
      <c r="AJ228">
        <v>645261</v>
      </c>
    </row>
    <row r="229" spans="1:36" x14ac:dyDescent="0.25">
      <c r="A229" t="s">
        <v>41</v>
      </c>
      <c r="B229">
        <v>8</v>
      </c>
      <c r="C229" t="s">
        <v>34</v>
      </c>
      <c r="D229" t="s">
        <v>46</v>
      </c>
      <c r="E229" t="s">
        <v>114</v>
      </c>
      <c r="F229">
        <v>0</v>
      </c>
      <c r="G229">
        <v>12.055857637172499</v>
      </c>
      <c r="I229">
        <v>7</v>
      </c>
      <c r="J229">
        <v>8</v>
      </c>
      <c r="K229">
        <v>8</v>
      </c>
      <c r="L229">
        <v>8</v>
      </c>
      <c r="M229">
        <v>0</v>
      </c>
      <c r="N229">
        <v>8</v>
      </c>
      <c r="O229">
        <v>0</v>
      </c>
      <c r="P229">
        <v>7</v>
      </c>
      <c r="Q229">
        <v>1.8735013540549517E-16</v>
      </c>
      <c r="R229">
        <v>8.0000000000000002E-3</v>
      </c>
      <c r="S229">
        <v>0</v>
      </c>
      <c r="T229">
        <v>116</v>
      </c>
      <c r="U229">
        <v>88</v>
      </c>
      <c r="V229">
        <v>0</v>
      </c>
      <c r="W229">
        <v>1.5221E-2</v>
      </c>
      <c r="X229">
        <v>5.0209999999999994E-3</v>
      </c>
      <c r="Y229">
        <v>1.4123999999999999E-2</v>
      </c>
      <c r="Z229">
        <v>1.9144999999999999E-2</v>
      </c>
      <c r="AA229">
        <v>1.341E-2</v>
      </c>
      <c r="AB229">
        <v>1.521E-3</v>
      </c>
      <c r="AC229">
        <v>1.1443999999999999E-2</v>
      </c>
      <c r="AD229">
        <v>1.2964999999999999E-2</v>
      </c>
      <c r="AE229">
        <v>6689</v>
      </c>
      <c r="AF229">
        <v>116</v>
      </c>
      <c r="AG229">
        <v>6722</v>
      </c>
      <c r="AH229">
        <v>88</v>
      </c>
      <c r="AI229">
        <v>914611</v>
      </c>
      <c r="AJ229">
        <v>920560</v>
      </c>
    </row>
    <row r="230" spans="1:36" x14ac:dyDescent="0.25">
      <c r="A230" t="s">
        <v>41</v>
      </c>
      <c r="B230">
        <v>9</v>
      </c>
      <c r="C230" t="s">
        <v>34</v>
      </c>
      <c r="D230" t="s">
        <v>46</v>
      </c>
      <c r="E230" t="s">
        <v>114</v>
      </c>
      <c r="F230">
        <v>0</v>
      </c>
      <c r="G230">
        <v>12.055857637172499</v>
      </c>
      <c r="I230">
        <v>7</v>
      </c>
      <c r="J230">
        <v>8</v>
      </c>
      <c r="K230">
        <v>8</v>
      </c>
      <c r="L230">
        <v>8</v>
      </c>
      <c r="M230">
        <v>0</v>
      </c>
      <c r="N230">
        <v>8</v>
      </c>
      <c r="O230">
        <v>0</v>
      </c>
      <c r="P230">
        <v>7</v>
      </c>
      <c r="Q230">
        <v>1.8735013540549517E-16</v>
      </c>
      <c r="R230">
        <v>8.0000000000000002E-3</v>
      </c>
      <c r="S230">
        <v>0</v>
      </c>
      <c r="T230">
        <v>116</v>
      </c>
      <c r="U230">
        <v>88</v>
      </c>
      <c r="V230">
        <v>0</v>
      </c>
      <c r="W230">
        <v>1.5174E-2</v>
      </c>
      <c r="X230">
        <v>5.9249999999999997E-3</v>
      </c>
      <c r="Y230">
        <v>1.2888E-2</v>
      </c>
      <c r="Z230">
        <v>1.8813E-2</v>
      </c>
      <c r="AA230">
        <v>1.3544E-2</v>
      </c>
      <c r="AB230">
        <v>3.1209999999999996E-3</v>
      </c>
      <c r="AC230">
        <v>1.0067999999999999E-2</v>
      </c>
      <c r="AD230">
        <v>1.3188999999999999E-2</v>
      </c>
      <c r="AE230">
        <v>6689</v>
      </c>
      <c r="AF230">
        <v>116</v>
      </c>
      <c r="AG230">
        <v>6722</v>
      </c>
      <c r="AH230">
        <v>88</v>
      </c>
      <c r="AI230">
        <v>916173</v>
      </c>
      <c r="AJ230">
        <v>921809</v>
      </c>
    </row>
    <row r="231" spans="1:36" x14ac:dyDescent="0.25">
      <c r="A231" t="s">
        <v>41</v>
      </c>
      <c r="B231">
        <v>10</v>
      </c>
      <c r="C231" t="s">
        <v>34</v>
      </c>
      <c r="D231" t="s">
        <v>46</v>
      </c>
      <c r="E231" t="s">
        <v>114</v>
      </c>
      <c r="F231">
        <v>0</v>
      </c>
      <c r="G231">
        <v>12.055857637172499</v>
      </c>
      <c r="I231">
        <v>7</v>
      </c>
      <c r="J231">
        <v>8</v>
      </c>
      <c r="K231">
        <v>8</v>
      </c>
      <c r="L231">
        <v>8</v>
      </c>
      <c r="M231">
        <v>0</v>
      </c>
      <c r="N231">
        <v>8</v>
      </c>
      <c r="O231">
        <v>0</v>
      </c>
      <c r="P231">
        <v>7</v>
      </c>
      <c r="Q231">
        <v>1.8735013540549517E-16</v>
      </c>
      <c r="R231">
        <v>6.0000000000000001E-3</v>
      </c>
      <c r="S231">
        <v>0</v>
      </c>
      <c r="T231">
        <v>116</v>
      </c>
      <c r="U231">
        <v>88</v>
      </c>
      <c r="V231">
        <v>0</v>
      </c>
      <c r="W231">
        <v>1.2592000000000002E-2</v>
      </c>
      <c r="X231">
        <v>5.8309999999999994E-3</v>
      </c>
      <c r="Y231">
        <v>9.6799999999999994E-3</v>
      </c>
      <c r="Z231">
        <v>1.5510999999999999E-2</v>
      </c>
      <c r="AA231">
        <v>1.1002999999999999E-2</v>
      </c>
      <c r="AB231">
        <v>1.256E-3</v>
      </c>
      <c r="AC231">
        <v>9.4719999999999995E-3</v>
      </c>
      <c r="AD231">
        <v>1.0728E-2</v>
      </c>
      <c r="AE231">
        <v>6689</v>
      </c>
      <c r="AF231">
        <v>116</v>
      </c>
      <c r="AG231">
        <v>6722</v>
      </c>
      <c r="AH231">
        <v>88</v>
      </c>
      <c r="AI231">
        <v>1292214</v>
      </c>
      <c r="AJ231">
        <v>1311494</v>
      </c>
    </row>
    <row r="232" spans="1:36" x14ac:dyDescent="0.25">
      <c r="A232" t="s">
        <v>42</v>
      </c>
      <c r="B232">
        <v>1</v>
      </c>
      <c r="C232" t="s">
        <v>34</v>
      </c>
      <c r="D232" t="s">
        <v>46</v>
      </c>
      <c r="E232" t="s">
        <v>114</v>
      </c>
      <c r="F232">
        <v>0</v>
      </c>
      <c r="G232">
        <v>52268.371748935388</v>
      </c>
      <c r="H232">
        <v>13234.979473170019</v>
      </c>
      <c r="I232">
        <v>144</v>
      </c>
      <c r="J232">
        <v>156</v>
      </c>
      <c r="K232">
        <v>143</v>
      </c>
      <c r="L232">
        <v>156</v>
      </c>
      <c r="M232">
        <v>156</v>
      </c>
      <c r="N232">
        <v>147</v>
      </c>
      <c r="O232">
        <v>147</v>
      </c>
      <c r="P232">
        <v>144</v>
      </c>
      <c r="Q232">
        <v>6.5291771988995606E-11</v>
      </c>
      <c r="R232">
        <v>28.417999999999999</v>
      </c>
      <c r="S232">
        <v>253.08099999999999</v>
      </c>
      <c r="T232">
        <v>14854</v>
      </c>
      <c r="U232">
        <v>14228</v>
      </c>
      <c r="V232">
        <v>480</v>
      </c>
      <c r="W232">
        <v>22.678360999999995</v>
      </c>
      <c r="X232">
        <v>2.428633</v>
      </c>
      <c r="Y232">
        <v>20.258065999999999</v>
      </c>
      <c r="Z232">
        <v>22.686699000000001</v>
      </c>
      <c r="AA232">
        <v>283.47363100000001</v>
      </c>
      <c r="AB232">
        <v>1.129802</v>
      </c>
      <c r="AC232">
        <v>281.50518699999998</v>
      </c>
      <c r="AD232">
        <v>282.63498899999996</v>
      </c>
      <c r="AE232">
        <v>2460541</v>
      </c>
      <c r="AF232">
        <v>14854</v>
      </c>
      <c r="AG232">
        <v>2467453</v>
      </c>
      <c r="AH232">
        <v>14708</v>
      </c>
      <c r="AI232">
        <v>81147</v>
      </c>
      <c r="AJ232">
        <v>390086</v>
      </c>
    </row>
    <row r="233" spans="1:36" x14ac:dyDescent="0.25">
      <c r="A233" t="s">
        <v>42</v>
      </c>
      <c r="B233">
        <v>2</v>
      </c>
      <c r="C233" t="s">
        <v>34</v>
      </c>
      <c r="D233" t="s">
        <v>46</v>
      </c>
      <c r="E233" t="s">
        <v>114</v>
      </c>
      <c r="F233">
        <v>0</v>
      </c>
      <c r="G233">
        <v>52268.371748935388</v>
      </c>
      <c r="H233">
        <v>13234.979473170019</v>
      </c>
      <c r="I233">
        <v>144</v>
      </c>
      <c r="J233">
        <v>156</v>
      </c>
      <c r="K233">
        <v>143</v>
      </c>
      <c r="L233">
        <v>156</v>
      </c>
      <c r="M233">
        <v>156</v>
      </c>
      <c r="N233">
        <v>147</v>
      </c>
      <c r="O233">
        <v>147</v>
      </c>
      <c r="P233">
        <v>144</v>
      </c>
      <c r="Q233">
        <v>6.5291771988995606E-11</v>
      </c>
      <c r="R233">
        <v>28.352</v>
      </c>
      <c r="S233">
        <v>254.58199999999999</v>
      </c>
      <c r="T233">
        <v>14854</v>
      </c>
      <c r="U233">
        <v>14228</v>
      </c>
      <c r="V233">
        <v>480</v>
      </c>
      <c r="W233">
        <v>23.742408999999952</v>
      </c>
      <c r="X233">
        <v>2.4873099999999999</v>
      </c>
      <c r="Y233">
        <v>21.247955999999999</v>
      </c>
      <c r="Z233">
        <v>23.735265999999999</v>
      </c>
      <c r="AA233">
        <v>284.77162800000002</v>
      </c>
      <c r="AB233">
        <v>1.175278</v>
      </c>
      <c r="AC233">
        <v>282.85091399999999</v>
      </c>
      <c r="AD233">
        <v>284.02619199999998</v>
      </c>
      <c r="AE233">
        <v>2460541</v>
      </c>
      <c r="AF233">
        <v>14854</v>
      </c>
      <c r="AG233">
        <v>2467453</v>
      </c>
      <c r="AH233">
        <v>14708</v>
      </c>
      <c r="AI233">
        <v>94720</v>
      </c>
      <c r="AJ233">
        <v>410212</v>
      </c>
    </row>
    <row r="234" spans="1:36" x14ac:dyDescent="0.25">
      <c r="A234" t="s">
        <v>42</v>
      </c>
      <c r="B234">
        <v>3</v>
      </c>
      <c r="C234" t="s">
        <v>34</v>
      </c>
      <c r="D234" t="s">
        <v>46</v>
      </c>
      <c r="E234" t="s">
        <v>114</v>
      </c>
      <c r="F234">
        <v>0</v>
      </c>
      <c r="G234">
        <v>52268.371748935388</v>
      </c>
      <c r="H234">
        <v>13234.979473170019</v>
      </c>
      <c r="I234">
        <v>144</v>
      </c>
      <c r="J234">
        <v>156</v>
      </c>
      <c r="K234">
        <v>143</v>
      </c>
      <c r="L234">
        <v>156</v>
      </c>
      <c r="M234">
        <v>156</v>
      </c>
      <c r="N234">
        <v>147</v>
      </c>
      <c r="O234">
        <v>147</v>
      </c>
      <c r="P234">
        <v>144</v>
      </c>
      <c r="Q234">
        <v>6.5291771988995606E-11</v>
      </c>
      <c r="R234">
        <v>27.591999999999999</v>
      </c>
      <c r="S234">
        <v>250.31200000000001</v>
      </c>
      <c r="T234">
        <v>14854</v>
      </c>
      <c r="U234">
        <v>14228</v>
      </c>
      <c r="V234">
        <v>480</v>
      </c>
      <c r="W234">
        <v>22.788644999999974</v>
      </c>
      <c r="X234">
        <v>2.5744069999999999</v>
      </c>
      <c r="Y234">
        <v>20.218579999999999</v>
      </c>
      <c r="Z234">
        <v>22.792987</v>
      </c>
      <c r="AA234">
        <v>279.69860500000004</v>
      </c>
      <c r="AB234">
        <v>1.036486</v>
      </c>
      <c r="AC234">
        <v>277.860209</v>
      </c>
      <c r="AD234">
        <v>278.89669500000002</v>
      </c>
      <c r="AE234">
        <v>2460541</v>
      </c>
      <c r="AF234">
        <v>14854</v>
      </c>
      <c r="AG234">
        <v>2467453</v>
      </c>
      <c r="AH234">
        <v>14708</v>
      </c>
      <c r="AI234">
        <v>97266</v>
      </c>
      <c r="AJ234">
        <v>407452</v>
      </c>
    </row>
    <row r="235" spans="1:36" x14ac:dyDescent="0.25">
      <c r="A235" t="s">
        <v>42</v>
      </c>
      <c r="B235">
        <v>4</v>
      </c>
      <c r="C235" t="s">
        <v>34</v>
      </c>
      <c r="D235" t="s">
        <v>46</v>
      </c>
      <c r="E235" t="s">
        <v>114</v>
      </c>
      <c r="F235">
        <v>0</v>
      </c>
      <c r="G235">
        <v>52268.371748935388</v>
      </c>
      <c r="H235">
        <v>13234.979473170019</v>
      </c>
      <c r="I235">
        <v>144</v>
      </c>
      <c r="J235">
        <v>156</v>
      </c>
      <c r="K235">
        <v>143</v>
      </c>
      <c r="L235">
        <v>156</v>
      </c>
      <c r="M235">
        <v>156</v>
      </c>
      <c r="N235">
        <v>147</v>
      </c>
      <c r="O235">
        <v>147</v>
      </c>
      <c r="P235">
        <v>144</v>
      </c>
      <c r="Q235">
        <v>6.5291771988995606E-11</v>
      </c>
      <c r="R235">
        <v>24.913</v>
      </c>
      <c r="S235">
        <v>214.489</v>
      </c>
      <c r="T235">
        <v>14854</v>
      </c>
      <c r="U235">
        <v>14228</v>
      </c>
      <c r="V235">
        <v>480</v>
      </c>
      <c r="W235">
        <v>22.109082000000029</v>
      </c>
      <c r="X235">
        <v>2.2681550000000001</v>
      </c>
      <c r="Y235">
        <v>19.833718000000001</v>
      </c>
      <c r="Z235">
        <v>22.101873000000001</v>
      </c>
      <c r="AA235">
        <v>240.98477499999998</v>
      </c>
      <c r="AB235">
        <v>1.1301509999999999</v>
      </c>
      <c r="AC235">
        <v>239.12961100000001</v>
      </c>
      <c r="AD235">
        <v>240.25976200000002</v>
      </c>
      <c r="AE235">
        <v>2460541</v>
      </c>
      <c r="AF235">
        <v>14854</v>
      </c>
      <c r="AG235">
        <v>2467453</v>
      </c>
      <c r="AH235">
        <v>14708</v>
      </c>
      <c r="AI235">
        <v>637316</v>
      </c>
      <c r="AJ235">
        <v>909725</v>
      </c>
    </row>
    <row r="236" spans="1:36" x14ac:dyDescent="0.25">
      <c r="A236" t="s">
        <v>42</v>
      </c>
      <c r="B236">
        <v>5</v>
      </c>
      <c r="C236" t="s">
        <v>45</v>
      </c>
      <c r="D236" t="s">
        <v>45</v>
      </c>
      <c r="E236" t="s">
        <v>45</v>
      </c>
      <c r="AI236">
        <v>638840</v>
      </c>
      <c r="AJ236">
        <v>699261</v>
      </c>
    </row>
    <row r="237" spans="1:36" x14ac:dyDescent="0.25">
      <c r="A237" t="s">
        <v>42</v>
      </c>
      <c r="B237">
        <v>6</v>
      </c>
      <c r="C237" t="s">
        <v>34</v>
      </c>
      <c r="D237" t="s">
        <v>46</v>
      </c>
      <c r="E237" t="s">
        <v>45</v>
      </c>
      <c r="T237">
        <v>14854</v>
      </c>
      <c r="U237">
        <v>14228</v>
      </c>
      <c r="V237">
        <v>480</v>
      </c>
      <c r="AI237">
        <v>917642</v>
      </c>
      <c r="AJ237">
        <v>1244195</v>
      </c>
    </row>
    <row r="238" spans="1:36" x14ac:dyDescent="0.25">
      <c r="A238" t="s">
        <v>42</v>
      </c>
      <c r="B238">
        <v>7</v>
      </c>
      <c r="C238" t="s">
        <v>34</v>
      </c>
      <c r="D238" t="s">
        <v>46</v>
      </c>
      <c r="E238" t="s">
        <v>114</v>
      </c>
      <c r="F238">
        <v>0</v>
      </c>
      <c r="G238">
        <v>52268.371748935388</v>
      </c>
      <c r="H238">
        <v>13234.979473170019</v>
      </c>
      <c r="I238">
        <v>144</v>
      </c>
      <c r="J238">
        <v>156</v>
      </c>
      <c r="K238">
        <v>143</v>
      </c>
      <c r="L238">
        <v>156</v>
      </c>
      <c r="M238">
        <v>156</v>
      </c>
      <c r="N238">
        <v>147</v>
      </c>
      <c r="O238">
        <v>147</v>
      </c>
      <c r="P238">
        <v>144</v>
      </c>
      <c r="Q238">
        <v>6.5291771988995606E-11</v>
      </c>
      <c r="R238">
        <v>25.645</v>
      </c>
      <c r="S238">
        <v>221.685</v>
      </c>
      <c r="T238">
        <v>14854</v>
      </c>
      <c r="U238">
        <v>14228</v>
      </c>
      <c r="V238">
        <v>480</v>
      </c>
      <c r="W238">
        <v>25.480088999999992</v>
      </c>
      <c r="X238">
        <v>2.913748</v>
      </c>
      <c r="Y238">
        <v>22.577570999999999</v>
      </c>
      <c r="Z238">
        <v>25.491318999999997</v>
      </c>
      <c r="AA238">
        <v>249.08160899999999</v>
      </c>
      <c r="AB238">
        <v>1.2288000000000001</v>
      </c>
      <c r="AC238">
        <v>247.08320599999999</v>
      </c>
      <c r="AD238">
        <v>248.312006</v>
      </c>
      <c r="AE238">
        <v>2460541</v>
      </c>
      <c r="AF238">
        <v>14854</v>
      </c>
      <c r="AG238">
        <v>2467453</v>
      </c>
      <c r="AH238">
        <v>14708</v>
      </c>
      <c r="AI238">
        <v>931285</v>
      </c>
      <c r="AJ238">
        <v>1220516</v>
      </c>
    </row>
    <row r="239" spans="1:36" x14ac:dyDescent="0.25">
      <c r="A239" t="s">
        <v>42</v>
      </c>
      <c r="B239">
        <v>8</v>
      </c>
      <c r="C239" t="s">
        <v>34</v>
      </c>
      <c r="D239" t="s">
        <v>46</v>
      </c>
      <c r="E239" t="s">
        <v>114</v>
      </c>
      <c r="F239">
        <v>0</v>
      </c>
      <c r="G239">
        <v>52268.371748935388</v>
      </c>
      <c r="H239">
        <v>13234.979473170019</v>
      </c>
      <c r="I239">
        <v>144</v>
      </c>
      <c r="J239">
        <v>156</v>
      </c>
      <c r="K239">
        <v>143</v>
      </c>
      <c r="L239">
        <v>156</v>
      </c>
      <c r="M239">
        <v>156</v>
      </c>
      <c r="N239">
        <v>147</v>
      </c>
      <c r="O239">
        <v>147</v>
      </c>
      <c r="P239">
        <v>144</v>
      </c>
      <c r="Q239">
        <v>6.5291771988995606E-11</v>
      </c>
      <c r="R239">
        <v>28.683</v>
      </c>
      <c r="S239">
        <v>260.66500000000002</v>
      </c>
      <c r="T239">
        <v>14854</v>
      </c>
      <c r="U239">
        <v>14228</v>
      </c>
      <c r="V239">
        <v>480</v>
      </c>
      <c r="W239">
        <v>25.431196999999997</v>
      </c>
      <c r="X239">
        <v>2.6108609999999999</v>
      </c>
      <c r="Y239">
        <v>22.811675999999999</v>
      </c>
      <c r="Z239">
        <v>25.422536999999998</v>
      </c>
      <c r="AA239">
        <v>291.27017599999999</v>
      </c>
      <c r="AB239">
        <v>1.301887</v>
      </c>
      <c r="AC239">
        <v>289.24352199999998</v>
      </c>
      <c r="AD239">
        <v>290.54540900000001</v>
      </c>
      <c r="AE239">
        <v>2460541</v>
      </c>
      <c r="AF239">
        <v>14854</v>
      </c>
      <c r="AG239">
        <v>2467453</v>
      </c>
      <c r="AH239">
        <v>14708</v>
      </c>
      <c r="AI239">
        <v>945082</v>
      </c>
      <c r="AJ239">
        <v>1372784</v>
      </c>
    </row>
    <row r="240" spans="1:36" x14ac:dyDescent="0.25">
      <c r="A240" t="s">
        <v>42</v>
      </c>
      <c r="B240">
        <v>9</v>
      </c>
      <c r="C240" t="s">
        <v>34</v>
      </c>
      <c r="D240" t="s">
        <v>46</v>
      </c>
      <c r="E240" t="s">
        <v>114</v>
      </c>
      <c r="F240">
        <v>0</v>
      </c>
      <c r="G240">
        <v>52268.371748935388</v>
      </c>
      <c r="H240">
        <v>13234.979473170019</v>
      </c>
      <c r="I240">
        <v>144</v>
      </c>
      <c r="J240">
        <v>156</v>
      </c>
      <c r="K240">
        <v>143</v>
      </c>
      <c r="L240">
        <v>156</v>
      </c>
      <c r="M240">
        <v>156</v>
      </c>
      <c r="N240">
        <v>147</v>
      </c>
      <c r="O240">
        <v>147</v>
      </c>
      <c r="P240">
        <v>144</v>
      </c>
      <c r="Q240">
        <v>6.5291771988995606E-11</v>
      </c>
      <c r="R240">
        <v>25.661999999999999</v>
      </c>
      <c r="S240">
        <v>220.28899999999999</v>
      </c>
      <c r="T240">
        <v>14854</v>
      </c>
      <c r="U240">
        <v>14228</v>
      </c>
      <c r="V240">
        <v>480</v>
      </c>
      <c r="W240">
        <v>23.540378999999973</v>
      </c>
      <c r="X240">
        <v>2.4364159999999999</v>
      </c>
      <c r="Y240">
        <v>21.119975</v>
      </c>
      <c r="Z240">
        <v>23.556391000000001</v>
      </c>
      <c r="AA240">
        <v>247.79756500000002</v>
      </c>
      <c r="AB240">
        <v>1.035088</v>
      </c>
      <c r="AC240">
        <v>245.94278600000001</v>
      </c>
      <c r="AD240">
        <v>246.97787400000001</v>
      </c>
      <c r="AE240">
        <v>2460541</v>
      </c>
      <c r="AF240">
        <v>14854</v>
      </c>
      <c r="AG240">
        <v>2467453</v>
      </c>
      <c r="AH240">
        <v>14708</v>
      </c>
      <c r="AI240">
        <v>1309416</v>
      </c>
      <c r="AJ240">
        <v>1593420</v>
      </c>
    </row>
    <row r="241" spans="1:36" x14ac:dyDescent="0.25">
      <c r="A241" t="s">
        <v>42</v>
      </c>
      <c r="B241">
        <v>10</v>
      </c>
      <c r="C241" t="s">
        <v>34</v>
      </c>
      <c r="D241" t="s">
        <v>46</v>
      </c>
      <c r="E241" t="s">
        <v>114</v>
      </c>
      <c r="F241">
        <v>0</v>
      </c>
      <c r="G241">
        <v>52268.371748935388</v>
      </c>
      <c r="H241">
        <v>13234.979473170019</v>
      </c>
      <c r="I241">
        <v>144</v>
      </c>
      <c r="J241">
        <v>156</v>
      </c>
      <c r="K241">
        <v>143</v>
      </c>
      <c r="L241">
        <v>156</v>
      </c>
      <c r="M241">
        <v>156</v>
      </c>
      <c r="N241">
        <v>147</v>
      </c>
      <c r="O241">
        <v>147</v>
      </c>
      <c r="P241">
        <v>144</v>
      </c>
      <c r="Q241">
        <v>6.5291771988995606E-11</v>
      </c>
      <c r="R241">
        <v>25.638000000000002</v>
      </c>
      <c r="S241">
        <v>217.47900000000001</v>
      </c>
      <c r="T241">
        <v>14854</v>
      </c>
      <c r="U241">
        <v>14228</v>
      </c>
      <c r="V241">
        <v>480</v>
      </c>
      <c r="W241">
        <v>24.861957000000046</v>
      </c>
      <c r="X241">
        <v>2.5270099999999998</v>
      </c>
      <c r="Y241">
        <v>22.342638999999998</v>
      </c>
      <c r="Z241">
        <v>24.869648999999999</v>
      </c>
      <c r="AA241">
        <v>244.94186799999997</v>
      </c>
      <c r="AB241">
        <v>1.2618260000000001</v>
      </c>
      <c r="AC241">
        <v>242.90265600000001</v>
      </c>
      <c r="AD241">
        <v>244.16448200000002</v>
      </c>
      <c r="AE241">
        <v>2460541</v>
      </c>
      <c r="AF241">
        <v>14854</v>
      </c>
      <c r="AG241">
        <v>2467453</v>
      </c>
      <c r="AH241">
        <v>14708</v>
      </c>
      <c r="AI241">
        <v>1311937</v>
      </c>
      <c r="AJ241">
        <v>1618713</v>
      </c>
    </row>
    <row r="242" spans="1:36" x14ac:dyDescent="0.25">
      <c r="A242" t="s">
        <v>43</v>
      </c>
      <c r="B242">
        <v>1</v>
      </c>
      <c r="C242" t="s">
        <v>34</v>
      </c>
      <c r="D242" t="s">
        <v>46</v>
      </c>
      <c r="E242" t="s">
        <v>114</v>
      </c>
      <c r="F242">
        <v>0</v>
      </c>
      <c r="G242">
        <v>13283.06553077303</v>
      </c>
      <c r="H242">
        <v>13041.065530773034</v>
      </c>
      <c r="I242">
        <v>209</v>
      </c>
      <c r="J242">
        <v>227</v>
      </c>
      <c r="K242">
        <v>209</v>
      </c>
      <c r="L242">
        <v>227</v>
      </c>
      <c r="M242">
        <v>227</v>
      </c>
      <c r="N242">
        <v>215</v>
      </c>
      <c r="O242">
        <v>215</v>
      </c>
      <c r="P242">
        <v>209</v>
      </c>
      <c r="Q242">
        <v>7.9753981196972745E-11</v>
      </c>
      <c r="R242">
        <v>24.437000000000001</v>
      </c>
      <c r="S242">
        <v>296.13400000000001</v>
      </c>
      <c r="T242">
        <v>3706</v>
      </c>
      <c r="U242">
        <v>3080</v>
      </c>
      <c r="V242">
        <v>480</v>
      </c>
      <c r="W242">
        <v>5.238098999999977</v>
      </c>
      <c r="X242">
        <v>0.619529</v>
      </c>
      <c r="Y242">
        <v>4.6280570000000001</v>
      </c>
      <c r="Z242">
        <v>5.2475860000000001</v>
      </c>
      <c r="AA242">
        <v>322.11933900000002</v>
      </c>
      <c r="AB242">
        <v>0.83101700000000001</v>
      </c>
      <c r="AC242">
        <v>320.37500199999999</v>
      </c>
      <c r="AD242">
        <v>321.20601899999997</v>
      </c>
      <c r="AE242">
        <v>624391</v>
      </c>
      <c r="AF242">
        <v>3706</v>
      </c>
      <c r="AG242">
        <v>627703</v>
      </c>
      <c r="AH242">
        <v>3560</v>
      </c>
      <c r="AI242">
        <v>81147</v>
      </c>
      <c r="AJ242">
        <v>411779</v>
      </c>
    </row>
    <row r="243" spans="1:36" x14ac:dyDescent="0.25">
      <c r="A243" t="s">
        <v>43</v>
      </c>
      <c r="B243">
        <v>2</v>
      </c>
      <c r="C243" t="s">
        <v>34</v>
      </c>
      <c r="D243" t="s">
        <v>46</v>
      </c>
      <c r="E243" t="s">
        <v>114</v>
      </c>
      <c r="F243">
        <v>0</v>
      </c>
      <c r="G243">
        <v>13283.06553077303</v>
      </c>
      <c r="H243">
        <v>13041.065530773034</v>
      </c>
      <c r="I243">
        <v>209</v>
      </c>
      <c r="J243">
        <v>227</v>
      </c>
      <c r="K243">
        <v>209</v>
      </c>
      <c r="L243">
        <v>227</v>
      </c>
      <c r="M243">
        <v>227</v>
      </c>
      <c r="N243">
        <v>215</v>
      </c>
      <c r="O243">
        <v>215</v>
      </c>
      <c r="P243">
        <v>209</v>
      </c>
      <c r="Q243">
        <v>7.9753981196972745E-11</v>
      </c>
      <c r="R243">
        <v>26.332999999999998</v>
      </c>
      <c r="S243">
        <v>308.654</v>
      </c>
      <c r="T243">
        <v>3706</v>
      </c>
      <c r="U243">
        <v>3080</v>
      </c>
      <c r="V243">
        <v>480</v>
      </c>
      <c r="W243">
        <v>5.8581460000000334</v>
      </c>
      <c r="X243">
        <v>0.630104</v>
      </c>
      <c r="Y243">
        <v>5.235233</v>
      </c>
      <c r="Z243">
        <v>5.8653370000000002</v>
      </c>
      <c r="AA243">
        <v>336.64382599999999</v>
      </c>
      <c r="AB243">
        <v>0.86877399999999994</v>
      </c>
      <c r="AC243">
        <v>334.75904200000002</v>
      </c>
      <c r="AD243">
        <v>335.627816</v>
      </c>
      <c r="AE243">
        <v>624391</v>
      </c>
      <c r="AF243">
        <v>3706</v>
      </c>
      <c r="AG243">
        <v>627703</v>
      </c>
      <c r="AH243">
        <v>3560</v>
      </c>
      <c r="AI243">
        <v>94720</v>
      </c>
      <c r="AJ243">
        <v>444153</v>
      </c>
    </row>
    <row r="244" spans="1:36" x14ac:dyDescent="0.25">
      <c r="A244" t="s">
        <v>43</v>
      </c>
      <c r="B244">
        <v>3</v>
      </c>
      <c r="C244" t="s">
        <v>34</v>
      </c>
      <c r="D244" t="s">
        <v>46</v>
      </c>
      <c r="E244" t="s">
        <v>114</v>
      </c>
      <c r="F244">
        <v>0</v>
      </c>
      <c r="G244">
        <v>13283.06553077303</v>
      </c>
      <c r="H244">
        <v>13041.065530773034</v>
      </c>
      <c r="I244">
        <v>209</v>
      </c>
      <c r="J244">
        <v>227</v>
      </c>
      <c r="K244">
        <v>209</v>
      </c>
      <c r="L244">
        <v>227</v>
      </c>
      <c r="M244">
        <v>227</v>
      </c>
      <c r="N244">
        <v>215</v>
      </c>
      <c r="O244">
        <v>215</v>
      </c>
      <c r="P244">
        <v>209</v>
      </c>
      <c r="Q244">
        <v>7.9753981196972745E-11</v>
      </c>
      <c r="R244">
        <v>26.826000000000001</v>
      </c>
      <c r="S244">
        <v>309.94</v>
      </c>
      <c r="T244">
        <v>3706</v>
      </c>
      <c r="U244">
        <v>3080</v>
      </c>
      <c r="V244">
        <v>480</v>
      </c>
      <c r="W244">
        <v>5.829166999999984</v>
      </c>
      <c r="X244">
        <v>0.66403400000000001</v>
      </c>
      <c r="Y244">
        <v>5.1611370000000001</v>
      </c>
      <c r="Z244">
        <v>5.8251710000000001</v>
      </c>
      <c r="AA244">
        <v>338.52852300000001</v>
      </c>
      <c r="AB244">
        <v>0.83964299999999992</v>
      </c>
      <c r="AC244">
        <v>336.57942400000002</v>
      </c>
      <c r="AD244">
        <v>337.41906700000004</v>
      </c>
      <c r="AE244">
        <v>624391</v>
      </c>
      <c r="AF244">
        <v>3706</v>
      </c>
      <c r="AG244">
        <v>627703</v>
      </c>
      <c r="AH244">
        <v>3560</v>
      </c>
      <c r="AI244">
        <v>155917</v>
      </c>
      <c r="AJ244">
        <v>739104</v>
      </c>
    </row>
    <row r="245" spans="1:36" x14ac:dyDescent="0.25">
      <c r="A245" t="s">
        <v>43</v>
      </c>
      <c r="B245">
        <v>4</v>
      </c>
      <c r="C245" t="s">
        <v>34</v>
      </c>
      <c r="D245" t="s">
        <v>46</v>
      </c>
      <c r="E245" t="s">
        <v>114</v>
      </c>
      <c r="F245">
        <v>0</v>
      </c>
      <c r="G245">
        <v>13283.06553077303</v>
      </c>
      <c r="H245">
        <v>13041.065530773034</v>
      </c>
      <c r="I245">
        <v>209</v>
      </c>
      <c r="J245">
        <v>227</v>
      </c>
      <c r="K245">
        <v>209</v>
      </c>
      <c r="L245">
        <v>227</v>
      </c>
      <c r="M245">
        <v>227</v>
      </c>
      <c r="N245">
        <v>215</v>
      </c>
      <c r="O245">
        <v>215</v>
      </c>
      <c r="P245">
        <v>209</v>
      </c>
      <c r="Q245">
        <v>7.9753981196972745E-11</v>
      </c>
      <c r="R245">
        <v>28.667999999999999</v>
      </c>
      <c r="S245">
        <v>358.26100000000002</v>
      </c>
      <c r="T245">
        <v>3706</v>
      </c>
      <c r="U245">
        <v>3080</v>
      </c>
      <c r="V245">
        <v>480</v>
      </c>
      <c r="W245">
        <v>5.6510289999999941</v>
      </c>
      <c r="X245">
        <v>0.64739599999999997</v>
      </c>
      <c r="Y245">
        <v>5.0104579999999999</v>
      </c>
      <c r="Z245">
        <v>5.6578539999999995</v>
      </c>
      <c r="AA245">
        <v>388.60155100000003</v>
      </c>
      <c r="AB245">
        <v>0.94438599999999995</v>
      </c>
      <c r="AC245">
        <v>386.53477400000003</v>
      </c>
      <c r="AD245">
        <v>387.47916000000004</v>
      </c>
      <c r="AE245">
        <v>624391</v>
      </c>
      <c r="AF245">
        <v>3706</v>
      </c>
      <c r="AG245">
        <v>627703</v>
      </c>
      <c r="AH245">
        <v>3560</v>
      </c>
      <c r="AI245">
        <v>353338</v>
      </c>
      <c r="AJ245">
        <v>805806</v>
      </c>
    </row>
    <row r="246" spans="1:36" x14ac:dyDescent="0.25">
      <c r="A246" t="s">
        <v>43</v>
      </c>
      <c r="B246">
        <v>5</v>
      </c>
      <c r="C246" t="s">
        <v>34</v>
      </c>
      <c r="D246" t="s">
        <v>46</v>
      </c>
      <c r="E246" t="s">
        <v>114</v>
      </c>
      <c r="F246">
        <v>0</v>
      </c>
      <c r="G246">
        <v>13283.06553077303</v>
      </c>
      <c r="H246">
        <v>13041.065530773034</v>
      </c>
      <c r="I246">
        <v>209</v>
      </c>
      <c r="J246">
        <v>227</v>
      </c>
      <c r="K246">
        <v>209</v>
      </c>
      <c r="L246">
        <v>227</v>
      </c>
      <c r="M246">
        <v>227</v>
      </c>
      <c r="N246">
        <v>215</v>
      </c>
      <c r="O246">
        <v>215</v>
      </c>
      <c r="P246">
        <v>209</v>
      </c>
      <c r="Q246">
        <v>7.9753981196972745E-11</v>
      </c>
      <c r="R246">
        <v>28.184999999999999</v>
      </c>
      <c r="S246">
        <v>342.74299999999999</v>
      </c>
      <c r="T246">
        <v>3706</v>
      </c>
      <c r="U246">
        <v>3080</v>
      </c>
      <c r="V246">
        <v>480</v>
      </c>
      <c r="W246">
        <v>5.5428269999999316</v>
      </c>
      <c r="X246">
        <v>0.64271499999999993</v>
      </c>
      <c r="Y246">
        <v>4.9067179999999997</v>
      </c>
      <c r="Z246">
        <v>5.5494329999999996</v>
      </c>
      <c r="AA246">
        <v>372.48967200000004</v>
      </c>
      <c r="AB246">
        <v>0.81710199999999999</v>
      </c>
      <c r="AC246">
        <v>370.72080499999998</v>
      </c>
      <c r="AD246">
        <v>371.53790699999996</v>
      </c>
      <c r="AE246">
        <v>624391</v>
      </c>
      <c r="AF246">
        <v>3706</v>
      </c>
      <c r="AG246">
        <v>627703</v>
      </c>
      <c r="AH246">
        <v>3560</v>
      </c>
      <c r="AI246">
        <v>354905</v>
      </c>
      <c r="AJ246">
        <v>792296</v>
      </c>
    </row>
    <row r="247" spans="1:36" x14ac:dyDescent="0.25">
      <c r="A247" t="s">
        <v>43</v>
      </c>
      <c r="B247">
        <v>6</v>
      </c>
      <c r="C247" t="s">
        <v>34</v>
      </c>
      <c r="D247" t="s">
        <v>46</v>
      </c>
      <c r="E247" t="s">
        <v>114</v>
      </c>
      <c r="F247">
        <v>0</v>
      </c>
      <c r="G247">
        <v>13283.06553077303</v>
      </c>
      <c r="H247">
        <v>13041.065530773034</v>
      </c>
      <c r="I247">
        <v>209</v>
      </c>
      <c r="J247">
        <v>227</v>
      </c>
      <c r="K247">
        <v>209</v>
      </c>
      <c r="L247">
        <v>227</v>
      </c>
      <c r="M247">
        <v>227</v>
      </c>
      <c r="N247">
        <v>215</v>
      </c>
      <c r="O247">
        <v>215</v>
      </c>
      <c r="P247">
        <v>209</v>
      </c>
      <c r="Q247">
        <v>7.9753981196972745E-11</v>
      </c>
      <c r="R247">
        <v>27.154</v>
      </c>
      <c r="S247">
        <v>312.524</v>
      </c>
      <c r="T247">
        <v>3706</v>
      </c>
      <c r="U247">
        <v>3080</v>
      </c>
      <c r="V247">
        <v>480</v>
      </c>
      <c r="W247">
        <v>5.967570999999964</v>
      </c>
      <c r="X247">
        <v>0.71904599999999996</v>
      </c>
      <c r="Y247">
        <v>5.2584390000000001</v>
      </c>
      <c r="Z247">
        <v>5.9774849999999997</v>
      </c>
      <c r="AA247">
        <v>341.47068100000001</v>
      </c>
      <c r="AB247">
        <v>1.182007</v>
      </c>
      <c r="AC247">
        <v>339.18479400000001</v>
      </c>
      <c r="AD247">
        <v>340.36680100000001</v>
      </c>
      <c r="AE247">
        <v>624391</v>
      </c>
      <c r="AF247">
        <v>3706</v>
      </c>
      <c r="AG247">
        <v>627703</v>
      </c>
      <c r="AH247">
        <v>3560</v>
      </c>
      <c r="AI247">
        <v>645359</v>
      </c>
      <c r="AJ247">
        <v>1022392</v>
      </c>
    </row>
    <row r="248" spans="1:36" x14ac:dyDescent="0.25">
      <c r="A248" t="s">
        <v>43</v>
      </c>
      <c r="B248">
        <v>7</v>
      </c>
      <c r="C248" t="s">
        <v>34</v>
      </c>
      <c r="D248" t="s">
        <v>46</v>
      </c>
      <c r="E248" t="s">
        <v>114</v>
      </c>
      <c r="F248">
        <v>0</v>
      </c>
      <c r="G248">
        <v>13283.06553077303</v>
      </c>
      <c r="H248">
        <v>13041.065530773034</v>
      </c>
      <c r="I248">
        <v>209</v>
      </c>
      <c r="J248">
        <v>227</v>
      </c>
      <c r="K248">
        <v>209</v>
      </c>
      <c r="L248">
        <v>227</v>
      </c>
      <c r="M248">
        <v>227</v>
      </c>
      <c r="N248">
        <v>215</v>
      </c>
      <c r="O248">
        <v>215</v>
      </c>
      <c r="P248">
        <v>209</v>
      </c>
      <c r="Q248">
        <v>7.9753981196972745E-11</v>
      </c>
      <c r="R248">
        <v>53.765000000000001</v>
      </c>
      <c r="S248">
        <v>463.20400000000001</v>
      </c>
      <c r="T248">
        <v>3706</v>
      </c>
      <c r="U248">
        <v>3080</v>
      </c>
      <c r="V248">
        <v>480</v>
      </c>
      <c r="W248">
        <v>7.7748030000000199</v>
      </c>
      <c r="X248">
        <v>0.84746599999999994</v>
      </c>
      <c r="Y248">
        <v>6.4200980000000003</v>
      </c>
      <c r="Z248">
        <v>7.2675640000000001</v>
      </c>
      <c r="AA248">
        <v>520.80849599999999</v>
      </c>
      <c r="AB248">
        <v>2.550945</v>
      </c>
      <c r="AC248">
        <v>505.52543400000002</v>
      </c>
      <c r="AD248">
        <v>508.07637900000003</v>
      </c>
      <c r="AE248">
        <v>624391</v>
      </c>
      <c r="AF248">
        <v>3706</v>
      </c>
      <c r="AG248">
        <v>627703</v>
      </c>
      <c r="AH248">
        <v>3560</v>
      </c>
      <c r="AI248">
        <v>656000</v>
      </c>
      <c r="AJ248">
        <v>1270252</v>
      </c>
    </row>
    <row r="249" spans="1:36" x14ac:dyDescent="0.25">
      <c r="A249" t="s">
        <v>43</v>
      </c>
      <c r="B249">
        <v>8</v>
      </c>
      <c r="C249" t="s">
        <v>34</v>
      </c>
      <c r="D249" t="s">
        <v>46</v>
      </c>
      <c r="E249" t="s">
        <v>114</v>
      </c>
      <c r="F249">
        <v>0</v>
      </c>
      <c r="G249">
        <v>13283.06553077303</v>
      </c>
      <c r="H249">
        <v>13041.065530773034</v>
      </c>
      <c r="I249">
        <v>209</v>
      </c>
      <c r="J249">
        <v>227</v>
      </c>
      <c r="K249">
        <v>209</v>
      </c>
      <c r="L249">
        <v>227</v>
      </c>
      <c r="M249">
        <v>227</v>
      </c>
      <c r="N249">
        <v>215</v>
      </c>
      <c r="O249">
        <v>215</v>
      </c>
      <c r="P249">
        <v>209</v>
      </c>
      <c r="Q249">
        <v>7.9753981196972745E-11</v>
      </c>
      <c r="R249">
        <v>30.527000000000001</v>
      </c>
      <c r="S249">
        <v>372.99700000000001</v>
      </c>
      <c r="T249">
        <v>3706</v>
      </c>
      <c r="U249">
        <v>3080</v>
      </c>
      <c r="V249">
        <v>480</v>
      </c>
      <c r="W249">
        <v>6.1220089999999914</v>
      </c>
      <c r="X249">
        <v>0.65729099999999996</v>
      </c>
      <c r="Y249">
        <v>5.4653279999999995</v>
      </c>
      <c r="Z249">
        <v>6.1226189999999994</v>
      </c>
      <c r="AA249">
        <v>405.33070100000003</v>
      </c>
      <c r="AB249">
        <v>1.0549999999999999</v>
      </c>
      <c r="AC249">
        <v>402.98509899999999</v>
      </c>
      <c r="AD249">
        <v>404.040099</v>
      </c>
      <c r="AE249">
        <v>624391</v>
      </c>
      <c r="AF249">
        <v>3706</v>
      </c>
      <c r="AG249">
        <v>627703</v>
      </c>
      <c r="AH249">
        <v>3560</v>
      </c>
      <c r="AI249">
        <v>919653</v>
      </c>
      <c r="AJ249">
        <v>1337205</v>
      </c>
    </row>
    <row r="250" spans="1:36" x14ac:dyDescent="0.25">
      <c r="A250" t="s">
        <v>43</v>
      </c>
      <c r="B250">
        <v>9</v>
      </c>
      <c r="C250" t="s">
        <v>34</v>
      </c>
      <c r="D250" t="s">
        <v>46</v>
      </c>
      <c r="E250" t="s">
        <v>114</v>
      </c>
      <c r="F250">
        <v>0</v>
      </c>
      <c r="G250">
        <v>13283.06553077303</v>
      </c>
      <c r="H250">
        <v>13041.065530773034</v>
      </c>
      <c r="I250">
        <v>209</v>
      </c>
      <c r="J250">
        <v>227</v>
      </c>
      <c r="K250">
        <v>209</v>
      </c>
      <c r="L250">
        <v>227</v>
      </c>
      <c r="M250">
        <v>227</v>
      </c>
      <c r="N250">
        <v>215</v>
      </c>
      <c r="O250">
        <v>215</v>
      </c>
      <c r="P250">
        <v>209</v>
      </c>
      <c r="Q250">
        <v>7.9753981196972745E-11</v>
      </c>
      <c r="R250">
        <v>26.062999999999999</v>
      </c>
      <c r="S250">
        <v>306.83600000000001</v>
      </c>
      <c r="T250">
        <v>3706</v>
      </c>
      <c r="U250">
        <v>3080</v>
      </c>
      <c r="V250">
        <v>480</v>
      </c>
      <c r="W250">
        <v>5.2143260000000282</v>
      </c>
      <c r="X250">
        <v>0.586368</v>
      </c>
      <c r="Y250">
        <v>4.6265309999999999</v>
      </c>
      <c r="Z250">
        <v>5.2128990000000002</v>
      </c>
      <c r="AA250">
        <v>334.43768599999999</v>
      </c>
      <c r="AB250">
        <v>0.87975399999999992</v>
      </c>
      <c r="AC250">
        <v>332.62522200000001</v>
      </c>
      <c r="AD250">
        <v>333.504976</v>
      </c>
      <c r="AE250">
        <v>624391</v>
      </c>
      <c r="AF250">
        <v>3706</v>
      </c>
      <c r="AG250">
        <v>627703</v>
      </c>
      <c r="AH250">
        <v>3560</v>
      </c>
      <c r="AI250">
        <v>923191</v>
      </c>
      <c r="AJ250">
        <v>1273761</v>
      </c>
    </row>
    <row r="251" spans="1:36" x14ac:dyDescent="0.25">
      <c r="A251" t="s">
        <v>43</v>
      </c>
      <c r="B251">
        <v>10</v>
      </c>
      <c r="C251" t="s">
        <v>34</v>
      </c>
      <c r="D251" t="s">
        <v>46</v>
      </c>
      <c r="E251" t="s">
        <v>114</v>
      </c>
      <c r="F251">
        <v>0</v>
      </c>
      <c r="G251">
        <v>13283.06553077303</v>
      </c>
      <c r="H251">
        <v>13041.065530773034</v>
      </c>
      <c r="I251">
        <v>209</v>
      </c>
      <c r="J251">
        <v>227</v>
      </c>
      <c r="K251">
        <v>209</v>
      </c>
      <c r="L251">
        <v>227</v>
      </c>
      <c r="M251">
        <v>227</v>
      </c>
      <c r="N251">
        <v>215</v>
      </c>
      <c r="O251">
        <v>215</v>
      </c>
      <c r="P251">
        <v>209</v>
      </c>
      <c r="Q251">
        <v>7.9753981196972745E-11</v>
      </c>
      <c r="R251">
        <v>29.881</v>
      </c>
      <c r="S251">
        <v>371.87299999999999</v>
      </c>
      <c r="T251">
        <v>3706</v>
      </c>
      <c r="U251">
        <v>3080</v>
      </c>
      <c r="V251">
        <v>480</v>
      </c>
      <c r="W251">
        <v>6.0609440000000063</v>
      </c>
      <c r="X251">
        <v>0.709121</v>
      </c>
      <c r="Y251">
        <v>5.3620200000000002</v>
      </c>
      <c r="Z251">
        <v>6.0711409999999999</v>
      </c>
      <c r="AA251">
        <v>403.603161</v>
      </c>
      <c r="AB251">
        <v>0.94570699999999996</v>
      </c>
      <c r="AC251">
        <v>401.579229</v>
      </c>
      <c r="AD251">
        <v>402.52493600000003</v>
      </c>
      <c r="AE251">
        <v>624391</v>
      </c>
      <c r="AF251">
        <v>3706</v>
      </c>
      <c r="AG251">
        <v>627703</v>
      </c>
      <c r="AH251">
        <v>3560</v>
      </c>
      <c r="AI251">
        <v>1298276</v>
      </c>
      <c r="AJ251">
        <v>1724246</v>
      </c>
    </row>
    <row r="252" spans="1:36" x14ac:dyDescent="0.25">
      <c r="A252" t="s">
        <v>44</v>
      </c>
      <c r="B252">
        <v>1</v>
      </c>
      <c r="C252" t="s">
        <v>45</v>
      </c>
      <c r="D252" t="s">
        <v>45</v>
      </c>
      <c r="E252" t="s">
        <v>45</v>
      </c>
      <c r="AI252">
        <v>81147</v>
      </c>
      <c r="AJ252">
        <v>155251</v>
      </c>
    </row>
    <row r="253" spans="1:36" x14ac:dyDescent="0.25">
      <c r="A253" t="s">
        <v>44</v>
      </c>
      <c r="B253">
        <v>2</v>
      </c>
      <c r="C253" t="s">
        <v>34</v>
      </c>
      <c r="D253" t="s">
        <v>46</v>
      </c>
      <c r="E253" t="s">
        <v>114</v>
      </c>
      <c r="F253">
        <v>0</v>
      </c>
      <c r="G253">
        <v>56053.465372977429</v>
      </c>
      <c r="H253">
        <v>14278.832313465784</v>
      </c>
      <c r="I253">
        <v>81</v>
      </c>
      <c r="J253">
        <v>88</v>
      </c>
      <c r="K253">
        <v>80</v>
      </c>
      <c r="L253">
        <v>88</v>
      </c>
      <c r="M253">
        <v>88</v>
      </c>
      <c r="N253">
        <v>83</v>
      </c>
      <c r="O253">
        <v>83</v>
      </c>
      <c r="P253">
        <v>81</v>
      </c>
      <c r="Q253">
        <v>8.1107898175503124E-11</v>
      </c>
      <c r="R253">
        <v>16.972000000000001</v>
      </c>
      <c r="S253">
        <v>149.32400000000001</v>
      </c>
      <c r="T253">
        <v>14836</v>
      </c>
      <c r="U253">
        <v>14210</v>
      </c>
      <c r="V253">
        <v>480</v>
      </c>
      <c r="W253">
        <v>23.418425999999982</v>
      </c>
      <c r="X253">
        <v>2.3931300000000002</v>
      </c>
      <c r="Y253">
        <v>21.006868000000001</v>
      </c>
      <c r="Z253">
        <v>23.399998</v>
      </c>
      <c r="AA253">
        <v>168.12480400000001</v>
      </c>
      <c r="AB253">
        <v>0.82382999999999995</v>
      </c>
      <c r="AC253">
        <v>166.81841</v>
      </c>
      <c r="AD253">
        <v>167.64223999999999</v>
      </c>
      <c r="AE253">
        <v>2460541</v>
      </c>
      <c r="AF253">
        <v>14836</v>
      </c>
      <c r="AG253">
        <v>2467453</v>
      </c>
      <c r="AH253">
        <v>14690</v>
      </c>
      <c r="AI253">
        <v>97728</v>
      </c>
      <c r="AJ253">
        <v>352902</v>
      </c>
    </row>
    <row r="254" spans="1:36" x14ac:dyDescent="0.25">
      <c r="A254" t="s">
        <v>44</v>
      </c>
      <c r="B254">
        <v>3</v>
      </c>
      <c r="C254" t="s">
        <v>34</v>
      </c>
      <c r="D254" t="s">
        <v>46</v>
      </c>
      <c r="E254" t="s">
        <v>114</v>
      </c>
      <c r="F254">
        <v>0</v>
      </c>
      <c r="G254">
        <v>56053.465372977429</v>
      </c>
      <c r="H254">
        <v>14278.832313465784</v>
      </c>
      <c r="I254">
        <v>81</v>
      </c>
      <c r="J254">
        <v>88</v>
      </c>
      <c r="K254">
        <v>80</v>
      </c>
      <c r="L254">
        <v>88</v>
      </c>
      <c r="M254">
        <v>88</v>
      </c>
      <c r="N254">
        <v>83</v>
      </c>
      <c r="O254">
        <v>83</v>
      </c>
      <c r="P254">
        <v>81</v>
      </c>
      <c r="Q254">
        <v>8.1107898175503124E-11</v>
      </c>
      <c r="R254">
        <v>16.048999999999999</v>
      </c>
      <c r="S254">
        <v>126.93300000000001</v>
      </c>
      <c r="T254">
        <v>14836</v>
      </c>
      <c r="U254">
        <v>14210</v>
      </c>
      <c r="V254">
        <v>480</v>
      </c>
      <c r="W254">
        <v>24.474796999999995</v>
      </c>
      <c r="X254">
        <v>2.8846449999999999</v>
      </c>
      <c r="Y254">
        <v>21.573840000000001</v>
      </c>
      <c r="Z254">
        <v>24.458485</v>
      </c>
      <c r="AA254">
        <v>144.85034300000001</v>
      </c>
      <c r="AB254">
        <v>0.822878</v>
      </c>
      <c r="AC254">
        <v>143.51100400000001</v>
      </c>
      <c r="AD254">
        <v>144.33388200000002</v>
      </c>
      <c r="AE254">
        <v>2460541</v>
      </c>
      <c r="AF254">
        <v>14836</v>
      </c>
      <c r="AG254">
        <v>2467453</v>
      </c>
      <c r="AH254">
        <v>14690</v>
      </c>
      <c r="AI254">
        <v>102311</v>
      </c>
      <c r="AJ254">
        <v>543881</v>
      </c>
    </row>
    <row r="255" spans="1:36" x14ac:dyDescent="0.25">
      <c r="A255" t="s">
        <v>44</v>
      </c>
      <c r="B255">
        <v>4</v>
      </c>
      <c r="C255" t="s">
        <v>34</v>
      </c>
      <c r="D255" t="s">
        <v>46</v>
      </c>
      <c r="E255" t="s">
        <v>114</v>
      </c>
      <c r="F255">
        <v>0</v>
      </c>
      <c r="G255">
        <v>56053.465372977429</v>
      </c>
      <c r="H255">
        <v>14278.832313465784</v>
      </c>
      <c r="I255">
        <v>81</v>
      </c>
      <c r="J255">
        <v>88</v>
      </c>
      <c r="K255">
        <v>80</v>
      </c>
      <c r="L255">
        <v>88</v>
      </c>
      <c r="M255">
        <v>88</v>
      </c>
      <c r="N255">
        <v>83</v>
      </c>
      <c r="O255">
        <v>83</v>
      </c>
      <c r="P255">
        <v>81</v>
      </c>
      <c r="Q255">
        <v>8.1107898175503124E-11</v>
      </c>
      <c r="R255">
        <v>14.941000000000001</v>
      </c>
      <c r="S255">
        <v>120.914</v>
      </c>
      <c r="T255">
        <v>14836</v>
      </c>
      <c r="U255">
        <v>14210</v>
      </c>
      <c r="V255">
        <v>480</v>
      </c>
      <c r="W255">
        <v>24.883988999999985</v>
      </c>
      <c r="X255">
        <v>3.2209319999999999</v>
      </c>
      <c r="Y255">
        <v>21.636899</v>
      </c>
      <c r="Z255">
        <v>24.857831000000001</v>
      </c>
      <c r="AA255">
        <v>137.51781300000002</v>
      </c>
      <c r="AB255">
        <v>0.67725799999999992</v>
      </c>
      <c r="AC255">
        <v>136.404235</v>
      </c>
      <c r="AD255">
        <v>137.08149299999999</v>
      </c>
      <c r="AE255">
        <v>2460541</v>
      </c>
      <c r="AF255">
        <v>14836</v>
      </c>
      <c r="AG255">
        <v>2467453</v>
      </c>
      <c r="AH255">
        <v>14690</v>
      </c>
      <c r="AI255">
        <v>644357</v>
      </c>
      <c r="AJ255">
        <v>837397</v>
      </c>
    </row>
    <row r="256" spans="1:36" x14ac:dyDescent="0.25">
      <c r="A256" t="s">
        <v>44</v>
      </c>
      <c r="B256">
        <v>5</v>
      </c>
      <c r="C256" t="s">
        <v>34</v>
      </c>
      <c r="D256" t="s">
        <v>46</v>
      </c>
      <c r="E256" t="s">
        <v>114</v>
      </c>
      <c r="F256">
        <v>0</v>
      </c>
      <c r="G256">
        <v>56053.465372977429</v>
      </c>
      <c r="H256">
        <v>14278.832313465784</v>
      </c>
      <c r="I256">
        <v>81</v>
      </c>
      <c r="J256">
        <v>88</v>
      </c>
      <c r="K256">
        <v>80</v>
      </c>
      <c r="L256">
        <v>88</v>
      </c>
      <c r="M256">
        <v>88</v>
      </c>
      <c r="N256">
        <v>83</v>
      </c>
      <c r="O256">
        <v>83</v>
      </c>
      <c r="P256">
        <v>81</v>
      </c>
      <c r="Q256">
        <v>8.1107898175503124E-11</v>
      </c>
      <c r="R256">
        <v>16.071999999999999</v>
      </c>
      <c r="S256">
        <v>124.99</v>
      </c>
      <c r="T256">
        <v>14836</v>
      </c>
      <c r="U256">
        <v>14210</v>
      </c>
      <c r="V256">
        <v>480</v>
      </c>
      <c r="W256">
        <v>25.028292999999991</v>
      </c>
      <c r="X256">
        <v>2.8269709999999999</v>
      </c>
      <c r="Y256">
        <v>22.176179999999999</v>
      </c>
      <c r="Z256">
        <v>25.003150999999999</v>
      </c>
      <c r="AA256">
        <v>142.93964500000001</v>
      </c>
      <c r="AB256">
        <v>0.79092499999999999</v>
      </c>
      <c r="AC256">
        <v>141.65973500000001</v>
      </c>
      <c r="AD256">
        <v>142.45066</v>
      </c>
      <c r="AE256">
        <v>2460541</v>
      </c>
      <c r="AF256">
        <v>14836</v>
      </c>
      <c r="AG256">
        <v>2467453</v>
      </c>
      <c r="AH256">
        <v>14690</v>
      </c>
      <c r="AI256">
        <v>1023158</v>
      </c>
      <c r="AJ256">
        <v>1399794</v>
      </c>
    </row>
    <row r="257" spans="1:36" x14ac:dyDescent="0.25">
      <c r="A257" t="s">
        <v>44</v>
      </c>
      <c r="B257">
        <v>6</v>
      </c>
      <c r="C257" t="s">
        <v>34</v>
      </c>
      <c r="D257" t="s">
        <v>46</v>
      </c>
      <c r="E257" t="s">
        <v>114</v>
      </c>
      <c r="F257">
        <v>0</v>
      </c>
      <c r="G257">
        <v>56053.465372977429</v>
      </c>
      <c r="H257">
        <v>14278.832313465784</v>
      </c>
      <c r="I257">
        <v>81</v>
      </c>
      <c r="J257">
        <v>88</v>
      </c>
      <c r="K257">
        <v>80</v>
      </c>
      <c r="L257">
        <v>88</v>
      </c>
      <c r="M257">
        <v>88</v>
      </c>
      <c r="N257">
        <v>83</v>
      </c>
      <c r="O257">
        <v>83</v>
      </c>
      <c r="P257">
        <v>81</v>
      </c>
      <c r="Q257">
        <v>8.1107898175503124E-11</v>
      </c>
      <c r="R257">
        <v>16.053000000000001</v>
      </c>
      <c r="S257">
        <v>126.396</v>
      </c>
      <c r="T257">
        <v>14836</v>
      </c>
      <c r="U257">
        <v>14210</v>
      </c>
      <c r="V257">
        <v>480</v>
      </c>
      <c r="W257">
        <v>25.007768999999996</v>
      </c>
      <c r="X257">
        <v>2.7325409999999999</v>
      </c>
      <c r="Y257">
        <v>22.245509999999999</v>
      </c>
      <c r="Z257">
        <v>24.978051000000001</v>
      </c>
      <c r="AA257">
        <v>144.339281</v>
      </c>
      <c r="AB257">
        <v>1.338176</v>
      </c>
      <c r="AC257">
        <v>142.49006399999999</v>
      </c>
      <c r="AD257">
        <v>143.82823999999999</v>
      </c>
      <c r="AE257">
        <v>2460541</v>
      </c>
      <c r="AF257">
        <v>14836</v>
      </c>
      <c r="AG257">
        <v>2467453</v>
      </c>
      <c r="AH257">
        <v>14690</v>
      </c>
      <c r="AI257">
        <v>1056254</v>
      </c>
      <c r="AJ257">
        <v>1420979</v>
      </c>
    </row>
    <row r="258" spans="1:36" x14ac:dyDescent="0.25">
      <c r="A258" t="s">
        <v>44</v>
      </c>
      <c r="B258">
        <v>7</v>
      </c>
      <c r="C258" t="s">
        <v>34</v>
      </c>
      <c r="D258" t="s">
        <v>46</v>
      </c>
      <c r="E258" t="s">
        <v>114</v>
      </c>
      <c r="F258">
        <v>0</v>
      </c>
      <c r="G258">
        <v>56053.465372977429</v>
      </c>
      <c r="H258">
        <v>14278.832313465784</v>
      </c>
      <c r="I258">
        <v>81</v>
      </c>
      <c r="J258">
        <v>88</v>
      </c>
      <c r="K258">
        <v>80</v>
      </c>
      <c r="L258">
        <v>88</v>
      </c>
      <c r="M258">
        <v>88</v>
      </c>
      <c r="N258">
        <v>83</v>
      </c>
      <c r="O258">
        <v>83</v>
      </c>
      <c r="P258">
        <v>81</v>
      </c>
      <c r="Q258">
        <v>8.1107898175503124E-11</v>
      </c>
      <c r="R258">
        <v>17.657</v>
      </c>
      <c r="S258">
        <v>153.73400000000001</v>
      </c>
      <c r="T258">
        <v>14836</v>
      </c>
      <c r="U258">
        <v>14210</v>
      </c>
      <c r="V258">
        <v>480</v>
      </c>
      <c r="W258">
        <v>24.924446999999986</v>
      </c>
      <c r="X258">
        <v>2.6222430000000001</v>
      </c>
      <c r="Y258">
        <v>22.307767999999999</v>
      </c>
      <c r="Z258">
        <v>24.930011</v>
      </c>
      <c r="AA258">
        <v>173.31283300000001</v>
      </c>
      <c r="AB258">
        <v>1.245913</v>
      </c>
      <c r="AC258">
        <v>171.54711399999999</v>
      </c>
      <c r="AD258">
        <v>172.793027</v>
      </c>
      <c r="AE258">
        <v>2460541</v>
      </c>
      <c r="AF258">
        <v>14836</v>
      </c>
      <c r="AG258">
        <v>2467453</v>
      </c>
      <c r="AH258">
        <v>14690</v>
      </c>
      <c r="AI258">
        <v>1312441</v>
      </c>
      <c r="AJ258">
        <v>1574561</v>
      </c>
    </row>
    <row r="259" spans="1:36" x14ac:dyDescent="0.25">
      <c r="A259" t="s">
        <v>44</v>
      </c>
      <c r="B259">
        <v>8</v>
      </c>
      <c r="C259" t="s">
        <v>34</v>
      </c>
      <c r="D259" t="s">
        <v>46</v>
      </c>
      <c r="E259" t="s">
        <v>114</v>
      </c>
      <c r="F259">
        <v>0</v>
      </c>
      <c r="G259">
        <v>56053.465372977429</v>
      </c>
      <c r="H259">
        <v>14278.832313465784</v>
      </c>
      <c r="I259">
        <v>81</v>
      </c>
      <c r="J259">
        <v>88</v>
      </c>
      <c r="K259">
        <v>80</v>
      </c>
      <c r="L259">
        <v>88</v>
      </c>
      <c r="M259">
        <v>88</v>
      </c>
      <c r="N259">
        <v>83</v>
      </c>
      <c r="O259">
        <v>83</v>
      </c>
      <c r="P259">
        <v>81</v>
      </c>
      <c r="Q259">
        <v>8.1107898175503124E-11</v>
      </c>
      <c r="R259">
        <v>14.696</v>
      </c>
      <c r="S259">
        <v>119.36</v>
      </c>
      <c r="T259">
        <v>14836</v>
      </c>
      <c r="U259">
        <v>14210</v>
      </c>
      <c r="V259">
        <v>480</v>
      </c>
      <c r="W259">
        <v>24.417588999999992</v>
      </c>
      <c r="X259">
        <v>2.6705959999999997</v>
      </c>
      <c r="Y259">
        <v>21.727485000000001</v>
      </c>
      <c r="Z259">
        <v>24.398081000000001</v>
      </c>
      <c r="AA259">
        <v>135.879975</v>
      </c>
      <c r="AB259">
        <v>0.71397100000000002</v>
      </c>
      <c r="AC259">
        <v>134.71233599999999</v>
      </c>
      <c r="AD259">
        <v>135.42630699999998</v>
      </c>
      <c r="AE259">
        <v>2460541</v>
      </c>
      <c r="AF259">
        <v>14836</v>
      </c>
      <c r="AG259">
        <v>2467453</v>
      </c>
      <c r="AH259">
        <v>14690</v>
      </c>
      <c r="AI259">
        <v>1402190</v>
      </c>
      <c r="AJ259">
        <v>1584446</v>
      </c>
    </row>
    <row r="260" spans="1:36" x14ac:dyDescent="0.25">
      <c r="A260" t="s">
        <v>44</v>
      </c>
      <c r="B260">
        <v>9</v>
      </c>
      <c r="C260" t="s">
        <v>34</v>
      </c>
      <c r="D260" t="s">
        <v>46</v>
      </c>
      <c r="E260" t="s">
        <v>114</v>
      </c>
      <c r="F260">
        <v>0</v>
      </c>
      <c r="G260">
        <v>56053.465372977429</v>
      </c>
      <c r="H260">
        <v>14278.832313465784</v>
      </c>
      <c r="I260">
        <v>81</v>
      </c>
      <c r="J260">
        <v>88</v>
      </c>
      <c r="K260">
        <v>80</v>
      </c>
      <c r="L260">
        <v>88</v>
      </c>
      <c r="M260">
        <v>88</v>
      </c>
      <c r="N260">
        <v>83</v>
      </c>
      <c r="O260">
        <v>83</v>
      </c>
      <c r="P260">
        <v>81</v>
      </c>
      <c r="Q260">
        <v>8.1107898175503124E-11</v>
      </c>
      <c r="R260">
        <v>17.419</v>
      </c>
      <c r="S260">
        <v>146.554</v>
      </c>
      <c r="T260">
        <v>14836</v>
      </c>
      <c r="U260">
        <v>14210</v>
      </c>
      <c r="V260">
        <v>480</v>
      </c>
      <c r="W260">
        <v>25.833088000000032</v>
      </c>
      <c r="X260">
        <v>2.6458300000000001</v>
      </c>
      <c r="Y260">
        <v>23.174424999999999</v>
      </c>
      <c r="Z260">
        <v>25.820255</v>
      </c>
      <c r="AA260">
        <v>165.89233299999998</v>
      </c>
      <c r="AB260">
        <v>0.83707599999999993</v>
      </c>
      <c r="AC260">
        <v>164.60176000000001</v>
      </c>
      <c r="AD260">
        <v>165.43883600000001</v>
      </c>
      <c r="AE260">
        <v>2460541</v>
      </c>
      <c r="AF260">
        <v>14836</v>
      </c>
      <c r="AG260">
        <v>2467453</v>
      </c>
      <c r="AH260">
        <v>14690</v>
      </c>
      <c r="AI260">
        <v>1416312</v>
      </c>
      <c r="AJ260">
        <v>1623542</v>
      </c>
    </row>
    <row r="261" spans="1:36" x14ac:dyDescent="0.25">
      <c r="A261" t="s">
        <v>44</v>
      </c>
      <c r="B261">
        <v>10</v>
      </c>
      <c r="C261" t="s">
        <v>34</v>
      </c>
      <c r="D261" t="s">
        <v>46</v>
      </c>
      <c r="E261" t="s">
        <v>114</v>
      </c>
      <c r="F261">
        <v>0</v>
      </c>
      <c r="G261">
        <v>56053.465372977429</v>
      </c>
      <c r="H261">
        <v>14278.832313465784</v>
      </c>
      <c r="I261">
        <v>81</v>
      </c>
      <c r="J261">
        <v>88</v>
      </c>
      <c r="K261">
        <v>80</v>
      </c>
      <c r="L261">
        <v>88</v>
      </c>
      <c r="M261">
        <v>88</v>
      </c>
      <c r="N261">
        <v>83</v>
      </c>
      <c r="O261">
        <v>83</v>
      </c>
      <c r="P261">
        <v>81</v>
      </c>
      <c r="Q261">
        <v>8.1107898175503124E-11</v>
      </c>
      <c r="R261">
        <v>14.465</v>
      </c>
      <c r="S261">
        <v>119.947</v>
      </c>
      <c r="T261">
        <v>14836</v>
      </c>
      <c r="U261">
        <v>14210</v>
      </c>
      <c r="V261">
        <v>480</v>
      </c>
      <c r="W261">
        <v>23.78107</v>
      </c>
      <c r="X261">
        <v>2.7676530000000001</v>
      </c>
      <c r="Y261">
        <v>20.999918999999998</v>
      </c>
      <c r="Z261">
        <v>23.767571999999998</v>
      </c>
      <c r="AA261">
        <v>136.15100000000001</v>
      </c>
      <c r="AB261">
        <v>0.67232099999999995</v>
      </c>
      <c r="AC261">
        <v>135.010593</v>
      </c>
      <c r="AD261">
        <v>135.68291400000001</v>
      </c>
      <c r="AE261">
        <v>2460541</v>
      </c>
      <c r="AF261">
        <v>14836</v>
      </c>
      <c r="AG261">
        <v>2467453</v>
      </c>
      <c r="AH261">
        <v>14690</v>
      </c>
      <c r="AI261">
        <v>1422864</v>
      </c>
      <c r="AJ261">
        <v>1745941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F9EB-72E0-423F-AA95-02F73C89AC4B}">
  <dimension ref="A1:AP27"/>
  <sheetViews>
    <sheetView zoomScale="110" zoomScaleNormal="110" workbookViewId="0">
      <pane xSplit="1" topLeftCell="B1" activePane="topRight" state="frozen"/>
      <selection pane="topRight" activeCell="A25" sqref="A25"/>
    </sheetView>
  </sheetViews>
  <sheetFormatPr defaultRowHeight="15" x14ac:dyDescent="0.25"/>
  <cols>
    <col min="1" max="1" width="21.5703125" bestFit="1" customWidth="1"/>
    <col min="2" max="2" width="4" bestFit="1" customWidth="1"/>
    <col min="3" max="3" width="8.5703125" bestFit="1" customWidth="1"/>
    <col min="4" max="4" width="9.28515625" bestFit="1" customWidth="1"/>
    <col min="5" max="5" width="16.28515625" bestFit="1" customWidth="1"/>
    <col min="6" max="6" width="9.140625" bestFit="1" customWidth="1"/>
    <col min="7" max="8" width="12.28515625" bestFit="1" customWidth="1"/>
    <col min="9" max="9" width="9.42578125" bestFit="1" customWidth="1"/>
    <col min="10" max="10" width="8.28515625" bestFit="1" customWidth="1"/>
    <col min="11" max="11" width="9.42578125" bestFit="1" customWidth="1"/>
    <col min="12" max="12" width="7.5703125" bestFit="1" customWidth="1"/>
    <col min="13" max="13" width="9.28515625" bestFit="1" customWidth="1"/>
    <col min="14" max="14" width="6.7109375" bestFit="1" customWidth="1"/>
    <col min="15" max="15" width="8.42578125" bestFit="1" customWidth="1"/>
    <col min="16" max="16" width="9.5703125" bestFit="1" customWidth="1"/>
    <col min="17" max="17" width="28.140625" bestFit="1" customWidth="1"/>
    <col min="18" max="19" width="12.28515625" bestFit="1" customWidth="1"/>
    <col min="20" max="20" width="9.5703125" bestFit="1" customWidth="1"/>
    <col min="21" max="21" width="8" bestFit="1" customWidth="1"/>
    <col min="22" max="22" width="9.7109375" bestFit="1" customWidth="1"/>
    <col min="23" max="23" width="18.42578125" bestFit="1" customWidth="1"/>
    <col min="24" max="24" width="17.5703125" bestFit="1" customWidth="1"/>
    <col min="25" max="25" width="15.140625" bestFit="1" customWidth="1"/>
    <col min="26" max="26" width="12.28515625" bestFit="1" customWidth="1"/>
    <col min="27" max="27" width="18.42578125" bestFit="1" customWidth="1"/>
    <col min="28" max="28" width="17.5703125" bestFit="1" customWidth="1"/>
    <col min="29" max="29" width="15.140625" bestFit="1" customWidth="1"/>
    <col min="30" max="30" width="12.28515625" bestFit="1" customWidth="1"/>
    <col min="31" max="31" width="8.140625" bestFit="1" customWidth="1"/>
    <col min="32" max="32" width="6.85546875" bestFit="1" customWidth="1"/>
    <col min="33" max="33" width="8.140625" bestFit="1" customWidth="1"/>
    <col min="34" max="34" width="7.42578125" bestFit="1" customWidth="1"/>
    <col min="35" max="35" width="12.28515625" bestFit="1" customWidth="1"/>
    <col min="36" max="36" width="12.28515625" customWidth="1"/>
    <col min="37" max="37" width="16.85546875" bestFit="1" customWidth="1"/>
    <col min="38" max="38" width="16.7109375" bestFit="1" customWidth="1"/>
    <col min="39" max="39" width="17" bestFit="1" customWidth="1"/>
    <col min="40" max="40" width="10.85546875" bestFit="1" customWidth="1"/>
    <col min="41" max="41" width="10.7109375" bestFit="1" customWidth="1"/>
    <col min="42" max="42" width="11" bestFit="1" customWidth="1"/>
  </cols>
  <sheetData>
    <row r="1" spans="1:42" x14ac:dyDescent="0.25">
      <c r="A1" t="str">
        <f>neos_benchmark!A1</f>
        <v>model</v>
      </c>
      <c r="B1" t="str">
        <f>neos_benchmark!B1</f>
        <v>run</v>
      </c>
      <c r="C1" t="str">
        <f>neos_benchmark!C1</f>
        <v>solver</v>
      </c>
      <c r="D1" t="str">
        <f>neos_benchmark!D1</f>
        <v>version</v>
      </c>
      <c r="E1" t="str">
        <f>neos_benchmark!E1</f>
        <v>exit_status</v>
      </c>
      <c r="F1" t="str">
        <f>neos_benchmark!F1</f>
        <v>exit_code</v>
      </c>
      <c r="G1" t="str">
        <f>neos_benchmark!G1</f>
        <v>obj1</v>
      </c>
      <c r="H1" t="str">
        <f>neos_benchmark!H1</f>
        <v>obj2</v>
      </c>
      <c r="I1" t="str">
        <f>neos_benchmark!I1</f>
        <v>iterations</v>
      </c>
      <c r="J1" t="str">
        <f>neos_benchmark!J1</f>
        <v>obj_eval</v>
      </c>
      <c r="K1" t="str">
        <f>neos_benchmark!K1</f>
        <v>grad_eval</v>
      </c>
      <c r="L1" t="str">
        <f>neos_benchmark!L1</f>
        <v>eq_eval</v>
      </c>
      <c r="M1" t="str">
        <f>neos_benchmark!M1</f>
        <v>ineq_eval</v>
      </c>
      <c r="N1" t="str">
        <f>neos_benchmark!N1</f>
        <v>eq_jac</v>
      </c>
      <c r="O1" t="str">
        <f>neos_benchmark!O1</f>
        <v>ineq_jac</v>
      </c>
      <c r="P1" t="str">
        <f>neos_benchmark!P1</f>
        <v>hess_eval</v>
      </c>
      <c r="Q1" t="str">
        <f>neos_benchmark!Q1</f>
        <v>constraint_violation_unscaled</v>
      </c>
      <c r="R1" t="str">
        <f>neos_benchmark!R1</f>
        <v>cpu_ipopt</v>
      </c>
      <c r="S1" t="str">
        <f>neos_benchmark!S1</f>
        <v>cpu_nlp</v>
      </c>
      <c r="T1" t="str">
        <f>neos_benchmark!T1</f>
        <v>total_vars</v>
      </c>
      <c r="U1" t="str">
        <f>neos_benchmark!U1</f>
        <v>total_eq</v>
      </c>
      <c r="V1" t="str">
        <f>neos_benchmark!V1</f>
        <v>total_ineq</v>
      </c>
      <c r="W1" t="str">
        <f>neos_benchmark!W1</f>
        <v>ampl_elapsed_time</v>
      </c>
      <c r="X1" t="str">
        <f>neos_benchmark!X1</f>
        <v>ampl_system_time</v>
      </c>
      <c r="Y1" t="str">
        <f>neos_benchmark!Y1</f>
        <v>ampl_user_time</v>
      </c>
      <c r="Z1" t="str">
        <f>neos_benchmark!Z1</f>
        <v>ampl_time</v>
      </c>
      <c r="AA1" t="str">
        <f>neos_benchmark!AA1</f>
        <v>solve_elapsed_time</v>
      </c>
      <c r="AB1" t="str">
        <f>neos_benchmark!AB1</f>
        <v>solve_system_time</v>
      </c>
      <c r="AC1" t="str">
        <f>neos_benchmark!AC1</f>
        <v>solve_user_time</v>
      </c>
      <c r="AD1" t="str">
        <f>neos_benchmark!AD1</f>
        <v>solve_time</v>
      </c>
      <c r="AE1" t="str">
        <f>neos_benchmark!AE1</f>
        <v>nvars</v>
      </c>
      <c r="AF1" t="str">
        <f>neos_benchmark!AF1</f>
        <v>snvars</v>
      </c>
      <c r="AG1" t="str">
        <f>neos_benchmark!AG1</f>
        <v>ncons</v>
      </c>
      <c r="AH1" t="str">
        <f>neos_benchmark!AH1</f>
        <v>sncons</v>
      </c>
      <c r="AI1" t="str">
        <f>neos_benchmark!AI1</f>
        <v>tic</v>
      </c>
      <c r="AJ1" t="str">
        <f>neos_benchmark!AJ1</f>
        <v>toc</v>
      </c>
      <c r="AK1" s="1" t="s">
        <v>47</v>
      </c>
      <c r="AL1" s="1" t="s">
        <v>53</v>
      </c>
      <c r="AM1" s="1" t="s">
        <v>54</v>
      </c>
      <c r="AN1" s="1" t="s">
        <v>50</v>
      </c>
      <c r="AO1" s="1" t="s">
        <v>52</v>
      </c>
      <c r="AP1" s="1" t="s">
        <v>51</v>
      </c>
    </row>
    <row r="2" spans="1:42" x14ac:dyDescent="0.25">
      <c r="A2" t="str" cm="1">
        <f t="array" ref="A2">INDEX(neos_benchmark!A:A, (ROW()-2)*$B2+2)</f>
        <v>acrobot</v>
      </c>
      <c r="B2">
        <f>COUNTIF(neos_benchmark!A:A, neos_benchmark!A2)</f>
        <v>10</v>
      </c>
      <c r="C2" t="str" cm="1">
        <f t="array" ref="C2">INDEX(neos_benchmark!C:C, (ROW()-2)*$B2+2)</f>
        <v>Ipopt</v>
      </c>
      <c r="D2" t="str" cm="1">
        <f t="array" ref="D2">INDEX(neos_benchmark!D:D, (ROW()-2)*$B2+2)</f>
        <v>3.14.12</v>
      </c>
      <c r="E2" t="str" cm="1">
        <f t="array" ref="E2">INDEX(neos_benchmark!E:E, (ROW()-2)*$B2+2)</f>
        <v>solved</v>
      </c>
      <c r="F2">
        <f>IFERROR(AVERAGE(INDEX(neos_benchmark!F:F, (ROW()-2)*$B2+2):INDEX(neos_benchmark!F:F, (ROW()-2)*$B2 + $B2+1)), "")</f>
        <v>0</v>
      </c>
      <c r="G2">
        <f>IFERROR(AVERAGE(INDEX(neos_benchmark!G:G, (ROW()-2)*$B2+2):INDEX(neos_benchmark!G:G, (ROW()-2)*$B2 + $B2+1)), "")</f>
        <v>69.877641620638073</v>
      </c>
      <c r="H2" t="str">
        <f>IFERROR(AVERAGE(INDEX(neos_benchmark!H:H, (ROW()-2)*$B2+2):INDEX(neos_benchmark!H:H, (ROW()-2)*$B2 + $B2+1)), "")</f>
        <v/>
      </c>
      <c r="I2">
        <f>IFERROR(AVERAGE(INDEX(neos_benchmark!I:I, (ROW()-2)*$B2+2):INDEX(neos_benchmark!I:I, (ROW()-2)*$B2 + $B2+1)), "")</f>
        <v>14</v>
      </c>
      <c r="J2">
        <f>IFERROR(AVERAGE(INDEX(neos_benchmark!J:J, (ROW()-2)*$B2+2):INDEX(neos_benchmark!J:J, (ROW()-2)*$B2 + $B2+1)), "")</f>
        <v>26</v>
      </c>
      <c r="K2">
        <f>IFERROR(AVERAGE(INDEX(neos_benchmark!K:K, (ROW()-2)*$B2+2):INDEX(neos_benchmark!K:K, (ROW()-2)*$B2 + $B2+1)), "")</f>
        <v>15</v>
      </c>
      <c r="L2">
        <f>IFERROR(AVERAGE(INDEX(neos_benchmark!L:L, (ROW()-2)*$B2+2):INDEX(neos_benchmark!L:L, (ROW()-2)*$B2 + $B2+1)), "")</f>
        <v>26</v>
      </c>
      <c r="M2">
        <f>IFERROR(AVERAGE(INDEX(neos_benchmark!M:M, (ROW()-2)*$B2+2):INDEX(neos_benchmark!M:M, (ROW()-2)*$B2 + $B2+1)), "")</f>
        <v>26</v>
      </c>
      <c r="N2">
        <f>IFERROR(AVERAGE(INDEX(neos_benchmark!N:N, (ROW()-2)*$B2+2):INDEX(neos_benchmark!N:N, (ROW()-2)*$B2 + $B2+1)), "")</f>
        <v>15</v>
      </c>
      <c r="O2">
        <f>IFERROR(AVERAGE(INDEX(neos_benchmark!O:O, (ROW()-2)*$B2+2):INDEX(neos_benchmark!O:O, (ROW()-2)*$B2 + $B2+1)), "")</f>
        <v>15</v>
      </c>
      <c r="P2">
        <f>IFERROR(AVERAGE(INDEX(neos_benchmark!P:P, (ROW()-2)*$B2+2):INDEX(neos_benchmark!P:P, (ROW()-2)*$B2 + $B2+1)), "")</f>
        <v>14</v>
      </c>
      <c r="Q2">
        <f>IFERROR(AVERAGE(INDEX(neos_benchmark!Q:Q, (ROW()-2)*$B2+2):INDEX(neos_benchmark!Q:Q, (ROW()-2)*$B2 + $B2+1)), "")</f>
        <v>1.4210854715202004E-14</v>
      </c>
      <c r="R2">
        <f>IFERROR(AVERAGE(INDEX(neos_benchmark!R:R, (ROW()-2)*$B2+2):INDEX(neos_benchmark!R:R, (ROW()-2)*$B2 + $B2+1)), "")</f>
        <v>2.0899999999999998E-2</v>
      </c>
      <c r="S2">
        <f>IFERROR(AVERAGE(INDEX(neos_benchmark!S:S, (ROW()-2)*$B2+2):INDEX(neos_benchmark!S:S, (ROW()-2)*$B2 + $B2+1)), "")</f>
        <v>6.0999999999999995E-3</v>
      </c>
      <c r="T2">
        <f>IFERROR(AVERAGE(INDEX(neos_benchmark!T:T, (ROW()-2)*$B2+2):INDEX(neos_benchmark!T:T, (ROW()-2)*$B2 + $B2+1)), "")</f>
        <v>132</v>
      </c>
      <c r="U2">
        <f>IFERROR(AVERAGE(INDEX(neos_benchmark!U:U, (ROW()-2)*$B2+2):INDEX(neos_benchmark!U:U, (ROW()-2)*$B2 + $B2+1)), "")</f>
        <v>116</v>
      </c>
      <c r="V2">
        <f>IFERROR(AVERAGE(INDEX(neos_benchmark!V:V, (ROW()-2)*$B2+2):INDEX(neos_benchmark!V:V, (ROW()-2)*$B2 + $B2+1)), "")</f>
        <v>18</v>
      </c>
      <c r="W2">
        <f>IFERROR(AVERAGE(INDEX(neos_benchmark!W:W, (ROW()-2)*$B2+2):INDEX(neos_benchmark!W:W, (ROW()-2)*$B2 + $B2+1)), "")</f>
        <v>4.2518999999999994E-2</v>
      </c>
      <c r="X2">
        <f>IFERROR(AVERAGE(INDEX(neos_benchmark!X:X, (ROW()-2)*$B2+2):INDEX(neos_benchmark!X:X, (ROW()-2)*$B2 + $B2+1)), "")</f>
        <v>1.39804E-2</v>
      </c>
      <c r="Y2">
        <f>IFERROR(AVERAGE(INDEX(neos_benchmark!Y:Y, (ROW()-2)*$B2+2):INDEX(neos_benchmark!Y:Y, (ROW()-2)*$B2 + $B2+1)), "")</f>
        <v>3.2379899999999996E-2</v>
      </c>
      <c r="Z2">
        <f>IFERROR(AVERAGE(INDEX(neos_benchmark!Z:Z, (ROW()-2)*$B2+2):INDEX(neos_benchmark!Z:Z, (ROW()-2)*$B2 + $B2+1)), "")</f>
        <v>4.6360299999999986E-2</v>
      </c>
      <c r="AA2">
        <f>IFERROR(AVERAGE(INDEX(neos_benchmark!AA:AA, (ROW()-2)*$B2+2):INDEX(neos_benchmark!AA:AA, (ROW()-2)*$B2 + $B2+1)), "")</f>
        <v>3.5519199999999987E-2</v>
      </c>
      <c r="AB2">
        <f>IFERROR(AVERAGE(INDEX(neos_benchmark!AB:AB, (ROW()-2)*$B2+2):INDEX(neos_benchmark!AB:AB, (ROW()-2)*$B2 + $B2+1)), "")</f>
        <v>5.1481999999999986E-3</v>
      </c>
      <c r="AC2">
        <f>IFERROR(AVERAGE(INDEX(neos_benchmark!AC:AC, (ROW()-2)*$B2+2):INDEX(neos_benchmark!AC:AC, (ROW()-2)*$B2 + $B2+1)), "")</f>
        <v>2.9627299999999995E-2</v>
      </c>
      <c r="AD2">
        <f>IFERROR(AVERAGE(INDEX(neos_benchmark!AD:AD, (ROW()-2)*$B2+2):INDEX(neos_benchmark!AD:AD, (ROW()-2)*$B2 + $B2+1)), "")</f>
        <v>3.4775499999999994E-2</v>
      </c>
      <c r="AE2">
        <f>IFERROR(AVERAGE(INDEX(neos_benchmark!AE:AE, (ROW()-2)*$B2+2):INDEX(neos_benchmark!AE:AE, (ROW()-2)*$B2 + $B2+1)), "")</f>
        <v>8779</v>
      </c>
      <c r="AF2">
        <f>IFERROR(AVERAGE(INDEX(neos_benchmark!AF:AF, (ROW()-2)*$B2+2):INDEX(neos_benchmark!AF:AF, (ROW()-2)*$B2 + $B2+1)), "")</f>
        <v>132</v>
      </c>
      <c r="AG2">
        <f>IFERROR(AVERAGE(INDEX(neos_benchmark!AG:AG, (ROW()-2)*$B2+2):INDEX(neos_benchmark!AG:AG, (ROW()-2)*$B2 + $B2+1)), "")</f>
        <v>8824</v>
      </c>
      <c r="AH2">
        <f>IFERROR(AVERAGE(INDEX(neos_benchmark!AH:AH, (ROW()-2)*$B2+2):INDEX(neos_benchmark!AH:AH, (ROW()-2)*$B2 + $B2+1)), "")</f>
        <v>134</v>
      </c>
      <c r="AI2">
        <f>IFERROR(AVERAGE(INDEX(neos_benchmark!AI:AI, (ROW()-2)*$B2+2):INDEX(neos_benchmark!AI:AI, (ROW()-2)*$B2 + $B2+1)), "")</f>
        <v>475918.5</v>
      </c>
      <c r="AJ2">
        <f>IFERROR(AVERAGE(INDEX(neos_benchmark!AJ:AJ, (ROW()-2)*$B2+2):INDEX(neos_benchmark!AJ:AJ, (ROW()-2)*$B2 + $B2+1)), "")</f>
        <v>537518.1</v>
      </c>
      <c r="AK2" cm="1">
        <f t="array" ref="AK2">IFERROR(AVERAGE(INDEX(neos_benchmark!W:W, (ROW()-2)*$B2+2):INDEX(neos_benchmark!W:W, (ROW()-2)*$B2 + $B2+1) + INDEX(neos_benchmark!AA:AA, (ROW()-2)*$B2+2):INDEX(neos_benchmark!AA:AA, (ROW()-2)*$B2 + $B2+1)), "")</f>
        <v>7.8038199999999988E-2</v>
      </c>
      <c r="AL2" cm="1">
        <f t="array" ref="AL2">IFERROR(MIN(INDEX(neos_benchmark!W:W, (ROW()-2)*$B2+2):INDEX(neos_benchmark!W:W, (ROW()-2)*$B2 + $B2+1) + INDEX(neos_benchmark!AA:AA, (ROW()-2)*$B2+2):INDEX(neos_benchmark!AA:AA, (ROW()-2)*$B2 + $B2+1)), "")</f>
        <v>6.0433000000000001E-2</v>
      </c>
      <c r="AM2" cm="1">
        <f t="array" ref="AM2">IFERROR(MAX(INDEX(neos_benchmark!W:W, (ROW()-2)*$B2+2):INDEX(neos_benchmark!W:W, (ROW()-2)*$B2 + $B2+1) + INDEX(neos_benchmark!AA:AA, (ROW()-2)*$B2+2):INDEX(neos_benchmark!AA:AA, (ROW()-2)*$B2 + $B2+1)), "")</f>
        <v>0.109265</v>
      </c>
      <c r="AN2" cm="1">
        <f t="array" ref="AN2">IFERROR(AVERAGE((INDEX(neos_benchmark!AJ:AJ, (ROW()-2)*$B2+2):INDEX(neos_benchmark!AJ:AJ, (ROW()-2)*$B2 + $B2+1) - INDEX(neos_benchmark!AI:AI, (ROW()-2)*$B2+2):INDEX(neos_benchmark!AI:AI, (ROW()-2)*$B2 + $B2+1)) / 1000), "")</f>
        <v>61.599599999999988</v>
      </c>
      <c r="AO2" cm="1">
        <f t="array" ref="AO2">IFERROR(MIN((INDEX(neos_benchmark!AJ:AJ, (ROW()-2)*$B2+2):INDEX(neos_benchmark!AJ:AJ, (ROW()-2)*$B2 + $B2+1) - INDEX(neos_benchmark!AI:AI, (ROW()-2)*$B2+2):INDEX(neos_benchmark!AI:AI, (ROW()-2)*$B2 + $B2+1)) / 1000), "")</f>
        <v>3.9649999999999999</v>
      </c>
      <c r="AP2" cm="1">
        <f t="array" ref="AP2">IFERROR(MAX((INDEX(neos_benchmark!AJ:AJ, (ROW()-2)*$B2+2):INDEX(neos_benchmark!AJ:AJ, (ROW()-2)*$B2 + $B2+1) - INDEX(neos_benchmark!AI:AI, (ROW()-2)*$B2+2):INDEX(neos_benchmark!AI:AI, (ROW()-2)*$B2 + $B2+1)) / 1000), "")</f>
        <v>254.227</v>
      </c>
    </row>
    <row r="3" spans="1:42" x14ac:dyDescent="0.25">
      <c r="A3" t="str" cm="1">
        <f t="array" ref="A3">INDEX(neos_benchmark!A:A, (ROW()-2)*$B3+2)</f>
        <v>cart-pendulum-time</v>
      </c>
      <c r="B3">
        <f>COUNTIF(neos_benchmark!A:A, neos_benchmark!A3)</f>
        <v>10</v>
      </c>
      <c r="C3" t="str" cm="1">
        <f t="array" ref="C3">INDEX(neos_benchmark!C:C, (ROW()-2)*$B3+2)</f>
        <v>Ipopt</v>
      </c>
      <c r="D3" t="str" cm="1">
        <f t="array" ref="D3">INDEX(neos_benchmark!D:D, (ROW()-2)*$B3+2)</f>
        <v>3.14.12</v>
      </c>
      <c r="E3" t="str" cm="1">
        <f t="array" ref="E3">INDEX(neos_benchmark!E:E, (ROW()-2)*$B3+2)</f>
        <v>solved</v>
      </c>
      <c r="F3">
        <f>IFERROR(AVERAGE(INDEX(neos_benchmark!F:F, (ROW()-2)*$B3+2):INDEX(neos_benchmark!F:F, (ROW()-2)*$B3 + $B3+1)), "")</f>
        <v>0</v>
      </c>
      <c r="G3">
        <f>IFERROR(AVERAGE(INDEX(neos_benchmark!G:G, (ROW()-2)*$B3+2):INDEX(neos_benchmark!G:G, (ROW()-2)*$B3 + $B3+1)), "")</f>
        <v>1.145937256137548</v>
      </c>
      <c r="H3" t="str">
        <f>IFERROR(AVERAGE(INDEX(neos_benchmark!H:H, (ROW()-2)*$B3+2):INDEX(neos_benchmark!H:H, (ROW()-2)*$B3 + $B3+1)), "")</f>
        <v/>
      </c>
      <c r="I3">
        <f>IFERROR(AVERAGE(INDEX(neos_benchmark!I:I, (ROW()-2)*$B3+2):INDEX(neos_benchmark!I:I, (ROW()-2)*$B3 + $B3+1)), "")</f>
        <v>43</v>
      </c>
      <c r="J3">
        <f>IFERROR(AVERAGE(INDEX(neos_benchmark!J:J, (ROW()-2)*$B3+2):INDEX(neos_benchmark!J:J, (ROW()-2)*$B3 + $B3+1)), "")</f>
        <v>59</v>
      </c>
      <c r="K3">
        <f>IFERROR(AVERAGE(INDEX(neos_benchmark!K:K, (ROW()-2)*$B3+2):INDEX(neos_benchmark!K:K, (ROW()-2)*$B3 + $B3+1)), "")</f>
        <v>44</v>
      </c>
      <c r="L3">
        <f>IFERROR(AVERAGE(INDEX(neos_benchmark!L:L, (ROW()-2)*$B3+2):INDEX(neos_benchmark!L:L, (ROW()-2)*$B3 + $B3+1)), "")</f>
        <v>59</v>
      </c>
      <c r="M3">
        <f>IFERROR(AVERAGE(INDEX(neos_benchmark!M:M, (ROW()-2)*$B3+2):INDEX(neos_benchmark!M:M, (ROW()-2)*$B3 + $B3+1)), "")</f>
        <v>0</v>
      </c>
      <c r="N3">
        <f>IFERROR(AVERAGE(INDEX(neos_benchmark!N:N, (ROW()-2)*$B3+2):INDEX(neos_benchmark!N:N, (ROW()-2)*$B3 + $B3+1)), "")</f>
        <v>44</v>
      </c>
      <c r="O3">
        <f>IFERROR(AVERAGE(INDEX(neos_benchmark!O:O, (ROW()-2)*$B3+2):INDEX(neos_benchmark!O:O, (ROW()-2)*$B3 + $B3+1)), "")</f>
        <v>0</v>
      </c>
      <c r="P3">
        <f>IFERROR(AVERAGE(INDEX(neos_benchmark!P:P, (ROW()-2)*$B3+2):INDEX(neos_benchmark!P:P, (ROW()-2)*$B3 + $B3+1)), "")</f>
        <v>43</v>
      </c>
      <c r="Q3">
        <f>IFERROR(AVERAGE(INDEX(neos_benchmark!Q:Q, (ROW()-2)*$B3+2):INDEX(neos_benchmark!Q:Q, (ROW()-2)*$B3 + $B3+1)), "")</f>
        <v>5.8264504332328215E-12</v>
      </c>
      <c r="R3">
        <f>IFERROR(AVERAGE(INDEX(neos_benchmark!R:R, (ROW()-2)*$B3+2):INDEX(neos_benchmark!R:R, (ROW()-2)*$B3 + $B3+1)), "")</f>
        <v>4.4299999999999992E-2</v>
      </c>
      <c r="S3">
        <f>IFERROR(AVERAGE(INDEX(neos_benchmark!S:S, (ROW()-2)*$B3+2):INDEX(neos_benchmark!S:S, (ROW()-2)*$B3 + $B3+1)), "")</f>
        <v>3.2000000000000002E-3</v>
      </c>
      <c r="T3">
        <f>IFERROR(AVERAGE(INDEX(neos_benchmark!T:T, (ROW()-2)*$B3+2):INDEX(neos_benchmark!T:T, (ROW()-2)*$B3 + $B3+1)), "")</f>
        <v>80</v>
      </c>
      <c r="U3">
        <f>IFERROR(AVERAGE(INDEX(neos_benchmark!U:U, (ROW()-2)*$B3+2):INDEX(neos_benchmark!U:U, (ROW()-2)*$B3 + $B3+1)), "")</f>
        <v>74</v>
      </c>
      <c r="V3">
        <f>IFERROR(AVERAGE(INDEX(neos_benchmark!V:V, (ROW()-2)*$B3+2):INDEX(neos_benchmark!V:V, (ROW()-2)*$B3 + $B3+1)), "")</f>
        <v>0</v>
      </c>
      <c r="W3">
        <f>IFERROR(AVERAGE(INDEX(neos_benchmark!W:W, (ROW()-2)*$B3+2):INDEX(neos_benchmark!W:W, (ROW()-2)*$B3 + $B3+1)), "")</f>
        <v>1.9108900000000002E-2</v>
      </c>
      <c r="X3">
        <f>IFERROR(AVERAGE(INDEX(neos_benchmark!X:X, (ROW()-2)*$B3+2):INDEX(neos_benchmark!X:X, (ROW()-2)*$B3 + $B3+1)), "")</f>
        <v>7.2644999999999984E-3</v>
      </c>
      <c r="Y3">
        <f>IFERROR(AVERAGE(INDEX(neos_benchmark!Y:Y, (ROW()-2)*$B3+2):INDEX(neos_benchmark!Y:Y, (ROW()-2)*$B3 + $B3+1)), "")</f>
        <v>1.5039900000000004E-2</v>
      </c>
      <c r="Z3">
        <f>IFERROR(AVERAGE(INDEX(neos_benchmark!Z:Z, (ROW()-2)*$B3+2):INDEX(neos_benchmark!Z:Z, (ROW()-2)*$B3 + $B3+1)), "")</f>
        <v>2.2304399999999995E-2</v>
      </c>
      <c r="AA3">
        <f>IFERROR(AVERAGE(INDEX(neos_benchmark!AA:AA, (ROW()-2)*$B3+2):INDEX(neos_benchmark!AA:AA, (ROW()-2)*$B3 + $B3+1)), "")</f>
        <v>5.3100100000000004E-2</v>
      </c>
      <c r="AB3">
        <f>IFERROR(AVERAGE(INDEX(neos_benchmark!AB:AB, (ROW()-2)*$B3+2):INDEX(neos_benchmark!AB:AB, (ROW()-2)*$B3 + $B3+1)), "")</f>
        <v>5.8381999999999991E-3</v>
      </c>
      <c r="AC3">
        <f>IFERROR(AVERAGE(INDEX(neos_benchmark!AC:AC, (ROW()-2)*$B3+2):INDEX(neos_benchmark!AC:AC, (ROW()-2)*$B3 + $B3+1)), "")</f>
        <v>4.6655700000000001E-2</v>
      </c>
      <c r="AD3">
        <f>IFERROR(AVERAGE(INDEX(neos_benchmark!AD:AD, (ROW()-2)*$B3+2):INDEX(neos_benchmark!AD:AD, (ROW()-2)*$B3 + $B3+1)), "")</f>
        <v>5.2493900000000003E-2</v>
      </c>
      <c r="AE3">
        <f>IFERROR(AVERAGE(INDEX(neos_benchmark!AE:AE, (ROW()-2)*$B3+2):INDEX(neos_benchmark!AE:AE, (ROW()-2)*$B3 + $B3+1)), "")</f>
        <v>4388</v>
      </c>
      <c r="AF3">
        <f>IFERROR(AVERAGE(INDEX(neos_benchmark!AF:AF, (ROW()-2)*$B3+2):INDEX(neos_benchmark!AF:AF, (ROW()-2)*$B3 + $B3+1)), "")</f>
        <v>80</v>
      </c>
      <c r="AG3">
        <f>IFERROR(AVERAGE(INDEX(neos_benchmark!AG:AG, (ROW()-2)*$B3+2):INDEX(neos_benchmark!AG:AG, (ROW()-2)*$B3 + $B3+1)), "")</f>
        <v>4413</v>
      </c>
      <c r="AH3">
        <f>IFERROR(AVERAGE(INDEX(neos_benchmark!AH:AH, (ROW()-2)*$B3+2):INDEX(neos_benchmark!AH:AH, (ROW()-2)*$B3 + $B3+1)), "")</f>
        <v>74</v>
      </c>
      <c r="AI3">
        <f>IFERROR(AVERAGE(INDEX(neos_benchmark!AI:AI, (ROW()-2)*$B3+2):INDEX(neos_benchmark!AI:AI, (ROW()-2)*$B3 + $B3+1)), "")</f>
        <v>537109</v>
      </c>
      <c r="AJ3">
        <f>IFERROR(AVERAGE(INDEX(neos_benchmark!AJ:AJ, (ROW()-2)*$B3+2):INDEX(neos_benchmark!AJ:AJ, (ROW()-2)*$B3 + $B3+1)), "")</f>
        <v>564523.19999999995</v>
      </c>
      <c r="AK3" cm="1">
        <f t="array" ref="AK3">IFERROR(AVERAGE(INDEX(neos_benchmark!W:W, (ROW()-2)*$B3+2):INDEX(neos_benchmark!W:W, (ROW()-2)*$B3 + $B3+1) + INDEX(neos_benchmark!AA:AA, (ROW()-2)*$B3+2):INDEX(neos_benchmark!AA:AA, (ROW()-2)*$B3 + $B3+1)), "")</f>
        <v>7.2208999999999995E-2</v>
      </c>
      <c r="AL3" cm="1">
        <f t="array" ref="AL3">IFERROR(MIN(INDEX(neos_benchmark!W:W, (ROW()-2)*$B3+2):INDEX(neos_benchmark!W:W, (ROW()-2)*$B3 + $B3+1) + INDEX(neos_benchmark!AA:AA, (ROW()-2)*$B3+2):INDEX(neos_benchmark!AA:AA, (ROW()-2)*$B3 + $B3+1)), "")</f>
        <v>6.4510999999999999E-2</v>
      </c>
      <c r="AM3" cm="1">
        <f t="array" ref="AM3">IFERROR(MAX(INDEX(neos_benchmark!W:W, (ROW()-2)*$B3+2):INDEX(neos_benchmark!W:W, (ROW()-2)*$B3 + $B3+1) + INDEX(neos_benchmark!AA:AA, (ROW()-2)*$B3+2):INDEX(neos_benchmark!AA:AA, (ROW()-2)*$B3 + $B3+1)), "")</f>
        <v>8.6952000000000002E-2</v>
      </c>
      <c r="AN3" cm="1">
        <f t="array" ref="AN3">IFERROR(AVERAGE((INDEX(neos_benchmark!AJ:AJ, (ROW()-2)*$B3+2):INDEX(neos_benchmark!AJ:AJ, (ROW()-2)*$B3 + $B3+1) - INDEX(neos_benchmark!AI:AI, (ROW()-2)*$B3+2):INDEX(neos_benchmark!AI:AI, (ROW()-2)*$B3 + $B3+1)) / 1000), "")</f>
        <v>27.414200000000001</v>
      </c>
      <c r="AO3" cm="1">
        <f t="array" ref="AO3">IFERROR(MIN((INDEX(neos_benchmark!AJ:AJ, (ROW()-2)*$B3+2):INDEX(neos_benchmark!AJ:AJ, (ROW()-2)*$B3 + $B3+1) - INDEX(neos_benchmark!AI:AI, (ROW()-2)*$B3+2):INDEX(neos_benchmark!AI:AI, (ROW()-2)*$B3 + $B3+1)) / 1000), "")</f>
        <v>4.6050000000000004</v>
      </c>
      <c r="AP3" cm="1">
        <f t="array" ref="AP3">IFERROR(MAX((INDEX(neos_benchmark!AJ:AJ, (ROW()-2)*$B3+2):INDEX(neos_benchmark!AJ:AJ, (ROW()-2)*$B3 + $B3+1) - INDEX(neos_benchmark!AI:AI, (ROW()-2)*$B3+2):INDEX(neos_benchmark!AI:AI, (ROW()-2)*$B3 + $B3+1)) / 1000), "")</f>
        <v>102.771</v>
      </c>
    </row>
    <row r="4" spans="1:42" x14ac:dyDescent="0.25">
      <c r="A4" t="str" cm="1">
        <f t="array" ref="A4">INDEX(neos_benchmark!A:A, (ROW()-2)*$B4+2)</f>
        <v>cart-pendulum-utot</v>
      </c>
      <c r="B4">
        <f>COUNTIF(neos_benchmark!A:A, neos_benchmark!A4)</f>
        <v>10</v>
      </c>
      <c r="C4" t="str" cm="1">
        <f t="array" ref="C4">INDEX(neos_benchmark!C:C, (ROW()-2)*$B4+2)</f>
        <v>Ipopt</v>
      </c>
      <c r="D4" t="str" cm="1">
        <f t="array" ref="D4">INDEX(neos_benchmark!D:D, (ROW()-2)*$B4+2)</f>
        <v>3.14.12</v>
      </c>
      <c r="E4" t="str" cm="1">
        <f t="array" ref="E4">INDEX(neos_benchmark!E:E, (ROW()-2)*$B4+2)</f>
        <v>solved</v>
      </c>
      <c r="F4">
        <f>IFERROR(AVERAGE(INDEX(neos_benchmark!F:F, (ROW()-2)*$B4+2):INDEX(neos_benchmark!F:F, (ROW()-2)*$B4 + $B4+1)), "")</f>
        <v>0</v>
      </c>
      <c r="G4">
        <f>IFERROR(AVERAGE(INDEX(neos_benchmark!G:G, (ROW()-2)*$B4+2):INDEX(neos_benchmark!G:G, (ROW()-2)*$B4 + $B4+1)), "")</f>
        <v>229.29128070613928</v>
      </c>
      <c r="H4" t="str">
        <f>IFERROR(AVERAGE(INDEX(neos_benchmark!H:H, (ROW()-2)*$B4+2):INDEX(neos_benchmark!H:H, (ROW()-2)*$B4 + $B4+1)), "")</f>
        <v/>
      </c>
      <c r="I4">
        <f>IFERROR(AVERAGE(INDEX(neos_benchmark!I:I, (ROW()-2)*$B4+2):INDEX(neos_benchmark!I:I, (ROW()-2)*$B4 + $B4+1)), "")</f>
        <v>12</v>
      </c>
      <c r="J4">
        <f>IFERROR(AVERAGE(INDEX(neos_benchmark!J:J, (ROW()-2)*$B4+2):INDEX(neos_benchmark!J:J, (ROW()-2)*$B4 + $B4+1)), "")</f>
        <v>15</v>
      </c>
      <c r="K4">
        <f>IFERROR(AVERAGE(INDEX(neos_benchmark!K:K, (ROW()-2)*$B4+2):INDEX(neos_benchmark!K:K, (ROW()-2)*$B4 + $B4+1)), "")</f>
        <v>13</v>
      </c>
      <c r="L4">
        <f>IFERROR(AVERAGE(INDEX(neos_benchmark!L:L, (ROW()-2)*$B4+2):INDEX(neos_benchmark!L:L, (ROW()-2)*$B4 + $B4+1)), "")</f>
        <v>15</v>
      </c>
      <c r="M4">
        <f>IFERROR(AVERAGE(INDEX(neos_benchmark!M:M, (ROW()-2)*$B4+2):INDEX(neos_benchmark!M:M, (ROW()-2)*$B4 + $B4+1)), "")</f>
        <v>0</v>
      </c>
      <c r="N4">
        <f>IFERROR(AVERAGE(INDEX(neos_benchmark!N:N, (ROW()-2)*$B4+2):INDEX(neos_benchmark!N:N, (ROW()-2)*$B4 + $B4+1)), "")</f>
        <v>13</v>
      </c>
      <c r="O4">
        <f>IFERROR(AVERAGE(INDEX(neos_benchmark!O:O, (ROW()-2)*$B4+2):INDEX(neos_benchmark!O:O, (ROW()-2)*$B4 + $B4+1)), "")</f>
        <v>0</v>
      </c>
      <c r="P4">
        <f>IFERROR(AVERAGE(INDEX(neos_benchmark!P:P, (ROW()-2)*$B4+2):INDEX(neos_benchmark!P:P, (ROW()-2)*$B4 + $B4+1)), "")</f>
        <v>12</v>
      </c>
      <c r="Q4">
        <f>IFERROR(AVERAGE(INDEX(neos_benchmark!Q:Q, (ROW()-2)*$B4+2):INDEX(neos_benchmark!Q:Q, (ROW()-2)*$B4 + $B4+1)), "")</f>
        <v>2.8421709430404007E-14</v>
      </c>
      <c r="R4">
        <f>IFERROR(AVERAGE(INDEX(neos_benchmark!R:R, (ROW()-2)*$B4+2):INDEX(neos_benchmark!R:R, (ROW()-2)*$B4 + $B4+1)), "")</f>
        <v>2.06E-2</v>
      </c>
      <c r="S4">
        <f>IFERROR(AVERAGE(INDEX(neos_benchmark!S:S, (ROW()-2)*$B4+2):INDEX(neos_benchmark!S:S, (ROW()-2)*$B4 + $B4+1)), "")</f>
        <v>2.8000000000000008E-3</v>
      </c>
      <c r="T4">
        <f>IFERROR(AVERAGE(INDEX(neos_benchmark!T:T, (ROW()-2)*$B4+2):INDEX(neos_benchmark!T:T, (ROW()-2)*$B4 + $B4+1)), "")</f>
        <v>202</v>
      </c>
      <c r="U4">
        <f>IFERROR(AVERAGE(INDEX(neos_benchmark!U:U, (ROW()-2)*$B4+2):INDEX(neos_benchmark!U:U, (ROW()-2)*$B4 + $B4+1)), "")</f>
        <v>176</v>
      </c>
      <c r="V4">
        <f>IFERROR(AVERAGE(INDEX(neos_benchmark!V:V, (ROW()-2)*$B4+2):INDEX(neos_benchmark!V:V, (ROW()-2)*$B4 + $B4+1)), "")</f>
        <v>0</v>
      </c>
      <c r="W4">
        <f>IFERROR(AVERAGE(INDEX(neos_benchmark!W:W, (ROW()-2)*$B4+2):INDEX(neos_benchmark!W:W, (ROW()-2)*$B4 + $B4+1)), "")</f>
        <v>5.8242200000000008E-2</v>
      </c>
      <c r="X4">
        <f>IFERROR(AVERAGE(INDEX(neos_benchmark!X:X, (ROW()-2)*$B4+2):INDEX(neos_benchmark!X:X, (ROW()-2)*$B4 + $B4+1)), "")</f>
        <v>1.9228799999999997E-2</v>
      </c>
      <c r="Y4">
        <f>IFERROR(AVERAGE(INDEX(neos_benchmark!Y:Y, (ROW()-2)*$B4+2):INDEX(neos_benchmark!Y:Y, (ROW()-2)*$B4 + $B4+1)), "")</f>
        <v>4.2776300000000003E-2</v>
      </c>
      <c r="Z4">
        <f>IFERROR(AVERAGE(INDEX(neos_benchmark!Z:Z, (ROW()-2)*$B4+2):INDEX(neos_benchmark!Z:Z, (ROW()-2)*$B4 + $B4+1)), "")</f>
        <v>6.2005099999999994E-2</v>
      </c>
      <c r="AA4">
        <f>IFERROR(AVERAGE(INDEX(neos_benchmark!AA:AA, (ROW()-2)*$B4+2):INDEX(neos_benchmark!AA:AA, (ROW()-2)*$B4 + $B4+1)), "")</f>
        <v>3.1830099999999993E-2</v>
      </c>
      <c r="AB4">
        <f>IFERROR(AVERAGE(INDEX(neos_benchmark!AB:AB, (ROW()-2)*$B4+2):INDEX(neos_benchmark!AB:AB, (ROW()-2)*$B4 + $B4+1)), "")</f>
        <v>4.8310999999999996E-3</v>
      </c>
      <c r="AC4">
        <f>IFERROR(AVERAGE(INDEX(neos_benchmark!AC:AC, (ROW()-2)*$B4+2):INDEX(neos_benchmark!AC:AC, (ROW()-2)*$B4 + $B4+1)), "")</f>
        <v>2.6039499999999993E-2</v>
      </c>
      <c r="AD4">
        <f>IFERROR(AVERAGE(INDEX(neos_benchmark!AD:AD, (ROW()-2)*$B4+2):INDEX(neos_benchmark!AD:AD, (ROW()-2)*$B4 + $B4+1)), "")</f>
        <v>3.0870600000000005E-2</v>
      </c>
      <c r="AE4">
        <f>IFERROR(AVERAGE(INDEX(neos_benchmark!AE:AE, (ROW()-2)*$B4+2):INDEX(neos_benchmark!AE:AE, (ROW()-2)*$B4 + $B4+1)), "")</f>
        <v>13169</v>
      </c>
      <c r="AF4">
        <f>IFERROR(AVERAGE(INDEX(neos_benchmark!AF:AF, (ROW()-2)*$B4+2):INDEX(neos_benchmark!AF:AF, (ROW()-2)*$B4 + $B4+1)), "")</f>
        <v>202</v>
      </c>
      <c r="AG4">
        <f>IFERROR(AVERAGE(INDEX(neos_benchmark!AG:AG, (ROW()-2)*$B4+2):INDEX(neos_benchmark!AG:AG, (ROW()-2)*$B4 + $B4+1)), "")</f>
        <v>13234</v>
      </c>
      <c r="AH4">
        <f>IFERROR(AVERAGE(INDEX(neos_benchmark!AH:AH, (ROW()-2)*$B4+2):INDEX(neos_benchmark!AH:AH, (ROW()-2)*$B4 + $B4+1)), "")</f>
        <v>176</v>
      </c>
      <c r="AI4">
        <f>IFERROR(AVERAGE(INDEX(neos_benchmark!AI:AI, (ROW()-2)*$B4+2):INDEX(neos_benchmark!AI:AI, (ROW()-2)*$B4 + $B4+1)), "")</f>
        <v>577777.1</v>
      </c>
      <c r="AJ4">
        <f>IFERROR(AVERAGE(INDEX(neos_benchmark!AJ:AJ, (ROW()-2)*$B4+2):INDEX(neos_benchmark!AJ:AJ, (ROW()-2)*$B4 + $B4+1)), "")</f>
        <v>600161.5</v>
      </c>
      <c r="AK4" cm="1">
        <f t="array" ref="AK4">IFERROR(AVERAGE(INDEX(neos_benchmark!W:W, (ROW()-2)*$B4+2):INDEX(neos_benchmark!W:W, (ROW()-2)*$B4 + $B4+1) + INDEX(neos_benchmark!AA:AA, (ROW()-2)*$B4+2):INDEX(neos_benchmark!AA:AA, (ROW()-2)*$B4 + $B4+1)), "")</f>
        <v>9.0072300000000022E-2</v>
      </c>
      <c r="AL4" cm="1">
        <f t="array" ref="AL4">IFERROR(MIN(INDEX(neos_benchmark!W:W, (ROW()-2)*$B4+2):INDEX(neos_benchmark!W:W, (ROW()-2)*$B4 + $B4+1) + INDEX(neos_benchmark!AA:AA, (ROW()-2)*$B4+2):INDEX(neos_benchmark!AA:AA, (ROW()-2)*$B4 + $B4+1)), "")</f>
        <v>7.2109000000000006E-2</v>
      </c>
      <c r="AM4" cm="1">
        <f t="array" ref="AM4">IFERROR(MAX(INDEX(neos_benchmark!W:W, (ROW()-2)*$B4+2):INDEX(neos_benchmark!W:W, (ROW()-2)*$B4 + $B4+1) + INDEX(neos_benchmark!AA:AA, (ROW()-2)*$B4+2):INDEX(neos_benchmark!AA:AA, (ROW()-2)*$B4 + $B4+1)), "")</f>
        <v>0.12716300000000003</v>
      </c>
      <c r="AN4" cm="1">
        <f t="array" ref="AN4">IFERROR(AVERAGE((INDEX(neos_benchmark!AJ:AJ, (ROW()-2)*$B4+2):INDEX(neos_benchmark!AJ:AJ, (ROW()-2)*$B4 + $B4+1) - INDEX(neos_benchmark!AI:AI, (ROW()-2)*$B4+2):INDEX(neos_benchmark!AI:AI, (ROW()-2)*$B4 + $B4+1)) / 1000), "")</f>
        <v>22.384399999999999</v>
      </c>
      <c r="AO4" cm="1">
        <f t="array" ref="AO4">IFERROR(MIN((INDEX(neos_benchmark!AJ:AJ, (ROW()-2)*$B4+2):INDEX(neos_benchmark!AJ:AJ, (ROW()-2)*$B4 + $B4+1) - INDEX(neos_benchmark!AI:AI, (ROW()-2)*$B4+2):INDEX(neos_benchmark!AI:AI, (ROW()-2)*$B4 + $B4+1)) / 1000), "")</f>
        <v>4.4530000000000003</v>
      </c>
      <c r="AP4" cm="1">
        <f t="array" ref="AP4">IFERROR(MAX((INDEX(neos_benchmark!AJ:AJ, (ROW()-2)*$B4+2):INDEX(neos_benchmark!AJ:AJ, (ROW()-2)*$B4 + $B4+1) - INDEX(neos_benchmark!AI:AI, (ROW()-2)*$B4+2):INDEX(neos_benchmark!AI:AI, (ROW()-2)*$B4 + $B4+1)) / 1000), "")</f>
        <v>136.30699999999999</v>
      </c>
    </row>
    <row r="5" spans="1:42" x14ac:dyDescent="0.25">
      <c r="A5" t="str" cm="1">
        <f t="array" ref="A5">INDEX(neos_benchmark!A:A, (ROW()-2)*$B5+2)</f>
        <v>five-link-mc-kelly</v>
      </c>
      <c r="B5">
        <f>COUNTIF(neos_benchmark!A:A, neos_benchmark!A5)</f>
        <v>10</v>
      </c>
      <c r="C5" t="str" cm="1">
        <f t="array" ref="C5">INDEX(neos_benchmark!C:C, (ROW()-2)*$B5+2)</f>
        <v>Ipopt</v>
      </c>
      <c r="D5" t="str" cm="1">
        <f t="array" ref="D5">INDEX(neos_benchmark!D:D, (ROW()-2)*$B5+2)</f>
        <v>3.14.12</v>
      </c>
      <c r="E5" t="str" cm="1">
        <f t="array" ref="E5">INDEX(neos_benchmark!E:E, (ROW()-2)*$B5+2)</f>
        <v>solved</v>
      </c>
      <c r="F5">
        <f>IFERROR(AVERAGE(INDEX(neos_benchmark!F:F, (ROW()-2)*$B5+2):INDEX(neos_benchmark!F:F, (ROW()-2)*$B5 + $B5+1)), "")</f>
        <v>0</v>
      </c>
      <c r="G5">
        <f>IFERROR(AVERAGE(INDEX(neos_benchmark!G:G, (ROW()-2)*$B5+2):INDEX(neos_benchmark!G:G, (ROW()-2)*$B5 + $B5+1)), "")</f>
        <v>260.43008529551349</v>
      </c>
      <c r="H5" t="str">
        <f>IFERROR(AVERAGE(INDEX(neos_benchmark!H:H, (ROW()-2)*$B5+2):INDEX(neos_benchmark!H:H, (ROW()-2)*$B5 + $B5+1)), "")</f>
        <v/>
      </c>
      <c r="I5">
        <f>IFERROR(AVERAGE(INDEX(neos_benchmark!I:I, (ROW()-2)*$B5+2):INDEX(neos_benchmark!I:I, (ROW()-2)*$B5 + $B5+1)), "")</f>
        <v>11</v>
      </c>
      <c r="J5">
        <f>IFERROR(AVERAGE(INDEX(neos_benchmark!J:J, (ROW()-2)*$B5+2):INDEX(neos_benchmark!J:J, (ROW()-2)*$B5 + $B5+1)), "")</f>
        <v>12</v>
      </c>
      <c r="K5">
        <f>IFERROR(AVERAGE(INDEX(neos_benchmark!K:K, (ROW()-2)*$B5+2):INDEX(neos_benchmark!K:K, (ROW()-2)*$B5 + $B5+1)), "")</f>
        <v>12</v>
      </c>
      <c r="L5">
        <f>IFERROR(AVERAGE(INDEX(neos_benchmark!L:L, (ROW()-2)*$B5+2):INDEX(neos_benchmark!L:L, (ROW()-2)*$B5 + $B5+1)), "")</f>
        <v>12</v>
      </c>
      <c r="M5">
        <f>IFERROR(AVERAGE(INDEX(neos_benchmark!M:M, (ROW()-2)*$B5+2):INDEX(neos_benchmark!M:M, (ROW()-2)*$B5 + $B5+1)), "")</f>
        <v>12</v>
      </c>
      <c r="N5">
        <f>IFERROR(AVERAGE(INDEX(neos_benchmark!N:N, (ROW()-2)*$B5+2):INDEX(neos_benchmark!N:N, (ROW()-2)*$B5 + $B5+1)), "")</f>
        <v>12</v>
      </c>
      <c r="O5">
        <f>IFERROR(AVERAGE(INDEX(neos_benchmark!O:O, (ROW()-2)*$B5+2):INDEX(neos_benchmark!O:O, (ROW()-2)*$B5 + $B5+1)), "")</f>
        <v>12</v>
      </c>
      <c r="P5">
        <f>IFERROR(AVERAGE(INDEX(neos_benchmark!P:P, (ROW()-2)*$B5+2):INDEX(neos_benchmark!P:P, (ROW()-2)*$B5 + $B5+1)), "")</f>
        <v>11</v>
      </c>
      <c r="Q5">
        <f>IFERROR(AVERAGE(INDEX(neos_benchmark!Q:Q, (ROW()-2)*$B5+2):INDEX(neos_benchmark!Q:Q, (ROW()-2)*$B5 + $B5+1)), "")</f>
        <v>1.0452083643031073E-12</v>
      </c>
      <c r="R5">
        <f>IFERROR(AVERAGE(INDEX(neos_benchmark!R:R, (ROW()-2)*$B5+2):INDEX(neos_benchmark!R:R, (ROW()-2)*$B5 + $B5+1)), "")</f>
        <v>3.5900000000000001E-2</v>
      </c>
      <c r="S5">
        <f>IFERROR(AVERAGE(INDEX(neos_benchmark!S:S, (ROW()-2)*$B5+2):INDEX(neos_benchmark!S:S, (ROW()-2)*$B5 + $B5+1)), "")</f>
        <v>9.4199999999999992E-2</v>
      </c>
      <c r="T5">
        <f>IFERROR(AVERAGE(INDEX(neos_benchmark!T:T, (ROW()-2)*$B5+2):INDEX(neos_benchmark!T:T, (ROW()-2)*$B5 + $B5+1)), "")</f>
        <v>266</v>
      </c>
      <c r="U5">
        <f>IFERROR(AVERAGE(INDEX(neos_benchmark!U:U, (ROW()-2)*$B5+2):INDEX(neos_benchmark!U:U, (ROW()-2)*$B5 + $B5+1)), "")</f>
        <v>212</v>
      </c>
      <c r="V5">
        <f>IFERROR(AVERAGE(INDEX(neos_benchmark!V:V, (ROW()-2)*$B5+2):INDEX(neos_benchmark!V:V, (ROW()-2)*$B5 + $B5+1)), "")</f>
        <v>2</v>
      </c>
      <c r="W5">
        <f>IFERROR(AVERAGE(INDEX(neos_benchmark!W:W, (ROW()-2)*$B5+2):INDEX(neos_benchmark!W:W, (ROW()-2)*$B5 + $B5+1)), "")</f>
        <v>0.51837029999999995</v>
      </c>
      <c r="X5">
        <f>IFERROR(AVERAGE(INDEX(neos_benchmark!X:X, (ROW()-2)*$B5+2):INDEX(neos_benchmark!X:X, (ROW()-2)*$B5 + $B5+1)), "")</f>
        <v>7.9424800000000004E-2</v>
      </c>
      <c r="Y5">
        <f>IFERROR(AVERAGE(INDEX(neos_benchmark!Y:Y, (ROW()-2)*$B5+2):INDEX(neos_benchmark!Y:Y, (ROW()-2)*$B5 + $B5+1)), "")</f>
        <v>0.4433166999999999</v>
      </c>
      <c r="Z5">
        <f>IFERROR(AVERAGE(INDEX(neos_benchmark!Z:Z, (ROW()-2)*$B5+2):INDEX(neos_benchmark!Z:Z, (ROW()-2)*$B5 + $B5+1)), "")</f>
        <v>0.52274149999999997</v>
      </c>
      <c r="AA5">
        <f>IFERROR(AVERAGE(INDEX(neos_benchmark!AA:AA, (ROW()-2)*$B5+2):INDEX(neos_benchmark!AA:AA, (ROW()-2)*$B5 + $B5+1)), "")</f>
        <v>0.1684638</v>
      </c>
      <c r="AB5">
        <f>IFERROR(AVERAGE(INDEX(neos_benchmark!AB:AB, (ROW()-2)*$B5+2):INDEX(neos_benchmark!AB:AB, (ROW()-2)*$B5 + $B5+1)), "")</f>
        <v>1.2877899999999998E-2</v>
      </c>
      <c r="AC5">
        <f>IFERROR(AVERAGE(INDEX(neos_benchmark!AC:AC, (ROW()-2)*$B5+2):INDEX(neos_benchmark!AC:AC, (ROW()-2)*$B5 + $B5+1)), "")</f>
        <v>0.15223150000000002</v>
      </c>
      <c r="AD5">
        <f>IFERROR(AVERAGE(INDEX(neos_benchmark!AD:AD, (ROW()-2)*$B5+2):INDEX(neos_benchmark!AD:AD, (ROW()-2)*$B5 + $B5+1)), "")</f>
        <v>0.16510939999999999</v>
      </c>
      <c r="AE5">
        <f>IFERROR(AVERAGE(INDEX(neos_benchmark!AE:AE, (ROW()-2)*$B5+2):INDEX(neos_benchmark!AE:AE, (ROW()-2)*$B5 + $B5+1)), "")</f>
        <v>99109</v>
      </c>
      <c r="AF5">
        <f>IFERROR(AVERAGE(INDEX(neos_benchmark!AF:AF, (ROW()-2)*$B5+2):INDEX(neos_benchmark!AF:AF, (ROW()-2)*$B5 + $B5+1)), "")</f>
        <v>266</v>
      </c>
      <c r="AG5">
        <f>IFERROR(AVERAGE(INDEX(neos_benchmark!AG:AG, (ROW()-2)*$B5+2):INDEX(neos_benchmark!AG:AG, (ROW()-2)*$B5 + $B5+1)), "")</f>
        <v>98877</v>
      </c>
      <c r="AH5">
        <f>IFERROR(AVERAGE(INDEX(neos_benchmark!AH:AH, (ROW()-2)*$B5+2):INDEX(neos_benchmark!AH:AH, (ROW()-2)*$B5 + $B5+1)), "")</f>
        <v>214</v>
      </c>
      <c r="AI5">
        <f>IFERROR(AVERAGE(INDEX(neos_benchmark!AI:AI, (ROW()-2)*$B5+2):INDEX(neos_benchmark!AI:AI, (ROW()-2)*$B5 + $B5+1)), "")</f>
        <v>573076.1</v>
      </c>
      <c r="AJ5">
        <f>IFERROR(AVERAGE(INDEX(neos_benchmark!AJ:AJ, (ROW()-2)*$B5+2):INDEX(neos_benchmark!AJ:AJ, (ROW()-2)*$B5 + $B5+1)), "")</f>
        <v>583232.5</v>
      </c>
      <c r="AK5" cm="1">
        <f t="array" ref="AK5">IFERROR(AVERAGE(INDEX(neos_benchmark!W:W, (ROW()-2)*$B5+2):INDEX(neos_benchmark!W:W, (ROW()-2)*$B5 + $B5+1) + INDEX(neos_benchmark!AA:AA, (ROW()-2)*$B5+2):INDEX(neos_benchmark!AA:AA, (ROW()-2)*$B5 + $B5+1)), "")</f>
        <v>0.6868341</v>
      </c>
      <c r="AL5" cm="1">
        <f t="array" ref="AL5">IFERROR(MIN(INDEX(neos_benchmark!W:W, (ROW()-2)*$B5+2):INDEX(neos_benchmark!W:W, (ROW()-2)*$B5 + $B5+1) + INDEX(neos_benchmark!AA:AA, (ROW()-2)*$B5+2):INDEX(neos_benchmark!AA:AA, (ROW()-2)*$B5 + $B5+1)), "")</f>
        <v>0.51175700000000002</v>
      </c>
      <c r="AM5" cm="1">
        <f t="array" ref="AM5">IFERROR(MAX(INDEX(neos_benchmark!W:W, (ROW()-2)*$B5+2):INDEX(neos_benchmark!W:W, (ROW()-2)*$B5 + $B5+1) + INDEX(neos_benchmark!AA:AA, (ROW()-2)*$B5+2):INDEX(neos_benchmark!AA:AA, (ROW()-2)*$B5 + $B5+1)), "")</f>
        <v>0.934226</v>
      </c>
      <c r="AN5" cm="1">
        <f t="array" ref="AN5">IFERROR(AVERAGE((INDEX(neos_benchmark!AJ:AJ, (ROW()-2)*$B5+2):INDEX(neos_benchmark!AJ:AJ, (ROW()-2)*$B5 + $B5+1) - INDEX(neos_benchmark!AI:AI, (ROW()-2)*$B5+2):INDEX(neos_benchmark!AI:AI, (ROW()-2)*$B5 + $B5+1)) / 1000), "")</f>
        <v>10.1564</v>
      </c>
      <c r="AO5" cm="1">
        <f t="array" ref="AO5">IFERROR(MIN((INDEX(neos_benchmark!AJ:AJ, (ROW()-2)*$B5+2):INDEX(neos_benchmark!AJ:AJ, (ROW()-2)*$B5 + $B5+1) - INDEX(neos_benchmark!AI:AI, (ROW()-2)*$B5+2):INDEX(neos_benchmark!AI:AI, (ROW()-2)*$B5 + $B5+1)) / 1000), "")</f>
        <v>5.6029999999999998</v>
      </c>
      <c r="AP5" cm="1">
        <f t="array" ref="AP5">IFERROR(MAX((INDEX(neos_benchmark!AJ:AJ, (ROW()-2)*$B5+2):INDEX(neos_benchmark!AJ:AJ, (ROW()-2)*$B5 + $B5+1) - INDEX(neos_benchmark!AI:AI, (ROW()-2)*$B5+2):INDEX(neos_benchmark!AI:AI, (ROW()-2)*$B5 + $B5+1)) / 1000), "")</f>
        <v>21.164999999999999</v>
      </c>
    </row>
    <row r="6" spans="1:42" x14ac:dyDescent="0.25">
      <c r="A6" t="str" cm="1">
        <f t="array" ref="A6">INDEX(neos_benchmark!A:A, (ROW()-2)*$B6+2)</f>
        <v>five-link-phc-kelly</v>
      </c>
      <c r="B6">
        <f>COUNTIF(neos_benchmark!A:A, neos_benchmark!A6)</f>
        <v>10</v>
      </c>
      <c r="C6" t="str" cm="1">
        <f t="array" ref="C6">INDEX(neos_benchmark!C:C, (ROW()-2)*$B6+2)</f>
        <v>Ipopt</v>
      </c>
      <c r="D6" t="str" cm="1">
        <f t="array" ref="D6">INDEX(neos_benchmark!D:D, (ROW()-2)*$B6+2)</f>
        <v>3.14.12</v>
      </c>
      <c r="E6" t="str" cm="1">
        <f t="array" ref="E6">INDEX(neos_benchmark!E:E, (ROW()-2)*$B6+2)</f>
        <v>solved</v>
      </c>
      <c r="F6">
        <f>IFERROR(AVERAGE(INDEX(neos_benchmark!F:F, (ROW()-2)*$B6+2):INDEX(neos_benchmark!F:F, (ROW()-2)*$B6 + $B6+1)), "")</f>
        <v>0</v>
      </c>
      <c r="G6">
        <f>IFERROR(AVERAGE(INDEX(neos_benchmark!G:G, (ROW()-2)*$B6+2):INDEX(neos_benchmark!G:G, (ROW()-2)*$B6 + $B6+1)), "")</f>
        <v>443.14228437237091</v>
      </c>
      <c r="H6" t="str">
        <f>IFERROR(AVERAGE(INDEX(neos_benchmark!H:H, (ROW()-2)*$B6+2):INDEX(neos_benchmark!H:H, (ROW()-2)*$B6 + $B6+1)), "")</f>
        <v/>
      </c>
      <c r="I6">
        <f>IFERROR(AVERAGE(INDEX(neos_benchmark!I:I, (ROW()-2)*$B6+2):INDEX(neos_benchmark!I:I, (ROW()-2)*$B6 + $B6+1)), "")</f>
        <v>14</v>
      </c>
      <c r="J6">
        <f>IFERROR(AVERAGE(INDEX(neos_benchmark!J:J, (ROW()-2)*$B6+2):INDEX(neos_benchmark!J:J, (ROW()-2)*$B6 + $B6+1)), "")</f>
        <v>15</v>
      </c>
      <c r="K6">
        <f>IFERROR(AVERAGE(INDEX(neos_benchmark!K:K, (ROW()-2)*$B6+2):INDEX(neos_benchmark!K:K, (ROW()-2)*$B6 + $B6+1)), "")</f>
        <v>15</v>
      </c>
      <c r="L6">
        <f>IFERROR(AVERAGE(INDEX(neos_benchmark!L:L, (ROW()-2)*$B6+2):INDEX(neos_benchmark!L:L, (ROW()-2)*$B6 + $B6+1)), "")</f>
        <v>15</v>
      </c>
      <c r="M6">
        <f>IFERROR(AVERAGE(INDEX(neos_benchmark!M:M, (ROW()-2)*$B6+2):INDEX(neos_benchmark!M:M, (ROW()-2)*$B6 + $B6+1)), "")</f>
        <v>15</v>
      </c>
      <c r="N6">
        <f>IFERROR(AVERAGE(INDEX(neos_benchmark!N:N, (ROW()-2)*$B6+2):INDEX(neos_benchmark!N:N, (ROW()-2)*$B6 + $B6+1)), "")</f>
        <v>15</v>
      </c>
      <c r="O6">
        <f>IFERROR(AVERAGE(INDEX(neos_benchmark!O:O, (ROW()-2)*$B6+2):INDEX(neos_benchmark!O:O, (ROW()-2)*$B6 + $B6+1)), "")</f>
        <v>15</v>
      </c>
      <c r="P6">
        <f>IFERROR(AVERAGE(INDEX(neos_benchmark!P:P, (ROW()-2)*$B6+2):INDEX(neos_benchmark!P:P, (ROW()-2)*$B6 + $B6+1)), "")</f>
        <v>14</v>
      </c>
      <c r="Q6">
        <f>IFERROR(AVERAGE(INDEX(neos_benchmark!Q:Q, (ROW()-2)*$B6+2):INDEX(neos_benchmark!Q:Q, (ROW()-2)*$B6 + $B6+1)), "")</f>
        <v>1.4551915228366852E-11</v>
      </c>
      <c r="R6">
        <f>IFERROR(AVERAGE(INDEX(neos_benchmark!R:R, (ROW()-2)*$B6+2):INDEX(neos_benchmark!R:R, (ROW()-2)*$B6 + $B6+1)), "")</f>
        <v>0.10110000000000001</v>
      </c>
      <c r="S6">
        <f>IFERROR(AVERAGE(INDEX(neos_benchmark!S:S, (ROW()-2)*$B6+2):INDEX(neos_benchmark!S:S, (ROW()-2)*$B6 + $B6+1)), "")</f>
        <v>0.20220000000000002</v>
      </c>
      <c r="T6">
        <f>IFERROR(AVERAGE(INDEX(neos_benchmark!T:T, (ROW()-2)*$B6+2):INDEX(neos_benchmark!T:T, (ROW()-2)*$B6 + $B6+1)), "")</f>
        <v>326</v>
      </c>
      <c r="U6">
        <f>IFERROR(AVERAGE(INDEX(neos_benchmark!U:U, (ROW()-2)*$B6+2):INDEX(neos_benchmark!U:U, (ROW()-2)*$B6 + $B6+1)), "")</f>
        <v>300</v>
      </c>
      <c r="V6">
        <f>IFERROR(AVERAGE(INDEX(neos_benchmark!V:V, (ROW()-2)*$B6+2):INDEX(neos_benchmark!V:V, (ROW()-2)*$B6 + $B6+1)), "")</f>
        <v>2</v>
      </c>
      <c r="W6">
        <f>IFERROR(AVERAGE(INDEX(neos_benchmark!W:W, (ROW()-2)*$B6+2):INDEX(neos_benchmark!W:W, (ROW()-2)*$B6 + $B6+1)), "")</f>
        <v>0.30528840000000002</v>
      </c>
      <c r="X6">
        <f>IFERROR(AVERAGE(INDEX(neos_benchmark!X:X, (ROW()-2)*$B6+2):INDEX(neos_benchmark!X:X, (ROW()-2)*$B6 + $B6+1)), "")</f>
        <v>5.4848700000000007E-2</v>
      </c>
      <c r="Y6">
        <f>IFERROR(AVERAGE(INDEX(neos_benchmark!Y:Y, (ROW()-2)*$B6+2):INDEX(neos_benchmark!Y:Y, (ROW()-2)*$B6 + $B6+1)), "")</f>
        <v>0.25501129999999994</v>
      </c>
      <c r="Z6">
        <f>IFERROR(AVERAGE(INDEX(neos_benchmark!Z:Z, (ROW()-2)*$B6+2):INDEX(neos_benchmark!Z:Z, (ROW()-2)*$B6 + $B6+1)), "")</f>
        <v>0.30985999999999997</v>
      </c>
      <c r="AA6">
        <f>IFERROR(AVERAGE(INDEX(neos_benchmark!AA:AA, (ROW()-2)*$B6+2):INDEX(neos_benchmark!AA:AA, (ROW()-2)*$B6 + $B6+1)), "")</f>
        <v>0.35636149999999994</v>
      </c>
      <c r="AB6">
        <f>IFERROR(AVERAGE(INDEX(neos_benchmark!AB:AB, (ROW()-2)*$B6+2):INDEX(neos_benchmark!AB:AB, (ROW()-2)*$B6 + $B6+1)), "")</f>
        <v>1.2802299999999999E-2</v>
      </c>
      <c r="AC6">
        <f>IFERROR(AVERAGE(INDEX(neos_benchmark!AC:AC, (ROW()-2)*$B6+2):INDEX(neos_benchmark!AC:AC, (ROW()-2)*$B6 + $B6+1)), "")</f>
        <v>0.3364702</v>
      </c>
      <c r="AD6">
        <f>IFERROR(AVERAGE(INDEX(neos_benchmark!AD:AD, (ROW()-2)*$B6+2):INDEX(neos_benchmark!AD:AD, (ROW()-2)*$B6 + $B6+1)), "")</f>
        <v>0.34927249999999999</v>
      </c>
      <c r="AE6">
        <f>IFERROR(AVERAGE(INDEX(neos_benchmark!AE:AE, (ROW()-2)*$B6+2):INDEX(neos_benchmark!AE:AE, (ROW()-2)*$B6 + $B6+1)), "")</f>
        <v>46821</v>
      </c>
      <c r="AF6">
        <f>IFERROR(AVERAGE(INDEX(neos_benchmark!AF:AF, (ROW()-2)*$B6+2):INDEX(neos_benchmark!AF:AF, (ROW()-2)*$B6 + $B6+1)), "")</f>
        <v>326</v>
      </c>
      <c r="AG6">
        <f>IFERROR(AVERAGE(INDEX(neos_benchmark!AG:AG, (ROW()-2)*$B6+2):INDEX(neos_benchmark!AG:AG, (ROW()-2)*$B6 + $B6+1)), "")</f>
        <v>46820</v>
      </c>
      <c r="AH6">
        <f>IFERROR(AVERAGE(INDEX(neos_benchmark!AH:AH, (ROW()-2)*$B6+2):INDEX(neos_benchmark!AH:AH, (ROW()-2)*$B6 + $B6+1)), "")</f>
        <v>302</v>
      </c>
      <c r="AI6">
        <f>IFERROR(AVERAGE(INDEX(neos_benchmark!AI:AI, (ROW()-2)*$B6+2):INDEX(neos_benchmark!AI:AI, (ROW()-2)*$B6 + $B6+1)), "")</f>
        <v>568841.4</v>
      </c>
      <c r="AJ6">
        <f>IFERROR(AVERAGE(INDEX(neos_benchmark!AJ:AJ, (ROW()-2)*$B6+2):INDEX(neos_benchmark!AJ:AJ, (ROW()-2)*$B6 + $B6+1)), "")</f>
        <v>581257.1</v>
      </c>
      <c r="AK6" cm="1">
        <f t="array" ref="AK6">IFERROR(AVERAGE(INDEX(neos_benchmark!W:W, (ROW()-2)*$B6+2):INDEX(neos_benchmark!W:W, (ROW()-2)*$B6 + $B6+1) + INDEX(neos_benchmark!AA:AA, (ROW()-2)*$B6+2):INDEX(neos_benchmark!AA:AA, (ROW()-2)*$B6 + $B6+1)), "")</f>
        <v>0.66164990000000001</v>
      </c>
      <c r="AL6" cm="1">
        <f t="array" ref="AL6">IFERROR(MIN(INDEX(neos_benchmark!W:W, (ROW()-2)*$B6+2):INDEX(neos_benchmark!W:W, (ROW()-2)*$B6 + $B6+1) + INDEX(neos_benchmark!AA:AA, (ROW()-2)*$B6+2):INDEX(neos_benchmark!AA:AA, (ROW()-2)*$B6 + $B6+1)), "")</f>
        <v>0.44720099999999996</v>
      </c>
      <c r="AM6" cm="1">
        <f t="array" ref="AM6">IFERROR(MAX(INDEX(neos_benchmark!W:W, (ROW()-2)*$B6+2):INDEX(neos_benchmark!W:W, (ROW()-2)*$B6 + $B6+1) + INDEX(neos_benchmark!AA:AA, (ROW()-2)*$B6+2):INDEX(neos_benchmark!AA:AA, (ROW()-2)*$B6 + $B6+1)), "")</f>
        <v>0.91791299999999998</v>
      </c>
      <c r="AN6" cm="1">
        <f t="array" ref="AN6">IFERROR(AVERAGE((INDEX(neos_benchmark!AJ:AJ, (ROW()-2)*$B6+2):INDEX(neos_benchmark!AJ:AJ, (ROW()-2)*$B6 + $B6+1) - INDEX(neos_benchmark!AI:AI, (ROW()-2)*$B6+2):INDEX(neos_benchmark!AI:AI, (ROW()-2)*$B6 + $B6+1)) / 1000), "")</f>
        <v>12.415699999999999</v>
      </c>
      <c r="AO6" cm="1">
        <f t="array" ref="AO6">IFERROR(MIN((INDEX(neos_benchmark!AJ:AJ, (ROW()-2)*$B6+2):INDEX(neos_benchmark!AJ:AJ, (ROW()-2)*$B6 + $B6+1) - INDEX(neos_benchmark!AI:AI, (ROW()-2)*$B6+2):INDEX(neos_benchmark!AI:AI, (ROW()-2)*$B6 + $B6+1)) / 1000), "")</f>
        <v>6.4260000000000002</v>
      </c>
      <c r="AP6" cm="1">
        <f t="array" ref="AP6">IFERROR(MAX((INDEX(neos_benchmark!AJ:AJ, (ROW()-2)*$B6+2):INDEX(neos_benchmark!AJ:AJ, (ROW()-2)*$B6 + $B6+1) - INDEX(neos_benchmark!AI:AI, (ROW()-2)*$B6+2):INDEX(neos_benchmark!AI:AI, (ROW()-2)*$B6 + $B6+1)) / 1000), "")</f>
        <v>17.664999999999999</v>
      </c>
    </row>
    <row r="7" spans="1:42" x14ac:dyDescent="0.25">
      <c r="A7" t="str" cm="1">
        <f t="array" ref="A7">INDEX(neos_benchmark!A:A, (ROW()-2)*$B7+2)</f>
        <v>five-link-tropic</v>
      </c>
      <c r="B7">
        <f>COUNTIF(neos_benchmark!A:A, neos_benchmark!A7)</f>
        <v>10</v>
      </c>
      <c r="C7" t="str" cm="1">
        <f t="array" ref="C7">INDEX(neos_benchmark!C:C, (ROW()-2)*$B7+2)</f>
        <v>Ipopt</v>
      </c>
      <c r="D7" t="str" cm="1">
        <f t="array" ref="D7">INDEX(neos_benchmark!D:D, (ROW()-2)*$B7+2)</f>
        <v>3.14.12</v>
      </c>
      <c r="E7" t="str" cm="1">
        <f t="array" ref="E7">INDEX(neos_benchmark!E:E, (ROW()-2)*$B7+2)</f>
        <v>solved</v>
      </c>
      <c r="F7">
        <f>IFERROR(AVERAGE(INDEX(neos_benchmark!F:F, (ROW()-2)*$B7+2):INDEX(neos_benchmark!F:F, (ROW()-2)*$B7 + $B7+1)), "")</f>
        <v>0</v>
      </c>
      <c r="G7">
        <f>IFERROR(AVERAGE(INDEX(neos_benchmark!G:G, (ROW()-2)*$B7+2):INDEX(neos_benchmark!G:G, (ROW()-2)*$B7 + $B7+1)), "")</f>
        <v>5.7300002084580246</v>
      </c>
      <c r="H7" t="str">
        <f>IFERROR(AVERAGE(INDEX(neos_benchmark!H:H, (ROW()-2)*$B7+2):INDEX(neos_benchmark!H:H, (ROW()-2)*$B7 + $B7+1)), "")</f>
        <v/>
      </c>
      <c r="I7">
        <f>IFERROR(AVERAGE(INDEX(neos_benchmark!I:I, (ROW()-2)*$B7+2):INDEX(neos_benchmark!I:I, (ROW()-2)*$B7 + $B7+1)), "")</f>
        <v>161</v>
      </c>
      <c r="J7">
        <f>IFERROR(AVERAGE(INDEX(neos_benchmark!J:J, (ROW()-2)*$B7+2):INDEX(neos_benchmark!J:J, (ROW()-2)*$B7 + $B7+1)), "")</f>
        <v>186</v>
      </c>
      <c r="K7">
        <f>IFERROR(AVERAGE(INDEX(neos_benchmark!K:K, (ROW()-2)*$B7+2):INDEX(neos_benchmark!K:K, (ROW()-2)*$B7 + $B7+1)), "")</f>
        <v>162</v>
      </c>
      <c r="L7">
        <f>IFERROR(AVERAGE(INDEX(neos_benchmark!L:L, (ROW()-2)*$B7+2):INDEX(neos_benchmark!L:L, (ROW()-2)*$B7 + $B7+1)), "")</f>
        <v>186</v>
      </c>
      <c r="M7">
        <f>IFERROR(AVERAGE(INDEX(neos_benchmark!M:M, (ROW()-2)*$B7+2):INDEX(neos_benchmark!M:M, (ROW()-2)*$B7 + $B7+1)), "")</f>
        <v>186</v>
      </c>
      <c r="N7">
        <f>IFERROR(AVERAGE(INDEX(neos_benchmark!N:N, (ROW()-2)*$B7+2):INDEX(neos_benchmark!N:N, (ROW()-2)*$B7 + $B7+1)), "")</f>
        <v>164</v>
      </c>
      <c r="O7">
        <f>IFERROR(AVERAGE(INDEX(neos_benchmark!O:O, (ROW()-2)*$B7+2):INDEX(neos_benchmark!O:O, (ROW()-2)*$B7 + $B7+1)), "")</f>
        <v>164</v>
      </c>
      <c r="P7">
        <f>IFERROR(AVERAGE(INDEX(neos_benchmark!P:P, (ROW()-2)*$B7+2):INDEX(neos_benchmark!P:P, (ROW()-2)*$B7 + $B7+1)), "")</f>
        <v>161</v>
      </c>
      <c r="Q7">
        <f>IFERROR(AVERAGE(INDEX(neos_benchmark!Q:Q, (ROW()-2)*$B7+2):INDEX(neos_benchmark!Q:Q, (ROW()-2)*$B7 + $B7+1)), "")</f>
        <v>4.8149573217415309E-10</v>
      </c>
      <c r="R7">
        <f>IFERROR(AVERAGE(INDEX(neos_benchmark!R:R, (ROW()-2)*$B7+2):INDEX(neos_benchmark!R:R, (ROW()-2)*$B7 + $B7+1)), "")</f>
        <v>13.473399999999998</v>
      </c>
      <c r="S7">
        <f>IFERROR(AVERAGE(INDEX(neos_benchmark!S:S, (ROW()-2)*$B7+2):INDEX(neos_benchmark!S:S, (ROW()-2)*$B7 + $B7+1)), "")</f>
        <v>19.814700000000002</v>
      </c>
      <c r="T7">
        <f>IFERROR(AVERAGE(INDEX(neos_benchmark!T:T, (ROW()-2)*$B7+2):INDEX(neos_benchmark!T:T, (ROW()-2)*$B7 + $B7+1)), "")</f>
        <v>2345</v>
      </c>
      <c r="U7">
        <f>IFERROR(AVERAGE(INDEX(neos_benchmark!U:U, (ROW()-2)*$B7+2):INDEX(neos_benchmark!U:U, (ROW()-2)*$B7 + $B7+1)), "")</f>
        <v>2331</v>
      </c>
      <c r="V7">
        <f>IFERROR(AVERAGE(INDEX(neos_benchmark!V:V, (ROW()-2)*$B7+2):INDEX(neos_benchmark!V:V, (ROW()-2)*$B7 + $B7+1)), "")</f>
        <v>206</v>
      </c>
      <c r="W7">
        <f>IFERROR(AVERAGE(INDEX(neos_benchmark!W:W, (ROW()-2)*$B7+2):INDEX(neos_benchmark!W:W, (ROW()-2)*$B7 + $B7+1)), "")</f>
        <v>2.6255251999999998</v>
      </c>
      <c r="X7">
        <f>IFERROR(AVERAGE(INDEX(neos_benchmark!X:X, (ROW()-2)*$B7+2):INDEX(neos_benchmark!X:X, (ROW()-2)*$B7 + $B7+1)), "")</f>
        <v>0.32674020000000004</v>
      </c>
      <c r="Y7">
        <f>IFERROR(AVERAGE(INDEX(neos_benchmark!Y:Y, (ROW()-2)*$B7+2):INDEX(neos_benchmark!Y:Y, (ROW()-2)*$B7 + $B7+1)), "")</f>
        <v>2.3048188999999999</v>
      </c>
      <c r="Z7">
        <f>IFERROR(AVERAGE(INDEX(neos_benchmark!Z:Z, (ROW()-2)*$B7+2):INDEX(neos_benchmark!Z:Z, (ROW()-2)*$B7 + $B7+1)), "")</f>
        <v>2.6315590999999996</v>
      </c>
      <c r="AA7">
        <f>IFERROR(AVERAGE(INDEX(neos_benchmark!AA:AA, (ROW()-2)*$B7+2):INDEX(neos_benchmark!AA:AA, (ROW()-2)*$B7 + $B7+1)), "")</f>
        <v>33.628937199999996</v>
      </c>
      <c r="AB7">
        <f>IFERROR(AVERAGE(INDEX(neos_benchmark!AB:AB, (ROW()-2)*$B7+2):INDEX(neos_benchmark!AB:AB, (ROW()-2)*$B7 + $B7+1)), "")</f>
        <v>8.4946999999999995E-2</v>
      </c>
      <c r="AC7">
        <f>IFERROR(AVERAGE(INDEX(neos_benchmark!AC:AC, (ROW()-2)*$B7+2):INDEX(neos_benchmark!AC:AC, (ROW()-2)*$B7 + $B7+1)), "")</f>
        <v>33.438063</v>
      </c>
      <c r="AD7">
        <f>IFERROR(AVERAGE(INDEX(neos_benchmark!AD:AD, (ROW()-2)*$B7+2):INDEX(neos_benchmark!AD:AD, (ROW()-2)*$B7 + $B7+1)), "")</f>
        <v>33.523009999999999</v>
      </c>
      <c r="AE7">
        <f>IFERROR(AVERAGE(INDEX(neos_benchmark!AE:AE, (ROW()-2)*$B7+2):INDEX(neos_benchmark!AE:AE, (ROW()-2)*$B7 + $B7+1)), "")</f>
        <v>371155</v>
      </c>
      <c r="AF7">
        <f>IFERROR(AVERAGE(INDEX(neos_benchmark!AF:AF, (ROW()-2)*$B7+2):INDEX(neos_benchmark!AF:AF, (ROW()-2)*$B7 + $B7+1)), "")</f>
        <v>2345</v>
      </c>
      <c r="AG7">
        <f>IFERROR(AVERAGE(INDEX(neos_benchmark!AG:AG, (ROW()-2)*$B7+2):INDEX(neos_benchmark!AG:AG, (ROW()-2)*$B7 + $B7+1)), "")</f>
        <v>372492</v>
      </c>
      <c r="AH7">
        <f>IFERROR(AVERAGE(INDEX(neos_benchmark!AH:AH, (ROW()-2)*$B7+2):INDEX(neos_benchmark!AH:AH, (ROW()-2)*$B7 + $B7+1)), "")</f>
        <v>2537</v>
      </c>
      <c r="AI7">
        <f>IFERROR(AVERAGE(INDEX(neos_benchmark!AI:AI, (ROW()-2)*$B7+2):INDEX(neos_benchmark!AI:AI, (ROW()-2)*$B7 + $B7+1)), "")</f>
        <v>698863.8</v>
      </c>
      <c r="AJ7">
        <f>IFERROR(AVERAGE(INDEX(neos_benchmark!AJ:AJ, (ROW()-2)*$B7+2):INDEX(neos_benchmark!AJ:AJ, (ROW()-2)*$B7 + $B7+1)), "")</f>
        <v>768875</v>
      </c>
      <c r="AK7" cm="1">
        <f t="array" ref="AK7">IFERROR(AVERAGE(INDEX(neos_benchmark!W:W, (ROW()-2)*$B7+2):INDEX(neos_benchmark!W:W, (ROW()-2)*$B7 + $B7+1) + INDEX(neos_benchmark!AA:AA, (ROW()-2)*$B7+2):INDEX(neos_benchmark!AA:AA, (ROW()-2)*$B7 + $B7+1)), "")</f>
        <v>36.254462400000001</v>
      </c>
      <c r="AL7" cm="1">
        <f t="array" ref="AL7">IFERROR(MIN(INDEX(neos_benchmark!W:W, (ROW()-2)*$B7+2):INDEX(neos_benchmark!W:W, (ROW()-2)*$B7 + $B7+1) + INDEX(neos_benchmark!AA:AA, (ROW()-2)*$B7+2):INDEX(neos_benchmark!AA:AA, (ROW()-2)*$B7 + $B7+1)), "")</f>
        <v>30.205931</v>
      </c>
      <c r="AM7" cm="1">
        <f t="array" ref="AM7">IFERROR(MAX(INDEX(neos_benchmark!W:W, (ROW()-2)*$B7+2):INDEX(neos_benchmark!W:W, (ROW()-2)*$B7 + $B7+1) + INDEX(neos_benchmark!AA:AA, (ROW()-2)*$B7+2):INDEX(neos_benchmark!AA:AA, (ROW()-2)*$B7 + $B7+1)), "")</f>
        <v>53.456733</v>
      </c>
      <c r="AN7" cm="1">
        <f t="array" ref="AN7">IFERROR(AVERAGE((INDEX(neos_benchmark!AJ:AJ, (ROW()-2)*$B7+2):INDEX(neos_benchmark!AJ:AJ, (ROW()-2)*$B7 + $B7+1) - INDEX(neos_benchmark!AI:AI, (ROW()-2)*$B7+2):INDEX(neos_benchmark!AI:AI, (ROW()-2)*$B7 + $B7+1)) / 1000), "")</f>
        <v>70.011200000000002</v>
      </c>
      <c r="AO7" cm="1">
        <f t="array" ref="AO7">IFERROR(MIN((INDEX(neos_benchmark!AJ:AJ, (ROW()-2)*$B7+2):INDEX(neos_benchmark!AJ:AJ, (ROW()-2)*$B7 + $B7+1) - INDEX(neos_benchmark!AI:AI, (ROW()-2)*$B7+2):INDEX(neos_benchmark!AI:AI, (ROW()-2)*$B7 + $B7+1)) / 1000), "")</f>
        <v>43.081000000000003</v>
      </c>
      <c r="AP7" cm="1">
        <f t="array" ref="AP7">IFERROR(MAX((INDEX(neos_benchmark!AJ:AJ, (ROW()-2)*$B7+2):INDEX(neos_benchmark!AJ:AJ, (ROW()-2)*$B7 + $B7+1) - INDEX(neos_benchmark!AI:AI, (ROW()-2)*$B7+2):INDEX(neos_benchmark!AI:AI, (ROW()-2)*$B7 + $B7+1)) / 1000), "")</f>
        <v>99.629000000000005</v>
      </c>
    </row>
    <row r="8" spans="1:42" x14ac:dyDescent="0.25">
      <c r="A8" t="str" cm="1">
        <f t="array" ref="A8">INDEX(neos_benchmark!A:A, (ROW()-2)*$B8+2)</f>
        <v>grasp-cbc</v>
      </c>
      <c r="B8">
        <f>COUNTIF(neos_benchmark!A:A, neos_benchmark!A8)</f>
        <v>10</v>
      </c>
      <c r="C8" t="str" cm="1">
        <f t="array" ref="C8">INDEX(neos_benchmark!C:C, (ROW()-2)*$B8+2)</f>
        <v>CBC</v>
      </c>
      <c r="D8" t="str" cm="1">
        <f t="array" ref="D8">INDEX(neos_benchmark!D:D, (ROW()-2)*$B8+2)</f>
        <v>2.10.10</v>
      </c>
      <c r="E8" t="str" cm="1">
        <f t="array" ref="E8">INDEX(neos_benchmark!E:E, (ROW()-2)*$B8+2)</f>
        <v/>
      </c>
      <c r="F8" t="str">
        <f>IFERROR(AVERAGE(INDEX(neos_benchmark!F:F, (ROW()-2)*$B8+2):INDEX(neos_benchmark!F:F, (ROW()-2)*$B8 + $B8+1)), "")</f>
        <v/>
      </c>
      <c r="G8" t="str">
        <f>IFERROR(AVERAGE(INDEX(neos_benchmark!G:G, (ROW()-2)*$B8+2):INDEX(neos_benchmark!G:G, (ROW()-2)*$B8 + $B8+1)), "")</f>
        <v/>
      </c>
      <c r="H8" t="str">
        <f>IFERROR(AVERAGE(INDEX(neos_benchmark!H:H, (ROW()-2)*$B8+2):INDEX(neos_benchmark!H:H, (ROW()-2)*$B8 + $B8+1)), "")</f>
        <v/>
      </c>
      <c r="I8" t="str">
        <f>IFERROR(AVERAGE(INDEX(neos_benchmark!I:I, (ROW()-2)*$B8+2):INDEX(neos_benchmark!I:I, (ROW()-2)*$B8 + $B8+1)), "")</f>
        <v/>
      </c>
      <c r="J8" t="str">
        <f>IFERROR(AVERAGE(INDEX(neos_benchmark!J:J, (ROW()-2)*$B8+2):INDEX(neos_benchmark!J:J, (ROW()-2)*$B8 + $B8+1)), "")</f>
        <v/>
      </c>
      <c r="K8" t="str">
        <f>IFERROR(AVERAGE(INDEX(neos_benchmark!K:K, (ROW()-2)*$B8+2):INDEX(neos_benchmark!K:K, (ROW()-2)*$B8 + $B8+1)), "")</f>
        <v/>
      </c>
      <c r="L8" t="str">
        <f>IFERROR(AVERAGE(INDEX(neos_benchmark!L:L, (ROW()-2)*$B8+2):INDEX(neos_benchmark!L:L, (ROW()-2)*$B8 + $B8+1)), "")</f>
        <v/>
      </c>
      <c r="M8" t="str">
        <f>IFERROR(AVERAGE(INDEX(neos_benchmark!M:M, (ROW()-2)*$B8+2):INDEX(neos_benchmark!M:M, (ROW()-2)*$B8 + $B8+1)), "")</f>
        <v/>
      </c>
      <c r="N8" t="str">
        <f>IFERROR(AVERAGE(INDEX(neos_benchmark!N:N, (ROW()-2)*$B8+2):INDEX(neos_benchmark!N:N, (ROW()-2)*$B8 + $B8+1)), "")</f>
        <v/>
      </c>
      <c r="O8" t="str">
        <f>IFERROR(AVERAGE(INDEX(neos_benchmark!O:O, (ROW()-2)*$B8+2):INDEX(neos_benchmark!O:O, (ROW()-2)*$B8 + $B8+1)), "")</f>
        <v/>
      </c>
      <c r="P8" t="str">
        <f>IFERROR(AVERAGE(INDEX(neos_benchmark!P:P, (ROW()-2)*$B8+2):INDEX(neos_benchmark!P:P, (ROW()-2)*$B8 + $B8+1)), "")</f>
        <v/>
      </c>
      <c r="Q8" t="str">
        <f>IFERROR(AVERAGE(INDEX(neos_benchmark!Q:Q, (ROW()-2)*$B8+2):INDEX(neos_benchmark!Q:Q, (ROW()-2)*$B8 + $B8+1)), "")</f>
        <v/>
      </c>
      <c r="R8" t="str">
        <f>IFERROR(AVERAGE(INDEX(neos_benchmark!R:R, (ROW()-2)*$B8+2):INDEX(neos_benchmark!R:R, (ROW()-2)*$B8 + $B8+1)), "")</f>
        <v/>
      </c>
      <c r="S8" t="str">
        <f>IFERROR(AVERAGE(INDEX(neos_benchmark!S:S, (ROW()-2)*$B8+2):INDEX(neos_benchmark!S:S, (ROW()-2)*$B8 + $B8+1)), "")</f>
        <v/>
      </c>
      <c r="T8" t="str">
        <f>IFERROR(AVERAGE(INDEX(neos_benchmark!T:T, (ROW()-2)*$B8+2):INDEX(neos_benchmark!T:T, (ROW()-2)*$B8 + $B8+1)), "")</f>
        <v/>
      </c>
      <c r="U8" t="str">
        <f>IFERROR(AVERAGE(INDEX(neos_benchmark!U:U, (ROW()-2)*$B8+2):INDEX(neos_benchmark!U:U, (ROW()-2)*$B8 + $B8+1)), "")</f>
        <v/>
      </c>
      <c r="V8" t="str">
        <f>IFERROR(AVERAGE(INDEX(neos_benchmark!V:V, (ROW()-2)*$B8+2):INDEX(neos_benchmark!V:V, (ROW()-2)*$B8 + $B8+1)), "")</f>
        <v/>
      </c>
      <c r="W8" t="str">
        <f>IFERROR(AVERAGE(INDEX(neos_benchmark!W:W, (ROW()-2)*$B8+2):INDEX(neos_benchmark!W:W, (ROW()-2)*$B8 + $B8+1)), "")</f>
        <v/>
      </c>
      <c r="X8" t="str">
        <f>IFERROR(AVERAGE(INDEX(neos_benchmark!X:X, (ROW()-2)*$B8+2):INDEX(neos_benchmark!X:X, (ROW()-2)*$B8 + $B8+1)), "")</f>
        <v/>
      </c>
      <c r="Y8" t="str">
        <f>IFERROR(AVERAGE(INDEX(neos_benchmark!Y:Y, (ROW()-2)*$B8+2):INDEX(neos_benchmark!Y:Y, (ROW()-2)*$B8 + $B8+1)), "")</f>
        <v/>
      </c>
      <c r="Z8" t="str">
        <f>IFERROR(AVERAGE(INDEX(neos_benchmark!Z:Z, (ROW()-2)*$B8+2):INDEX(neos_benchmark!Z:Z, (ROW()-2)*$B8 + $B8+1)), "")</f>
        <v/>
      </c>
      <c r="AA8" t="str">
        <f>IFERROR(AVERAGE(INDEX(neos_benchmark!AA:AA, (ROW()-2)*$B8+2):INDEX(neos_benchmark!AA:AA, (ROW()-2)*$B8 + $B8+1)), "")</f>
        <v/>
      </c>
      <c r="AB8" t="str">
        <f>IFERROR(AVERAGE(INDEX(neos_benchmark!AB:AB, (ROW()-2)*$B8+2):INDEX(neos_benchmark!AB:AB, (ROW()-2)*$B8 + $B8+1)), "")</f>
        <v/>
      </c>
      <c r="AC8" t="str">
        <f>IFERROR(AVERAGE(INDEX(neos_benchmark!AC:AC, (ROW()-2)*$B8+2):INDEX(neos_benchmark!AC:AC, (ROW()-2)*$B8 + $B8+1)), "")</f>
        <v/>
      </c>
      <c r="AD8" t="str">
        <f>IFERROR(AVERAGE(INDEX(neos_benchmark!AD:AD, (ROW()-2)*$B8+2):INDEX(neos_benchmark!AD:AD, (ROW()-2)*$B8 + $B8+1)), "")</f>
        <v/>
      </c>
      <c r="AE8" t="str">
        <f>IFERROR(AVERAGE(INDEX(neos_benchmark!AE:AE, (ROW()-2)*$B8+2):INDEX(neos_benchmark!AE:AE, (ROW()-2)*$B8 + $B8+1)), "")</f>
        <v/>
      </c>
      <c r="AF8" t="str">
        <f>IFERROR(AVERAGE(INDEX(neos_benchmark!AF:AF, (ROW()-2)*$B8+2):INDEX(neos_benchmark!AF:AF, (ROW()-2)*$B8 + $B8+1)), "")</f>
        <v/>
      </c>
      <c r="AG8" t="str">
        <f>IFERROR(AVERAGE(INDEX(neos_benchmark!AG:AG, (ROW()-2)*$B8+2):INDEX(neos_benchmark!AG:AG, (ROW()-2)*$B8 + $B8+1)), "")</f>
        <v/>
      </c>
      <c r="AH8" t="str">
        <f>IFERROR(AVERAGE(INDEX(neos_benchmark!AH:AH, (ROW()-2)*$B8+2):INDEX(neos_benchmark!AH:AH, (ROW()-2)*$B8 + $B8+1)), "")</f>
        <v/>
      </c>
      <c r="AI8">
        <f>IFERROR(AVERAGE(INDEX(neos_benchmark!AI:AI, (ROW()-2)*$B8+2):INDEX(neos_benchmark!AI:AI, (ROW()-2)*$B8 + $B8+1)), "")</f>
        <v>864273.1</v>
      </c>
      <c r="AJ8">
        <f>IFERROR(AVERAGE(INDEX(neos_benchmark!AJ:AJ, (ROW()-2)*$B8+2):INDEX(neos_benchmark!AJ:AJ, (ROW()-2)*$B8 + $B8+1)), "")</f>
        <v>904922</v>
      </c>
      <c r="AK8" cm="1">
        <f t="array" ref="AK8">IFERROR(AVERAGE(INDEX(neos_benchmark!W:W, (ROW()-2)*$B8+2):INDEX(neos_benchmark!W:W, (ROW()-2)*$B8 + $B8+1) + INDEX(neos_benchmark!AA:AA, (ROW()-2)*$B8+2):INDEX(neos_benchmark!AA:AA, (ROW()-2)*$B8 + $B8+1)), "")</f>
        <v>0</v>
      </c>
      <c r="AL8" cm="1">
        <f t="array" ref="AL8">IFERROR(MIN(INDEX(neos_benchmark!W:W, (ROW()-2)*$B8+2):INDEX(neos_benchmark!W:W, (ROW()-2)*$B8 + $B8+1) + INDEX(neos_benchmark!AA:AA, (ROW()-2)*$B8+2):INDEX(neos_benchmark!AA:AA, (ROW()-2)*$B8 + $B8+1)), "")</f>
        <v>0</v>
      </c>
      <c r="AM8" cm="1">
        <f t="array" ref="AM8">IFERROR(MAX(INDEX(neos_benchmark!W:W, (ROW()-2)*$B8+2):INDEX(neos_benchmark!W:W, (ROW()-2)*$B8 + $B8+1) + INDEX(neos_benchmark!AA:AA, (ROW()-2)*$B8+2):INDEX(neos_benchmark!AA:AA, (ROW()-2)*$B8 + $B8+1)), "")</f>
        <v>0</v>
      </c>
      <c r="AN8" cm="1">
        <f t="array" ref="AN8">IFERROR(AVERAGE((INDEX(neos_benchmark!AJ:AJ, (ROW()-2)*$B8+2):INDEX(neos_benchmark!AJ:AJ, (ROW()-2)*$B8 + $B8+1) - INDEX(neos_benchmark!AI:AI, (ROW()-2)*$B8+2):INDEX(neos_benchmark!AI:AI, (ROW()-2)*$B8 + $B8+1)) / 1000), "")</f>
        <v>40.64889999999999</v>
      </c>
      <c r="AO8" cm="1">
        <f t="array" ref="AO8">IFERROR(MIN((INDEX(neos_benchmark!AJ:AJ, (ROW()-2)*$B8+2):INDEX(neos_benchmark!AJ:AJ, (ROW()-2)*$B8 + $B8+1) - INDEX(neos_benchmark!AI:AI, (ROW()-2)*$B8+2):INDEX(neos_benchmark!AI:AI, (ROW()-2)*$B8 + $B8+1)) / 1000), "")</f>
        <v>12.898</v>
      </c>
      <c r="AP8" cm="1">
        <f t="array" ref="AP8">IFERROR(MAX((INDEX(neos_benchmark!AJ:AJ, (ROW()-2)*$B8+2):INDEX(neos_benchmark!AJ:AJ, (ROW()-2)*$B8 + $B8+1) - INDEX(neos_benchmark!AI:AI, (ROW()-2)*$B8+2):INDEX(neos_benchmark!AI:AI, (ROW()-2)*$B8 + $B8+1)) / 1000), "")</f>
        <v>73.421999999999997</v>
      </c>
    </row>
    <row r="9" spans="1:42" x14ac:dyDescent="0.25">
      <c r="A9" t="str" cm="1">
        <f t="array" ref="A9">INDEX(neos_benchmark!A:A, (ROW()-2)*$B9+2)</f>
        <v>grasp-conopt</v>
      </c>
      <c r="B9">
        <f>COUNTIF(neos_benchmark!A:A, neos_benchmark!A9)</f>
        <v>10</v>
      </c>
      <c r="C9" t="str" cm="1">
        <f t="array" ref="C9">INDEX(neos_benchmark!C:C, (ROW()-2)*$B9+2)</f>
        <v>CONOPT</v>
      </c>
      <c r="D9" t="str" cm="1">
        <f t="array" ref="D9">INDEX(neos_benchmark!D:D, (ROW()-2)*$B9+2)</f>
        <v>4.38.1</v>
      </c>
      <c r="E9" t="str" cm="1">
        <f t="array" ref="E9">INDEX(neos_benchmark!E:E, (ROW()-2)*$B9+2)</f>
        <v>solved?</v>
      </c>
      <c r="F9">
        <f>IFERROR(AVERAGE(INDEX(neos_benchmark!F:F, (ROW()-2)*$B9+2):INDEX(neos_benchmark!F:F, (ROW()-2)*$B9 + $B9+1)), "")</f>
        <v>100</v>
      </c>
      <c r="G9">
        <f>IFERROR(AVERAGE(INDEX(neos_benchmark!G:G, (ROW()-2)*$B9+2):INDEX(neos_benchmark!G:G, (ROW()-2)*$B9 + $B9+1)), "")</f>
        <v>6</v>
      </c>
      <c r="H9" t="str">
        <f>IFERROR(AVERAGE(INDEX(neos_benchmark!H:H, (ROW()-2)*$B9+2):INDEX(neos_benchmark!H:H, (ROW()-2)*$B9 + $B9+1)), "")</f>
        <v/>
      </c>
      <c r="I9" t="str">
        <f>IFERROR(AVERAGE(INDEX(neos_benchmark!I:I, (ROW()-2)*$B9+2):INDEX(neos_benchmark!I:I, (ROW()-2)*$B9 + $B9+1)), "")</f>
        <v/>
      </c>
      <c r="J9" t="str">
        <f>IFERROR(AVERAGE(INDEX(neos_benchmark!J:J, (ROW()-2)*$B9+2):INDEX(neos_benchmark!J:J, (ROW()-2)*$B9 + $B9+1)), "")</f>
        <v/>
      </c>
      <c r="K9" t="str">
        <f>IFERROR(AVERAGE(INDEX(neos_benchmark!K:K, (ROW()-2)*$B9+2):INDEX(neos_benchmark!K:K, (ROW()-2)*$B9 + $B9+1)), "")</f>
        <v/>
      </c>
      <c r="L9" t="str">
        <f>IFERROR(AVERAGE(INDEX(neos_benchmark!L:L, (ROW()-2)*$B9+2):INDEX(neos_benchmark!L:L, (ROW()-2)*$B9 + $B9+1)), "")</f>
        <v/>
      </c>
      <c r="M9" t="str">
        <f>IFERROR(AVERAGE(INDEX(neos_benchmark!M:M, (ROW()-2)*$B9+2):INDEX(neos_benchmark!M:M, (ROW()-2)*$B9 + $B9+1)), "")</f>
        <v/>
      </c>
      <c r="N9" t="str">
        <f>IFERROR(AVERAGE(INDEX(neos_benchmark!N:N, (ROW()-2)*$B9+2):INDEX(neos_benchmark!N:N, (ROW()-2)*$B9 + $B9+1)), "")</f>
        <v/>
      </c>
      <c r="O9" t="str">
        <f>IFERROR(AVERAGE(INDEX(neos_benchmark!O:O, (ROW()-2)*$B9+2):INDEX(neos_benchmark!O:O, (ROW()-2)*$B9 + $B9+1)), "")</f>
        <v/>
      </c>
      <c r="P9" t="str">
        <f>IFERROR(AVERAGE(INDEX(neos_benchmark!P:P, (ROW()-2)*$B9+2):INDEX(neos_benchmark!P:P, (ROW()-2)*$B9 + $B9+1)), "")</f>
        <v/>
      </c>
      <c r="Q9" t="str">
        <f>IFERROR(AVERAGE(INDEX(neos_benchmark!Q:Q, (ROW()-2)*$B9+2):INDEX(neos_benchmark!Q:Q, (ROW()-2)*$B9 + $B9+1)), "")</f>
        <v/>
      </c>
      <c r="R9" t="str">
        <f>IFERROR(AVERAGE(INDEX(neos_benchmark!R:R, (ROW()-2)*$B9+2):INDEX(neos_benchmark!R:R, (ROW()-2)*$B9 + $B9+1)), "")</f>
        <v/>
      </c>
      <c r="S9" t="str">
        <f>IFERROR(AVERAGE(INDEX(neos_benchmark!S:S, (ROW()-2)*$B9+2):INDEX(neos_benchmark!S:S, (ROW()-2)*$B9 + $B9+1)), "")</f>
        <v/>
      </c>
      <c r="T9" t="str">
        <f>IFERROR(AVERAGE(INDEX(neos_benchmark!T:T, (ROW()-2)*$B9+2):INDEX(neos_benchmark!T:T, (ROW()-2)*$B9 + $B9+1)), "")</f>
        <v/>
      </c>
      <c r="U9" t="str">
        <f>IFERROR(AVERAGE(INDEX(neos_benchmark!U:U, (ROW()-2)*$B9+2):INDEX(neos_benchmark!U:U, (ROW()-2)*$B9 + $B9+1)), "")</f>
        <v/>
      </c>
      <c r="V9" t="str">
        <f>IFERROR(AVERAGE(INDEX(neos_benchmark!V:V, (ROW()-2)*$B9+2):INDEX(neos_benchmark!V:V, (ROW()-2)*$B9 + $B9+1)), "")</f>
        <v/>
      </c>
      <c r="W9">
        <f>IFERROR(AVERAGE(INDEX(neos_benchmark!W:W, (ROW()-2)*$B9+2):INDEX(neos_benchmark!W:W, (ROW()-2)*$B9 + $B9+1)), "")</f>
        <v>0.15045510000000001</v>
      </c>
      <c r="X9">
        <f>IFERROR(AVERAGE(INDEX(neos_benchmark!X:X, (ROW()-2)*$B9+2):INDEX(neos_benchmark!X:X, (ROW()-2)*$B9 + $B9+1)), "")</f>
        <v>2.2814399999999992E-2</v>
      </c>
      <c r="Y9">
        <f>IFERROR(AVERAGE(INDEX(neos_benchmark!Y:Y, (ROW()-2)*$B9+2):INDEX(neos_benchmark!Y:Y, (ROW()-2)*$B9 + $B9+1)), "")</f>
        <v>0.13149109999999997</v>
      </c>
      <c r="Z9">
        <f>IFERROR(AVERAGE(INDEX(neos_benchmark!Z:Z, (ROW()-2)*$B9+2):INDEX(neos_benchmark!Z:Z, (ROW()-2)*$B9 + $B9+1)), "")</f>
        <v>0.15430550000000001</v>
      </c>
      <c r="AA9">
        <f>IFERROR(AVERAGE(INDEX(neos_benchmark!AA:AA, (ROW()-2)*$B9+2):INDEX(neos_benchmark!AA:AA, (ROW()-2)*$B9 + $B9+1)), "")</f>
        <v>2.11591E-2</v>
      </c>
      <c r="AB9">
        <f>IFERROR(AVERAGE(INDEX(neos_benchmark!AB:AB, (ROW()-2)*$B9+2):INDEX(neos_benchmark!AB:AB, (ROW()-2)*$B9 + $B9+1)), "")</f>
        <v>3.2304999999999999E-3</v>
      </c>
      <c r="AC9">
        <f>IFERROR(AVERAGE(INDEX(neos_benchmark!AC:AC, (ROW()-2)*$B9+2):INDEX(neos_benchmark!AC:AC, (ROW()-2)*$B9 + $B9+1)), "")</f>
        <v>3.6041999999999997E-3</v>
      </c>
      <c r="AD9">
        <f>IFERROR(AVERAGE(INDEX(neos_benchmark!AD:AD, (ROW()-2)*$B9+2):INDEX(neos_benchmark!AD:AD, (ROW()-2)*$B9 + $B9+1)), "")</f>
        <v>6.8347000000000008E-3</v>
      </c>
      <c r="AE9">
        <f>IFERROR(AVERAGE(INDEX(neos_benchmark!AE:AE, (ROW()-2)*$B9+2):INDEX(neos_benchmark!AE:AE, (ROW()-2)*$B9 + $B9+1)), "")</f>
        <v>29729</v>
      </c>
      <c r="AF9">
        <f>IFERROR(AVERAGE(INDEX(neos_benchmark!AF:AF, (ROW()-2)*$B9+2):INDEX(neos_benchmark!AF:AF, (ROW()-2)*$B9 + $B9+1)), "")</f>
        <v>73</v>
      </c>
      <c r="AG9">
        <f>IFERROR(AVERAGE(INDEX(neos_benchmark!AG:AG, (ROW()-2)*$B9+2):INDEX(neos_benchmark!AG:AG, (ROW()-2)*$B9 + $B9+1)), "")</f>
        <v>29766</v>
      </c>
      <c r="AH9">
        <f>IFERROR(AVERAGE(INDEX(neos_benchmark!AH:AH, (ROW()-2)*$B9+2):INDEX(neos_benchmark!AH:AH, (ROW()-2)*$B9 + $B9+1)), "")</f>
        <v>80</v>
      </c>
      <c r="AI9">
        <f>IFERROR(AVERAGE(INDEX(neos_benchmark!AI:AI, (ROW()-2)*$B9+2):INDEX(neos_benchmark!AI:AI, (ROW()-2)*$B9 + $B9+1)), "")</f>
        <v>493932.6</v>
      </c>
      <c r="AJ9">
        <f>IFERROR(AVERAGE(INDEX(neos_benchmark!AJ:AJ, (ROW()-2)*$B9+2):INDEX(neos_benchmark!AJ:AJ, (ROW()-2)*$B9 + $B9+1)), "")</f>
        <v>508530.8</v>
      </c>
      <c r="AK9" cm="1">
        <f t="array" ref="AK9">IFERROR(AVERAGE(INDEX(neos_benchmark!W:W, (ROW()-2)*$B9+2):INDEX(neos_benchmark!W:W, (ROW()-2)*$B9 + $B9+1) + INDEX(neos_benchmark!AA:AA, (ROW()-2)*$B9+2):INDEX(neos_benchmark!AA:AA, (ROW()-2)*$B9 + $B9+1)), "")</f>
        <v>0.17161419999999999</v>
      </c>
      <c r="AL9" cm="1">
        <f t="array" ref="AL9">IFERROR(MIN(INDEX(neos_benchmark!W:W, (ROW()-2)*$B9+2):INDEX(neos_benchmark!W:W, (ROW()-2)*$B9 + $B9+1) + INDEX(neos_benchmark!AA:AA, (ROW()-2)*$B9+2):INDEX(neos_benchmark!AA:AA, (ROW()-2)*$B9 + $B9+1)), "")</f>
        <v>0.123309</v>
      </c>
      <c r="AM9" cm="1">
        <f t="array" ref="AM9">IFERROR(MAX(INDEX(neos_benchmark!W:W, (ROW()-2)*$B9+2):INDEX(neos_benchmark!W:W, (ROW()-2)*$B9 + $B9+1) + INDEX(neos_benchmark!AA:AA, (ROW()-2)*$B9+2):INDEX(neos_benchmark!AA:AA, (ROW()-2)*$B9 + $B9+1)), "")</f>
        <v>0.36137799999999998</v>
      </c>
      <c r="AN9" cm="1">
        <f t="array" ref="AN9">IFERROR(AVERAGE((INDEX(neos_benchmark!AJ:AJ, (ROW()-2)*$B9+2):INDEX(neos_benchmark!AJ:AJ, (ROW()-2)*$B9 + $B9+1) - INDEX(neos_benchmark!AI:AI, (ROW()-2)*$B9+2):INDEX(neos_benchmark!AI:AI, (ROW()-2)*$B9 + $B9+1)) / 1000), "")</f>
        <v>14.598200000000002</v>
      </c>
      <c r="AO9" cm="1">
        <f t="array" ref="AO9">IFERROR(MIN((INDEX(neos_benchmark!AJ:AJ, (ROW()-2)*$B9+2):INDEX(neos_benchmark!AJ:AJ, (ROW()-2)*$B9 + $B9+1) - INDEX(neos_benchmark!AI:AI, (ROW()-2)*$B9+2):INDEX(neos_benchmark!AI:AI, (ROW()-2)*$B9 + $B9+1)) / 1000), "")</f>
        <v>4.718</v>
      </c>
      <c r="AP9" cm="1">
        <f t="array" ref="AP9">IFERROR(MAX((INDEX(neos_benchmark!AJ:AJ, (ROW()-2)*$B9+2):INDEX(neos_benchmark!AJ:AJ, (ROW()-2)*$B9 + $B9+1) - INDEX(neos_benchmark!AI:AI, (ROW()-2)*$B9+2):INDEX(neos_benchmark!AI:AI, (ROW()-2)*$B9 + $B9+1)) / 1000), "")</f>
        <v>35.548999999999999</v>
      </c>
    </row>
    <row r="10" spans="1:42" x14ac:dyDescent="0.25">
      <c r="A10" t="str" cm="1">
        <f t="array" ref="A10">INDEX(neos_benchmark!A:A, (ROW()-2)*$B10+2)</f>
        <v>grasp-gurobi</v>
      </c>
      <c r="B10">
        <f>COUNTIF(neos_benchmark!A:A, neos_benchmark!A10)</f>
        <v>10</v>
      </c>
      <c r="C10" t="str" cm="1">
        <f t="array" ref="C10">INDEX(neos_benchmark!C:C, (ROW()-2)*$B10+2)</f>
        <v/>
      </c>
      <c r="D10" t="str" cm="1">
        <f t="array" ref="D10">INDEX(neos_benchmark!D:D, (ROW()-2)*$B10+2)</f>
        <v/>
      </c>
      <c r="E10" t="str" cm="1">
        <f t="array" ref="E10">INDEX(neos_benchmark!E:E, (ROW()-2)*$B10+2)</f>
        <v>XML-RPC rejected</v>
      </c>
      <c r="F10" t="str">
        <f>IFERROR(AVERAGE(INDEX(neos_benchmark!F:F, (ROW()-2)*$B10+2):INDEX(neos_benchmark!F:F, (ROW()-2)*$B10 + $B10+1)), "")</f>
        <v/>
      </c>
      <c r="G10" t="str">
        <f>IFERROR(AVERAGE(INDEX(neos_benchmark!G:G, (ROW()-2)*$B10+2):INDEX(neos_benchmark!G:G, (ROW()-2)*$B10 + $B10+1)), "")</f>
        <v/>
      </c>
      <c r="H10" t="str">
        <f>IFERROR(AVERAGE(INDEX(neos_benchmark!H:H, (ROW()-2)*$B10+2):INDEX(neos_benchmark!H:H, (ROW()-2)*$B10 + $B10+1)), "")</f>
        <v/>
      </c>
      <c r="I10" t="str">
        <f>IFERROR(AVERAGE(INDEX(neos_benchmark!I:I, (ROW()-2)*$B10+2):INDEX(neos_benchmark!I:I, (ROW()-2)*$B10 + $B10+1)), "")</f>
        <v/>
      </c>
      <c r="J10" t="str">
        <f>IFERROR(AVERAGE(INDEX(neos_benchmark!J:J, (ROW()-2)*$B10+2):INDEX(neos_benchmark!J:J, (ROW()-2)*$B10 + $B10+1)), "")</f>
        <v/>
      </c>
      <c r="K10" t="str">
        <f>IFERROR(AVERAGE(INDEX(neos_benchmark!K:K, (ROW()-2)*$B10+2):INDEX(neos_benchmark!K:K, (ROW()-2)*$B10 + $B10+1)), "")</f>
        <v/>
      </c>
      <c r="L10" t="str">
        <f>IFERROR(AVERAGE(INDEX(neos_benchmark!L:L, (ROW()-2)*$B10+2):INDEX(neos_benchmark!L:L, (ROW()-2)*$B10 + $B10+1)), "")</f>
        <v/>
      </c>
      <c r="M10" t="str">
        <f>IFERROR(AVERAGE(INDEX(neos_benchmark!M:M, (ROW()-2)*$B10+2):INDEX(neos_benchmark!M:M, (ROW()-2)*$B10 + $B10+1)), "")</f>
        <v/>
      </c>
      <c r="N10" t="str">
        <f>IFERROR(AVERAGE(INDEX(neos_benchmark!N:N, (ROW()-2)*$B10+2):INDEX(neos_benchmark!N:N, (ROW()-2)*$B10 + $B10+1)), "")</f>
        <v/>
      </c>
      <c r="O10" t="str">
        <f>IFERROR(AVERAGE(INDEX(neos_benchmark!O:O, (ROW()-2)*$B10+2):INDEX(neos_benchmark!O:O, (ROW()-2)*$B10 + $B10+1)), "")</f>
        <v/>
      </c>
      <c r="P10" t="str">
        <f>IFERROR(AVERAGE(INDEX(neos_benchmark!P:P, (ROW()-2)*$B10+2):INDEX(neos_benchmark!P:P, (ROW()-2)*$B10 + $B10+1)), "")</f>
        <v/>
      </c>
      <c r="Q10" t="str">
        <f>IFERROR(AVERAGE(INDEX(neos_benchmark!Q:Q, (ROW()-2)*$B10+2):INDEX(neos_benchmark!Q:Q, (ROW()-2)*$B10 + $B10+1)), "")</f>
        <v/>
      </c>
      <c r="R10" t="str">
        <f>IFERROR(AVERAGE(INDEX(neos_benchmark!R:R, (ROW()-2)*$B10+2):INDEX(neos_benchmark!R:R, (ROW()-2)*$B10 + $B10+1)), "")</f>
        <v/>
      </c>
      <c r="S10" t="str">
        <f>IFERROR(AVERAGE(INDEX(neos_benchmark!S:S, (ROW()-2)*$B10+2):INDEX(neos_benchmark!S:S, (ROW()-2)*$B10 + $B10+1)), "")</f>
        <v/>
      </c>
      <c r="T10" t="str">
        <f>IFERROR(AVERAGE(INDEX(neos_benchmark!T:T, (ROW()-2)*$B10+2):INDEX(neos_benchmark!T:T, (ROW()-2)*$B10 + $B10+1)), "")</f>
        <v/>
      </c>
      <c r="U10" t="str">
        <f>IFERROR(AVERAGE(INDEX(neos_benchmark!U:U, (ROW()-2)*$B10+2):INDEX(neos_benchmark!U:U, (ROW()-2)*$B10 + $B10+1)), "")</f>
        <v/>
      </c>
      <c r="V10" t="str">
        <f>IFERROR(AVERAGE(INDEX(neos_benchmark!V:V, (ROW()-2)*$B10+2):INDEX(neos_benchmark!V:V, (ROW()-2)*$B10 + $B10+1)), "")</f>
        <v/>
      </c>
      <c r="W10" t="str">
        <f>IFERROR(AVERAGE(INDEX(neos_benchmark!W:W, (ROW()-2)*$B10+2):INDEX(neos_benchmark!W:W, (ROW()-2)*$B10 + $B10+1)), "")</f>
        <v/>
      </c>
      <c r="X10" t="str">
        <f>IFERROR(AVERAGE(INDEX(neos_benchmark!X:X, (ROW()-2)*$B10+2):INDEX(neos_benchmark!X:X, (ROW()-2)*$B10 + $B10+1)), "")</f>
        <v/>
      </c>
      <c r="Y10" t="str">
        <f>IFERROR(AVERAGE(INDEX(neos_benchmark!Y:Y, (ROW()-2)*$B10+2):INDEX(neos_benchmark!Y:Y, (ROW()-2)*$B10 + $B10+1)), "")</f>
        <v/>
      </c>
      <c r="Z10" t="str">
        <f>IFERROR(AVERAGE(INDEX(neos_benchmark!Z:Z, (ROW()-2)*$B10+2):INDEX(neos_benchmark!Z:Z, (ROW()-2)*$B10 + $B10+1)), "")</f>
        <v/>
      </c>
      <c r="AA10" t="str">
        <f>IFERROR(AVERAGE(INDEX(neos_benchmark!AA:AA, (ROW()-2)*$B10+2):INDEX(neos_benchmark!AA:AA, (ROW()-2)*$B10 + $B10+1)), "")</f>
        <v/>
      </c>
      <c r="AB10" t="str">
        <f>IFERROR(AVERAGE(INDEX(neos_benchmark!AB:AB, (ROW()-2)*$B10+2):INDEX(neos_benchmark!AB:AB, (ROW()-2)*$B10 + $B10+1)), "")</f>
        <v/>
      </c>
      <c r="AC10" t="str">
        <f>IFERROR(AVERAGE(INDEX(neos_benchmark!AC:AC, (ROW()-2)*$B10+2):INDEX(neos_benchmark!AC:AC, (ROW()-2)*$B10 + $B10+1)), "")</f>
        <v/>
      </c>
      <c r="AD10" t="str">
        <f>IFERROR(AVERAGE(INDEX(neos_benchmark!AD:AD, (ROW()-2)*$B10+2):INDEX(neos_benchmark!AD:AD, (ROW()-2)*$B10 + $B10+1)), "")</f>
        <v/>
      </c>
      <c r="AE10" t="str">
        <f>IFERROR(AVERAGE(INDEX(neos_benchmark!AE:AE, (ROW()-2)*$B10+2):INDEX(neos_benchmark!AE:AE, (ROW()-2)*$B10 + $B10+1)), "")</f>
        <v/>
      </c>
      <c r="AF10" t="str">
        <f>IFERROR(AVERAGE(INDEX(neos_benchmark!AF:AF, (ROW()-2)*$B10+2):INDEX(neos_benchmark!AF:AF, (ROW()-2)*$B10 + $B10+1)), "")</f>
        <v/>
      </c>
      <c r="AG10" t="str">
        <f>IFERROR(AVERAGE(INDEX(neos_benchmark!AG:AG, (ROW()-2)*$B10+2):INDEX(neos_benchmark!AG:AG, (ROW()-2)*$B10 + $B10+1)), "")</f>
        <v/>
      </c>
      <c r="AH10" t="str">
        <f>IFERROR(AVERAGE(INDEX(neos_benchmark!AH:AH, (ROW()-2)*$B10+2):INDEX(neos_benchmark!AH:AH, (ROW()-2)*$B10 + $B10+1)), "")</f>
        <v/>
      </c>
      <c r="AI10">
        <f>IFERROR(AVERAGE(INDEX(neos_benchmark!AI:AI, (ROW()-2)*$B10+2):INDEX(neos_benchmark!AI:AI, (ROW()-2)*$B10 + $B10+1)), "")</f>
        <v>499571.20000000001</v>
      </c>
      <c r="AJ10">
        <f>IFERROR(AVERAGE(INDEX(neos_benchmark!AJ:AJ, (ROW()-2)*$B10+2):INDEX(neos_benchmark!AJ:AJ, (ROW()-2)*$B10 + $B10+1)), "")</f>
        <v>508214.9</v>
      </c>
      <c r="AK10" cm="1">
        <f t="array" ref="AK10">IFERROR(AVERAGE(INDEX(neos_benchmark!W:W, (ROW()-2)*$B10+2):INDEX(neos_benchmark!W:W, (ROW()-2)*$B10 + $B10+1) + INDEX(neos_benchmark!AA:AA, (ROW()-2)*$B10+2):INDEX(neos_benchmark!AA:AA, (ROW()-2)*$B10 + $B10+1)), "")</f>
        <v>0</v>
      </c>
      <c r="AL10" cm="1">
        <f t="array" ref="AL10">IFERROR(MIN(INDEX(neos_benchmark!W:W, (ROW()-2)*$B10+2):INDEX(neos_benchmark!W:W, (ROW()-2)*$B10 + $B10+1) + INDEX(neos_benchmark!AA:AA, (ROW()-2)*$B10+2):INDEX(neos_benchmark!AA:AA, (ROW()-2)*$B10 + $B10+1)), "")</f>
        <v>0</v>
      </c>
      <c r="AM10" cm="1">
        <f t="array" ref="AM10">IFERROR(MAX(INDEX(neos_benchmark!W:W, (ROW()-2)*$B10+2):INDEX(neos_benchmark!W:W, (ROW()-2)*$B10 + $B10+1) + INDEX(neos_benchmark!AA:AA, (ROW()-2)*$B10+2):INDEX(neos_benchmark!AA:AA, (ROW()-2)*$B10 + $B10+1)), "")</f>
        <v>0</v>
      </c>
      <c r="AN10" cm="1">
        <f t="array" ref="AN10">IFERROR(AVERAGE((INDEX(neos_benchmark!AJ:AJ, (ROW()-2)*$B10+2):INDEX(neos_benchmark!AJ:AJ, (ROW()-2)*$B10 + $B10+1) - INDEX(neos_benchmark!AI:AI, (ROW()-2)*$B10+2):INDEX(neos_benchmark!AI:AI, (ROW()-2)*$B10 + $B10+1)) / 1000), "")</f>
        <v>8.6436999999999991</v>
      </c>
      <c r="AO10" cm="1">
        <f t="array" ref="AO10">IFERROR(MIN((INDEX(neos_benchmark!AJ:AJ, (ROW()-2)*$B10+2):INDEX(neos_benchmark!AJ:AJ, (ROW()-2)*$B10 + $B10+1) - INDEX(neos_benchmark!AI:AI, (ROW()-2)*$B10+2):INDEX(neos_benchmark!AI:AI, (ROW()-2)*$B10 + $B10+1)) / 1000), "")</f>
        <v>2.3940000000000001</v>
      </c>
      <c r="AP10" cm="1">
        <f t="array" ref="AP10">IFERROR(MAX((INDEX(neos_benchmark!AJ:AJ, (ROW()-2)*$B10+2):INDEX(neos_benchmark!AJ:AJ, (ROW()-2)*$B10 + $B10+1) - INDEX(neos_benchmark!AI:AI, (ROW()-2)*$B10+2):INDEX(neos_benchmark!AI:AI, (ROW()-2)*$B10 + $B10+1)) / 1000), "")</f>
        <v>25.786000000000001</v>
      </c>
    </row>
    <row r="11" spans="1:42" x14ac:dyDescent="0.25">
      <c r="A11" t="str" cm="1">
        <f t="array" ref="A11">INDEX(neos_benchmark!A:A, (ROW()-2)*$B11+2)</f>
        <v>grasp-highs</v>
      </c>
      <c r="B11">
        <f>COUNTIF(neos_benchmark!A:A, neos_benchmark!A11)</f>
        <v>10</v>
      </c>
      <c r="C11" t="str" cm="1">
        <f t="array" ref="C11">INDEX(neos_benchmark!C:C, (ROW()-2)*$B11+2)</f>
        <v>HiGHS</v>
      </c>
      <c r="D11" t="str" cm="1">
        <f t="array" ref="D11">INDEX(neos_benchmark!D:D, (ROW()-2)*$B11+2)</f>
        <v>1.11.0</v>
      </c>
      <c r="E11" t="str" cm="1">
        <f t="array" ref="E11">INDEX(neos_benchmark!E:E, (ROW()-2)*$B11+2)</f>
        <v>failure</v>
      </c>
      <c r="F11">
        <f>IFERROR(AVERAGE(INDEX(neos_benchmark!F:F, (ROW()-2)*$B11+2):INDEX(neos_benchmark!F:F, (ROW()-2)*$B11 + $B11+1)), "")</f>
        <v>500</v>
      </c>
      <c r="G11">
        <f>IFERROR(AVERAGE(INDEX(neos_benchmark!G:G, (ROW()-2)*$B11+2):INDEX(neos_benchmark!G:G, (ROW()-2)*$B11 + $B11+1)), "")</f>
        <v>0</v>
      </c>
      <c r="H11" t="str">
        <f>IFERROR(AVERAGE(INDEX(neos_benchmark!H:H, (ROW()-2)*$B11+2):INDEX(neos_benchmark!H:H, (ROW()-2)*$B11 + $B11+1)), "")</f>
        <v/>
      </c>
      <c r="I11" t="str">
        <f>IFERROR(AVERAGE(INDEX(neos_benchmark!I:I, (ROW()-2)*$B11+2):INDEX(neos_benchmark!I:I, (ROW()-2)*$B11 + $B11+1)), "")</f>
        <v/>
      </c>
      <c r="J11" t="str">
        <f>IFERROR(AVERAGE(INDEX(neos_benchmark!J:J, (ROW()-2)*$B11+2):INDEX(neos_benchmark!J:J, (ROW()-2)*$B11 + $B11+1)), "")</f>
        <v/>
      </c>
      <c r="K11" t="str">
        <f>IFERROR(AVERAGE(INDEX(neos_benchmark!K:K, (ROW()-2)*$B11+2):INDEX(neos_benchmark!K:K, (ROW()-2)*$B11 + $B11+1)), "")</f>
        <v/>
      </c>
      <c r="L11" t="str">
        <f>IFERROR(AVERAGE(INDEX(neos_benchmark!L:L, (ROW()-2)*$B11+2):INDEX(neos_benchmark!L:L, (ROW()-2)*$B11 + $B11+1)), "")</f>
        <v/>
      </c>
      <c r="M11" t="str">
        <f>IFERROR(AVERAGE(INDEX(neos_benchmark!M:M, (ROW()-2)*$B11+2):INDEX(neos_benchmark!M:M, (ROW()-2)*$B11 + $B11+1)), "")</f>
        <v/>
      </c>
      <c r="N11" t="str">
        <f>IFERROR(AVERAGE(INDEX(neos_benchmark!N:N, (ROW()-2)*$B11+2):INDEX(neos_benchmark!N:N, (ROW()-2)*$B11 + $B11+1)), "")</f>
        <v/>
      </c>
      <c r="O11" t="str">
        <f>IFERROR(AVERAGE(INDEX(neos_benchmark!O:O, (ROW()-2)*$B11+2):INDEX(neos_benchmark!O:O, (ROW()-2)*$B11 + $B11+1)), "")</f>
        <v/>
      </c>
      <c r="P11" t="str">
        <f>IFERROR(AVERAGE(INDEX(neos_benchmark!P:P, (ROW()-2)*$B11+2):INDEX(neos_benchmark!P:P, (ROW()-2)*$B11 + $B11+1)), "")</f>
        <v/>
      </c>
      <c r="Q11" t="str">
        <f>IFERROR(AVERAGE(INDEX(neos_benchmark!Q:Q, (ROW()-2)*$B11+2):INDEX(neos_benchmark!Q:Q, (ROW()-2)*$B11 + $B11+1)), "")</f>
        <v/>
      </c>
      <c r="R11" t="str">
        <f>IFERROR(AVERAGE(INDEX(neos_benchmark!R:R, (ROW()-2)*$B11+2):INDEX(neos_benchmark!R:R, (ROW()-2)*$B11 + $B11+1)), "")</f>
        <v/>
      </c>
      <c r="S11" t="str">
        <f>IFERROR(AVERAGE(INDEX(neos_benchmark!S:S, (ROW()-2)*$B11+2):INDEX(neos_benchmark!S:S, (ROW()-2)*$B11 + $B11+1)), "")</f>
        <v/>
      </c>
      <c r="T11" t="str">
        <f>IFERROR(AVERAGE(INDEX(neos_benchmark!T:T, (ROW()-2)*$B11+2):INDEX(neos_benchmark!T:T, (ROW()-2)*$B11 + $B11+1)), "")</f>
        <v/>
      </c>
      <c r="U11" t="str">
        <f>IFERROR(AVERAGE(INDEX(neos_benchmark!U:U, (ROW()-2)*$B11+2):INDEX(neos_benchmark!U:U, (ROW()-2)*$B11 + $B11+1)), "")</f>
        <v/>
      </c>
      <c r="V11" t="str">
        <f>IFERROR(AVERAGE(INDEX(neos_benchmark!V:V, (ROW()-2)*$B11+2):INDEX(neos_benchmark!V:V, (ROW()-2)*$B11 + $B11+1)), "")</f>
        <v/>
      </c>
      <c r="W11">
        <f>IFERROR(AVERAGE(INDEX(neos_benchmark!W:W, (ROW()-2)*$B11+2):INDEX(neos_benchmark!W:W, (ROW()-2)*$B11 + $B11+1)), "")</f>
        <v>0.14474810000000002</v>
      </c>
      <c r="X11">
        <f>IFERROR(AVERAGE(INDEX(neos_benchmark!X:X, (ROW()-2)*$B11+2):INDEX(neos_benchmark!X:X, (ROW()-2)*$B11 + $B11+1)), "")</f>
        <v>2.5315999999999998E-2</v>
      </c>
      <c r="Y11">
        <f>IFERROR(AVERAGE(INDEX(neos_benchmark!Y:Y, (ROW()-2)*$B11+2):INDEX(neos_benchmark!Y:Y, (ROW()-2)*$B11 + $B11+1)), "")</f>
        <v>0.1233279</v>
      </c>
      <c r="Z11">
        <f>IFERROR(AVERAGE(INDEX(neos_benchmark!Z:Z, (ROW()-2)*$B11+2):INDEX(neos_benchmark!Z:Z, (ROW()-2)*$B11 + $B11+1)), "")</f>
        <v>0.1486439</v>
      </c>
      <c r="AA11">
        <f>IFERROR(AVERAGE(INDEX(neos_benchmark!AA:AA, (ROW()-2)*$B11+2):INDEX(neos_benchmark!AA:AA, (ROW()-2)*$B11 + $B11+1)), "")</f>
        <v>1.8141199999999993E-2</v>
      </c>
      <c r="AB11">
        <f>IFERROR(AVERAGE(INDEX(neos_benchmark!AB:AB, (ROW()-2)*$B11+2):INDEX(neos_benchmark!AB:AB, (ROW()-2)*$B11 + $B11+1)), "")</f>
        <v>2.9564999999999999E-3</v>
      </c>
      <c r="AC11">
        <f>IFERROR(AVERAGE(INDEX(neos_benchmark!AC:AC, (ROW()-2)*$B11+2):INDEX(neos_benchmark!AC:AC, (ROW()-2)*$B11 + $B11+1)), "")</f>
        <v>6.6263999999999993E-3</v>
      </c>
      <c r="AD11">
        <f>IFERROR(AVERAGE(INDEX(neos_benchmark!AD:AD, (ROW()-2)*$B11+2):INDEX(neos_benchmark!AD:AD, (ROW()-2)*$B11 + $B11+1)), "")</f>
        <v>9.5829000000000018E-3</v>
      </c>
      <c r="AE11">
        <f>IFERROR(AVERAGE(INDEX(neos_benchmark!AE:AE, (ROW()-2)*$B11+2):INDEX(neos_benchmark!AE:AE, (ROW()-2)*$B11 + $B11+1)), "")</f>
        <v>29729</v>
      </c>
      <c r="AF11">
        <f>IFERROR(AVERAGE(INDEX(neos_benchmark!AF:AF, (ROW()-2)*$B11+2):INDEX(neos_benchmark!AF:AF, (ROW()-2)*$B11 + $B11+1)), "")</f>
        <v>73</v>
      </c>
      <c r="AG11">
        <f>IFERROR(AVERAGE(INDEX(neos_benchmark!AG:AG, (ROW()-2)*$B11+2):INDEX(neos_benchmark!AG:AG, (ROW()-2)*$B11 + $B11+1)), "")</f>
        <v>29766</v>
      </c>
      <c r="AH11">
        <f>IFERROR(AVERAGE(INDEX(neos_benchmark!AH:AH, (ROW()-2)*$B11+2):INDEX(neos_benchmark!AH:AH, (ROW()-2)*$B11 + $B11+1)), "")</f>
        <v>80</v>
      </c>
      <c r="AI11">
        <f>IFERROR(AVERAGE(INDEX(neos_benchmark!AI:AI, (ROW()-2)*$B11+2):INDEX(neos_benchmark!AI:AI, (ROW()-2)*$B11 + $B11+1)), "")</f>
        <v>519728.3</v>
      </c>
      <c r="AJ11">
        <f>IFERROR(AVERAGE(INDEX(neos_benchmark!AJ:AJ, (ROW()-2)*$B11+2):INDEX(neos_benchmark!AJ:AJ, (ROW()-2)*$B11 + $B11+1)), "")</f>
        <v>529105.19999999995</v>
      </c>
      <c r="AK11" cm="1">
        <f t="array" ref="AK11">IFERROR(AVERAGE(INDEX(neos_benchmark!W:W, (ROW()-2)*$B11+2):INDEX(neos_benchmark!W:W, (ROW()-2)*$B11 + $B11+1) + INDEX(neos_benchmark!AA:AA, (ROW()-2)*$B11+2):INDEX(neos_benchmark!AA:AA, (ROW()-2)*$B11 + $B11+1)), "")</f>
        <v>0.16288930000000001</v>
      </c>
      <c r="AL11" cm="1">
        <f t="array" ref="AL11">IFERROR(MIN(INDEX(neos_benchmark!W:W, (ROW()-2)*$B11+2):INDEX(neos_benchmark!W:W, (ROW()-2)*$B11 + $B11+1) + INDEX(neos_benchmark!AA:AA, (ROW()-2)*$B11+2):INDEX(neos_benchmark!AA:AA, (ROW()-2)*$B11 + $B11+1)), "")</f>
        <v>0.12633000000000005</v>
      </c>
      <c r="AM11" cm="1">
        <f t="array" ref="AM11">IFERROR(MAX(INDEX(neos_benchmark!W:W, (ROW()-2)*$B11+2):INDEX(neos_benchmark!W:W, (ROW()-2)*$B11 + $B11+1) + INDEX(neos_benchmark!AA:AA, (ROW()-2)*$B11+2):INDEX(neos_benchmark!AA:AA, (ROW()-2)*$B11 + $B11+1)), "")</f>
        <v>0.30149900000000002</v>
      </c>
      <c r="AN11" cm="1">
        <f t="array" ref="AN11">IFERROR(AVERAGE((INDEX(neos_benchmark!AJ:AJ, (ROW()-2)*$B11+2):INDEX(neos_benchmark!AJ:AJ, (ROW()-2)*$B11 + $B11+1) - INDEX(neos_benchmark!AI:AI, (ROW()-2)*$B11+2):INDEX(neos_benchmark!AI:AI, (ROW()-2)*$B11 + $B11+1)) / 1000), "")</f>
        <v>9.3768999999999991</v>
      </c>
      <c r="AO11" cm="1">
        <f t="array" ref="AO11">IFERROR(MIN((INDEX(neos_benchmark!AJ:AJ, (ROW()-2)*$B11+2):INDEX(neos_benchmark!AJ:AJ, (ROW()-2)*$B11 + $B11+1) - INDEX(neos_benchmark!AI:AI, (ROW()-2)*$B11+2):INDEX(neos_benchmark!AI:AI, (ROW()-2)*$B11 + $B11+1)) / 1000), "")</f>
        <v>4.8879999999999999</v>
      </c>
      <c r="AP11" cm="1">
        <f t="array" ref="AP11">IFERROR(MAX((INDEX(neos_benchmark!AJ:AJ, (ROW()-2)*$B11+2):INDEX(neos_benchmark!AJ:AJ, (ROW()-2)*$B11 + $B11+1) - INDEX(neos_benchmark!AI:AI, (ROW()-2)*$B11+2):INDEX(neos_benchmark!AI:AI, (ROW()-2)*$B11 + $B11+1)) / 1000), "")</f>
        <v>27.016999999999999</v>
      </c>
    </row>
    <row r="12" spans="1:42" x14ac:dyDescent="0.25">
      <c r="A12" t="str" cm="1">
        <f t="array" ref="A12">INDEX(neos_benchmark!A:A, (ROW()-2)*$B12+2)</f>
        <v>grasp-knitro</v>
      </c>
      <c r="B12">
        <f>COUNTIF(neos_benchmark!A:A, neos_benchmark!A12)</f>
        <v>10</v>
      </c>
      <c r="C12" t="str" cm="1">
        <f t="array" ref="C12">INDEX(neos_benchmark!C:C, (ROW()-2)*$B12+2)</f>
        <v>Knitro</v>
      </c>
      <c r="D12" t="str" cm="1">
        <f t="array" ref="D12">INDEX(neos_benchmark!D:D, (ROW()-2)*$B12+2)</f>
        <v>15.1.0</v>
      </c>
      <c r="E12" t="str" cm="1">
        <f t="array" ref="E12">INDEX(neos_benchmark!E:E, (ROW()-2)*$B12+2)</f>
        <v>solved</v>
      </c>
      <c r="F12">
        <f>IFERROR(AVERAGE(INDEX(neos_benchmark!F:F, (ROW()-2)*$B12+2):INDEX(neos_benchmark!F:F, (ROW()-2)*$B12 + $B12+1)), "")</f>
        <v>0</v>
      </c>
      <c r="G12">
        <f>IFERROR(AVERAGE(INDEX(neos_benchmark!G:G, (ROW()-2)*$B12+2):INDEX(neos_benchmark!G:G, (ROW()-2)*$B12 + $B12+1)), "")</f>
        <v>33</v>
      </c>
      <c r="H12" t="str">
        <f>IFERROR(AVERAGE(INDEX(neos_benchmark!H:H, (ROW()-2)*$B12+2):INDEX(neos_benchmark!H:H, (ROW()-2)*$B12 + $B12+1)), "")</f>
        <v/>
      </c>
      <c r="I12" t="str">
        <f>IFERROR(AVERAGE(INDEX(neos_benchmark!I:I, (ROW()-2)*$B12+2):INDEX(neos_benchmark!I:I, (ROW()-2)*$B12 + $B12+1)), "")</f>
        <v/>
      </c>
      <c r="J12" t="str">
        <f>IFERROR(AVERAGE(INDEX(neos_benchmark!J:J, (ROW()-2)*$B12+2):INDEX(neos_benchmark!J:J, (ROW()-2)*$B12 + $B12+1)), "")</f>
        <v/>
      </c>
      <c r="K12" t="str">
        <f>IFERROR(AVERAGE(INDEX(neos_benchmark!K:K, (ROW()-2)*$B12+2):INDEX(neos_benchmark!K:K, (ROW()-2)*$B12 + $B12+1)), "")</f>
        <v/>
      </c>
      <c r="L12" t="str">
        <f>IFERROR(AVERAGE(INDEX(neos_benchmark!L:L, (ROW()-2)*$B12+2):INDEX(neos_benchmark!L:L, (ROW()-2)*$B12 + $B12+1)), "")</f>
        <v/>
      </c>
      <c r="M12" t="str">
        <f>IFERROR(AVERAGE(INDEX(neos_benchmark!M:M, (ROW()-2)*$B12+2):INDEX(neos_benchmark!M:M, (ROW()-2)*$B12 + $B12+1)), "")</f>
        <v/>
      </c>
      <c r="N12" t="str">
        <f>IFERROR(AVERAGE(INDEX(neos_benchmark!N:N, (ROW()-2)*$B12+2):INDEX(neos_benchmark!N:N, (ROW()-2)*$B12 + $B12+1)), "")</f>
        <v/>
      </c>
      <c r="O12" t="str">
        <f>IFERROR(AVERAGE(INDEX(neos_benchmark!O:O, (ROW()-2)*$B12+2):INDEX(neos_benchmark!O:O, (ROW()-2)*$B12 + $B12+1)), "")</f>
        <v/>
      </c>
      <c r="P12" t="str">
        <f>IFERROR(AVERAGE(INDEX(neos_benchmark!P:P, (ROW()-2)*$B12+2):INDEX(neos_benchmark!P:P, (ROW()-2)*$B12 + $B12+1)), "")</f>
        <v/>
      </c>
      <c r="Q12" t="str">
        <f>IFERROR(AVERAGE(INDEX(neos_benchmark!Q:Q, (ROW()-2)*$B12+2):INDEX(neos_benchmark!Q:Q, (ROW()-2)*$B12 + $B12+1)), "")</f>
        <v/>
      </c>
      <c r="R12" t="str">
        <f>IFERROR(AVERAGE(INDEX(neos_benchmark!R:R, (ROW()-2)*$B12+2):INDEX(neos_benchmark!R:R, (ROW()-2)*$B12 + $B12+1)), "")</f>
        <v/>
      </c>
      <c r="S12" t="str">
        <f>IFERROR(AVERAGE(INDEX(neos_benchmark!S:S, (ROW()-2)*$B12+2):INDEX(neos_benchmark!S:S, (ROW()-2)*$B12 + $B12+1)), "")</f>
        <v/>
      </c>
      <c r="T12" t="str">
        <f>IFERROR(AVERAGE(INDEX(neos_benchmark!T:T, (ROW()-2)*$B12+2):INDEX(neos_benchmark!T:T, (ROW()-2)*$B12 + $B12+1)), "")</f>
        <v/>
      </c>
      <c r="U12" t="str">
        <f>IFERROR(AVERAGE(INDEX(neos_benchmark!U:U, (ROW()-2)*$B12+2):INDEX(neos_benchmark!U:U, (ROW()-2)*$B12 + $B12+1)), "")</f>
        <v/>
      </c>
      <c r="V12" t="str">
        <f>IFERROR(AVERAGE(INDEX(neos_benchmark!V:V, (ROW()-2)*$B12+2):INDEX(neos_benchmark!V:V, (ROW()-2)*$B12 + $B12+1)), "")</f>
        <v/>
      </c>
      <c r="W12">
        <f>IFERROR(AVERAGE(INDEX(neos_benchmark!W:W, (ROW()-2)*$B12+2):INDEX(neos_benchmark!W:W, (ROW()-2)*$B12 + $B12+1)), "")</f>
        <v>0.33654170000000005</v>
      </c>
      <c r="X12">
        <f>IFERROR(AVERAGE(INDEX(neos_benchmark!X:X, (ROW()-2)*$B12+2):INDEX(neos_benchmark!X:X, (ROW()-2)*$B12 + $B12+1)), "")</f>
        <v>3.1971800000000002E-2</v>
      </c>
      <c r="Y12">
        <f>IFERROR(AVERAGE(INDEX(neos_benchmark!Y:Y, (ROW()-2)*$B12+2):INDEX(neos_benchmark!Y:Y, (ROW()-2)*$B12 + $B12+1)), "")</f>
        <v>0.13719480000000001</v>
      </c>
      <c r="Z12">
        <f>IFERROR(AVERAGE(INDEX(neos_benchmark!Z:Z, (ROW()-2)*$B12+2):INDEX(neos_benchmark!Z:Z, (ROW()-2)*$B12 + $B12+1)), "")</f>
        <v>0.1691666</v>
      </c>
      <c r="AA12">
        <f>IFERROR(AVERAGE(INDEX(neos_benchmark!AA:AA, (ROW()-2)*$B12+2):INDEX(neos_benchmark!AA:AA, (ROW()-2)*$B12 + $B12+1)), "")</f>
        <v>0.37027949999999998</v>
      </c>
      <c r="AB12">
        <f>IFERROR(AVERAGE(INDEX(neos_benchmark!AB:AB, (ROW()-2)*$B12+2):INDEX(neos_benchmark!AB:AB, (ROW()-2)*$B12 + $B12+1)), "")</f>
        <v>1.4027300000000001E-2</v>
      </c>
      <c r="AC12">
        <f>IFERROR(AVERAGE(INDEX(neos_benchmark!AC:AC, (ROW()-2)*$B12+2):INDEX(neos_benchmark!AC:AC, (ROW()-2)*$B12 + $B12+1)), "")</f>
        <v>7.7906400000000001E-2</v>
      </c>
      <c r="AD12">
        <f>IFERROR(AVERAGE(INDEX(neos_benchmark!AD:AD, (ROW()-2)*$B12+2):INDEX(neos_benchmark!AD:AD, (ROW()-2)*$B12 + $B12+1)), "")</f>
        <v>9.1933699999999979E-2</v>
      </c>
      <c r="AE12">
        <f>IFERROR(AVERAGE(INDEX(neos_benchmark!AE:AE, (ROW()-2)*$B12+2):INDEX(neos_benchmark!AE:AE, (ROW()-2)*$B12 + $B12+1)), "")</f>
        <v>29729</v>
      </c>
      <c r="AF12">
        <f>IFERROR(AVERAGE(INDEX(neos_benchmark!AF:AF, (ROW()-2)*$B12+2):INDEX(neos_benchmark!AF:AF, (ROW()-2)*$B12 + $B12+1)), "")</f>
        <v>73</v>
      </c>
      <c r="AG12">
        <f>IFERROR(AVERAGE(INDEX(neos_benchmark!AG:AG, (ROW()-2)*$B12+2):INDEX(neos_benchmark!AG:AG, (ROW()-2)*$B12 + $B12+1)), "")</f>
        <v>29766</v>
      </c>
      <c r="AH12">
        <f>IFERROR(AVERAGE(INDEX(neos_benchmark!AH:AH, (ROW()-2)*$B12+2):INDEX(neos_benchmark!AH:AH, (ROW()-2)*$B12 + $B12+1)), "")</f>
        <v>80</v>
      </c>
      <c r="AI12">
        <f>IFERROR(AVERAGE(INDEX(neos_benchmark!AI:AI, (ROW()-2)*$B12+2):INDEX(neos_benchmark!AI:AI, (ROW()-2)*$B12 + $B12+1)), "")</f>
        <v>873281.9</v>
      </c>
      <c r="AJ12">
        <f>IFERROR(AVERAGE(INDEX(neos_benchmark!AJ:AJ, (ROW()-2)*$B12+2):INDEX(neos_benchmark!AJ:AJ, (ROW()-2)*$B12 + $B12+1)), "")</f>
        <v>899036.5</v>
      </c>
      <c r="AK12" cm="1">
        <f t="array" ref="AK12">IFERROR(AVERAGE(INDEX(neos_benchmark!W:W, (ROW()-2)*$B12+2):INDEX(neos_benchmark!W:W, (ROW()-2)*$B12 + $B12+1) + INDEX(neos_benchmark!AA:AA, (ROW()-2)*$B12+2):INDEX(neos_benchmark!AA:AA, (ROW()-2)*$B12 + $B12+1)), "")</f>
        <v>0.70682120000000004</v>
      </c>
      <c r="AL12" cm="1">
        <f t="array" ref="AL12">IFERROR(MIN(INDEX(neos_benchmark!W:W, (ROW()-2)*$B12+2):INDEX(neos_benchmark!W:W, (ROW()-2)*$B12 + $B12+1) + INDEX(neos_benchmark!AA:AA, (ROW()-2)*$B12+2):INDEX(neos_benchmark!AA:AA, (ROW()-2)*$B12 + $B12+1)), "")</f>
        <v>0.13139400000000001</v>
      </c>
      <c r="AM12" cm="1">
        <f t="array" ref="AM12">IFERROR(MAX(INDEX(neos_benchmark!W:W, (ROW()-2)*$B12+2):INDEX(neos_benchmark!W:W, (ROW()-2)*$B12 + $B12+1) + INDEX(neos_benchmark!AA:AA, (ROW()-2)*$B12+2):INDEX(neos_benchmark!AA:AA, (ROW()-2)*$B12 + $B12+1)), "")</f>
        <v>5.527177</v>
      </c>
      <c r="AN12" cm="1">
        <f t="array" ref="AN12">IFERROR(AVERAGE((INDEX(neos_benchmark!AJ:AJ, (ROW()-2)*$B12+2):INDEX(neos_benchmark!AJ:AJ, (ROW()-2)*$B12 + $B12+1) - INDEX(neos_benchmark!AI:AI, (ROW()-2)*$B12+2):INDEX(neos_benchmark!AI:AI, (ROW()-2)*$B12 + $B12+1)) / 1000), "")</f>
        <v>25.7546</v>
      </c>
      <c r="AO12" cm="1">
        <f t="array" ref="AO12">IFERROR(MIN((INDEX(neos_benchmark!AJ:AJ, (ROW()-2)*$B12+2):INDEX(neos_benchmark!AJ:AJ, (ROW()-2)*$B12 + $B12+1) - INDEX(neos_benchmark!AI:AI, (ROW()-2)*$B12+2):INDEX(neos_benchmark!AI:AI, (ROW()-2)*$B12 + $B12+1)) / 1000), "")</f>
        <v>4.9539999999999997</v>
      </c>
      <c r="AP12" cm="1">
        <f t="array" ref="AP12">IFERROR(MAX((INDEX(neos_benchmark!AJ:AJ, (ROW()-2)*$B12+2):INDEX(neos_benchmark!AJ:AJ, (ROW()-2)*$B12 + $B12+1) - INDEX(neos_benchmark!AI:AI, (ROW()-2)*$B12+2):INDEX(neos_benchmark!AI:AI, (ROW()-2)*$B12 + $B12+1)) / 1000), "")</f>
        <v>152.75899999999999</v>
      </c>
    </row>
    <row r="13" spans="1:42" x14ac:dyDescent="0.25">
      <c r="A13" t="str" cm="1">
        <f t="array" ref="A13">INDEX(neos_benchmark!A:A, (ROW()-2)*$B13+2)</f>
        <v>grasp-raposa</v>
      </c>
      <c r="B13">
        <f>COUNTIF(neos_benchmark!A:A, neos_benchmark!A13)</f>
        <v>10</v>
      </c>
      <c r="C13" t="str" cm="1">
        <f t="array" ref="C13">INDEX(neos_benchmark!C:C, (ROW()-2)*$B13+2)</f>
        <v>RAPOSa</v>
      </c>
      <c r="D13" t="str" cm="1">
        <f t="array" ref="D13">INDEX(neos_benchmark!D:D, (ROW()-2)*$B13+2)</f>
        <v>v4.4.1</v>
      </c>
      <c r="E13" t="str" cm="1">
        <f t="array" ref="E13">INDEX(neos_benchmark!E:E, (ROW()-2)*$B13+2)</f>
        <v/>
      </c>
      <c r="F13" t="str">
        <f>IFERROR(AVERAGE(INDEX(neos_benchmark!F:F, (ROW()-2)*$B13+2):INDEX(neos_benchmark!F:F, (ROW()-2)*$B13 + $B13+1)), "")</f>
        <v/>
      </c>
      <c r="G13" t="str">
        <f>IFERROR(AVERAGE(INDEX(neos_benchmark!G:G, (ROW()-2)*$B13+2):INDEX(neos_benchmark!G:G, (ROW()-2)*$B13 + $B13+1)), "")</f>
        <v/>
      </c>
      <c r="H13" t="str">
        <f>IFERROR(AVERAGE(INDEX(neos_benchmark!H:H, (ROW()-2)*$B13+2):INDEX(neos_benchmark!H:H, (ROW()-2)*$B13 + $B13+1)), "")</f>
        <v/>
      </c>
      <c r="I13" t="str">
        <f>IFERROR(AVERAGE(INDEX(neos_benchmark!I:I, (ROW()-2)*$B13+2):INDEX(neos_benchmark!I:I, (ROW()-2)*$B13 + $B13+1)), "")</f>
        <v/>
      </c>
      <c r="J13" t="str">
        <f>IFERROR(AVERAGE(INDEX(neos_benchmark!J:J, (ROW()-2)*$B13+2):INDEX(neos_benchmark!J:J, (ROW()-2)*$B13 + $B13+1)), "")</f>
        <v/>
      </c>
      <c r="K13" t="str">
        <f>IFERROR(AVERAGE(INDEX(neos_benchmark!K:K, (ROW()-2)*$B13+2):INDEX(neos_benchmark!K:K, (ROW()-2)*$B13 + $B13+1)), "")</f>
        <v/>
      </c>
      <c r="L13" t="str">
        <f>IFERROR(AVERAGE(INDEX(neos_benchmark!L:L, (ROW()-2)*$B13+2):INDEX(neos_benchmark!L:L, (ROW()-2)*$B13 + $B13+1)), "")</f>
        <v/>
      </c>
      <c r="M13" t="str">
        <f>IFERROR(AVERAGE(INDEX(neos_benchmark!M:M, (ROW()-2)*$B13+2):INDEX(neos_benchmark!M:M, (ROW()-2)*$B13 + $B13+1)), "")</f>
        <v/>
      </c>
      <c r="N13" t="str">
        <f>IFERROR(AVERAGE(INDEX(neos_benchmark!N:N, (ROW()-2)*$B13+2):INDEX(neos_benchmark!N:N, (ROW()-2)*$B13 + $B13+1)), "")</f>
        <v/>
      </c>
      <c r="O13" t="str">
        <f>IFERROR(AVERAGE(INDEX(neos_benchmark!O:O, (ROW()-2)*$B13+2):INDEX(neos_benchmark!O:O, (ROW()-2)*$B13 + $B13+1)), "")</f>
        <v/>
      </c>
      <c r="P13" t="str">
        <f>IFERROR(AVERAGE(INDEX(neos_benchmark!P:P, (ROW()-2)*$B13+2):INDEX(neos_benchmark!P:P, (ROW()-2)*$B13 + $B13+1)), "")</f>
        <v/>
      </c>
      <c r="Q13" t="str">
        <f>IFERROR(AVERAGE(INDEX(neos_benchmark!Q:Q, (ROW()-2)*$B13+2):INDEX(neos_benchmark!Q:Q, (ROW()-2)*$B13 + $B13+1)), "")</f>
        <v/>
      </c>
      <c r="R13" t="str">
        <f>IFERROR(AVERAGE(INDEX(neos_benchmark!R:R, (ROW()-2)*$B13+2):INDEX(neos_benchmark!R:R, (ROW()-2)*$B13 + $B13+1)), "")</f>
        <v/>
      </c>
      <c r="S13" t="str">
        <f>IFERROR(AVERAGE(INDEX(neos_benchmark!S:S, (ROW()-2)*$B13+2):INDEX(neos_benchmark!S:S, (ROW()-2)*$B13 + $B13+1)), "")</f>
        <v/>
      </c>
      <c r="T13" t="str">
        <f>IFERROR(AVERAGE(INDEX(neos_benchmark!T:T, (ROW()-2)*$B13+2):INDEX(neos_benchmark!T:T, (ROW()-2)*$B13 + $B13+1)), "")</f>
        <v/>
      </c>
      <c r="U13" t="str">
        <f>IFERROR(AVERAGE(INDEX(neos_benchmark!U:U, (ROW()-2)*$B13+2):INDEX(neos_benchmark!U:U, (ROW()-2)*$B13 + $B13+1)), "")</f>
        <v/>
      </c>
      <c r="V13" t="str">
        <f>IFERROR(AVERAGE(INDEX(neos_benchmark!V:V, (ROW()-2)*$B13+2):INDEX(neos_benchmark!V:V, (ROW()-2)*$B13 + $B13+1)), "")</f>
        <v/>
      </c>
      <c r="W13" t="str">
        <f>IFERROR(AVERAGE(INDEX(neos_benchmark!W:W, (ROW()-2)*$B13+2):INDEX(neos_benchmark!W:W, (ROW()-2)*$B13 + $B13+1)), "")</f>
        <v/>
      </c>
      <c r="X13" t="str">
        <f>IFERROR(AVERAGE(INDEX(neos_benchmark!X:X, (ROW()-2)*$B13+2):INDEX(neos_benchmark!X:X, (ROW()-2)*$B13 + $B13+1)), "")</f>
        <v/>
      </c>
      <c r="Y13" t="str">
        <f>IFERROR(AVERAGE(INDEX(neos_benchmark!Y:Y, (ROW()-2)*$B13+2):INDEX(neos_benchmark!Y:Y, (ROW()-2)*$B13 + $B13+1)), "")</f>
        <v/>
      </c>
      <c r="Z13" t="str">
        <f>IFERROR(AVERAGE(INDEX(neos_benchmark!Z:Z, (ROW()-2)*$B13+2):INDEX(neos_benchmark!Z:Z, (ROW()-2)*$B13 + $B13+1)), "")</f>
        <v/>
      </c>
      <c r="AA13" t="str">
        <f>IFERROR(AVERAGE(INDEX(neos_benchmark!AA:AA, (ROW()-2)*$B13+2):INDEX(neos_benchmark!AA:AA, (ROW()-2)*$B13 + $B13+1)), "")</f>
        <v/>
      </c>
      <c r="AB13" t="str">
        <f>IFERROR(AVERAGE(INDEX(neos_benchmark!AB:AB, (ROW()-2)*$B13+2):INDEX(neos_benchmark!AB:AB, (ROW()-2)*$B13 + $B13+1)), "")</f>
        <v/>
      </c>
      <c r="AC13" t="str">
        <f>IFERROR(AVERAGE(INDEX(neos_benchmark!AC:AC, (ROW()-2)*$B13+2):INDEX(neos_benchmark!AC:AC, (ROW()-2)*$B13 + $B13+1)), "")</f>
        <v/>
      </c>
      <c r="AD13" t="str">
        <f>IFERROR(AVERAGE(INDEX(neos_benchmark!AD:AD, (ROW()-2)*$B13+2):INDEX(neos_benchmark!AD:AD, (ROW()-2)*$B13 + $B13+1)), "")</f>
        <v/>
      </c>
      <c r="AE13" t="str">
        <f>IFERROR(AVERAGE(INDEX(neos_benchmark!AE:AE, (ROW()-2)*$B13+2):INDEX(neos_benchmark!AE:AE, (ROW()-2)*$B13 + $B13+1)), "")</f>
        <v/>
      </c>
      <c r="AF13" t="str">
        <f>IFERROR(AVERAGE(INDEX(neos_benchmark!AF:AF, (ROW()-2)*$B13+2):INDEX(neos_benchmark!AF:AF, (ROW()-2)*$B13 + $B13+1)), "")</f>
        <v/>
      </c>
      <c r="AG13" t="str">
        <f>IFERROR(AVERAGE(INDEX(neos_benchmark!AG:AG, (ROW()-2)*$B13+2):INDEX(neos_benchmark!AG:AG, (ROW()-2)*$B13 + $B13+1)), "")</f>
        <v/>
      </c>
      <c r="AH13" t="str">
        <f>IFERROR(AVERAGE(INDEX(neos_benchmark!AH:AH, (ROW()-2)*$B13+2):INDEX(neos_benchmark!AH:AH, (ROW()-2)*$B13 + $B13+1)), "")</f>
        <v/>
      </c>
      <c r="AI13">
        <f>IFERROR(AVERAGE(INDEX(neos_benchmark!AI:AI, (ROW()-2)*$B13+2):INDEX(neos_benchmark!AI:AI, (ROW()-2)*$B13 + $B13+1)), "")</f>
        <v>398699.5</v>
      </c>
      <c r="AJ13">
        <f>IFERROR(AVERAGE(INDEX(neos_benchmark!AJ:AJ, (ROW()-2)*$B13+2):INDEX(neos_benchmark!AJ:AJ, (ROW()-2)*$B13 + $B13+1)), "")</f>
        <v>434776.8</v>
      </c>
      <c r="AK13" cm="1">
        <f t="array" ref="AK13">IFERROR(AVERAGE(INDEX(neos_benchmark!W:W, (ROW()-2)*$B13+2):INDEX(neos_benchmark!W:W, (ROW()-2)*$B13 + $B13+1) + INDEX(neos_benchmark!AA:AA, (ROW()-2)*$B13+2):INDEX(neos_benchmark!AA:AA, (ROW()-2)*$B13 + $B13+1)), "")</f>
        <v>0</v>
      </c>
      <c r="AL13" cm="1">
        <f t="array" ref="AL13">IFERROR(MIN(INDEX(neos_benchmark!W:W, (ROW()-2)*$B13+2):INDEX(neos_benchmark!W:W, (ROW()-2)*$B13 + $B13+1) + INDEX(neos_benchmark!AA:AA, (ROW()-2)*$B13+2):INDEX(neos_benchmark!AA:AA, (ROW()-2)*$B13 + $B13+1)), "")</f>
        <v>0</v>
      </c>
      <c r="AM13" cm="1">
        <f t="array" ref="AM13">IFERROR(MAX(INDEX(neos_benchmark!W:W, (ROW()-2)*$B13+2):INDEX(neos_benchmark!W:W, (ROW()-2)*$B13 + $B13+1) + INDEX(neos_benchmark!AA:AA, (ROW()-2)*$B13+2):INDEX(neos_benchmark!AA:AA, (ROW()-2)*$B13 + $B13+1)), "")</f>
        <v>0</v>
      </c>
      <c r="AN13" cm="1">
        <f t="array" ref="AN13">IFERROR(AVERAGE((INDEX(neos_benchmark!AJ:AJ, (ROW()-2)*$B13+2):INDEX(neos_benchmark!AJ:AJ, (ROW()-2)*$B13 + $B13+1) - INDEX(neos_benchmark!AI:AI, (ROW()-2)*$B13+2):INDEX(neos_benchmark!AI:AI, (ROW()-2)*$B13 + $B13+1)) / 1000), "")</f>
        <v>36.077299999999994</v>
      </c>
      <c r="AO13" cm="1">
        <f t="array" ref="AO13">IFERROR(MIN((INDEX(neos_benchmark!AJ:AJ, (ROW()-2)*$B13+2):INDEX(neos_benchmark!AJ:AJ, (ROW()-2)*$B13 + $B13+1) - INDEX(neos_benchmark!AI:AI, (ROW()-2)*$B13+2):INDEX(neos_benchmark!AI:AI, (ROW()-2)*$B13 + $B13+1)) / 1000), "")</f>
        <v>18.143000000000001</v>
      </c>
      <c r="AP13" cm="1">
        <f t="array" ref="AP13">IFERROR(MAX((INDEX(neos_benchmark!AJ:AJ, (ROW()-2)*$B13+2):INDEX(neos_benchmark!AJ:AJ, (ROW()-2)*$B13 + $B13+1) - INDEX(neos_benchmark!AI:AI, (ROW()-2)*$B13+2):INDEX(neos_benchmark!AI:AI, (ROW()-2)*$B13 + $B13+1)) / 1000), "")</f>
        <v>96.789000000000001</v>
      </c>
    </row>
    <row r="14" spans="1:42" x14ac:dyDescent="0.25">
      <c r="A14" t="str" cm="1">
        <f t="array" ref="A14">INDEX(neos_benchmark!A:A, (ROW()-2)*$B14+2)</f>
        <v>grasp-scip</v>
      </c>
      <c r="B14">
        <f>COUNTIF(neos_benchmark!A:A, neos_benchmark!A14)</f>
        <v>10</v>
      </c>
      <c r="C14" t="str" cm="1">
        <f t="array" ref="C14">INDEX(neos_benchmark!C:C, (ROW()-2)*$B14+2)</f>
        <v>SCIP</v>
      </c>
      <c r="D14" t="str" cm="1">
        <f t="array" ref="D14">INDEX(neos_benchmark!D:D, (ROW()-2)*$B14+2)</f>
        <v>9.2.2</v>
      </c>
      <c r="E14" t="str" cm="1">
        <f t="array" ref="E14">INDEX(neos_benchmark!E:E, (ROW()-2)*$B14+2)</f>
        <v/>
      </c>
      <c r="F14" t="str">
        <f>IFERROR(AVERAGE(INDEX(neos_benchmark!F:F, (ROW()-2)*$B14+2):INDEX(neos_benchmark!F:F, (ROW()-2)*$B14 + $B14+1)), "")</f>
        <v/>
      </c>
      <c r="G14" t="str">
        <f>IFERROR(AVERAGE(INDEX(neos_benchmark!G:G, (ROW()-2)*$B14+2):INDEX(neos_benchmark!G:G, (ROW()-2)*$B14 + $B14+1)), "")</f>
        <v/>
      </c>
      <c r="H14" t="str">
        <f>IFERROR(AVERAGE(INDEX(neos_benchmark!H:H, (ROW()-2)*$B14+2):INDEX(neos_benchmark!H:H, (ROW()-2)*$B14 + $B14+1)), "")</f>
        <v/>
      </c>
      <c r="I14" t="str">
        <f>IFERROR(AVERAGE(INDEX(neos_benchmark!I:I, (ROW()-2)*$B14+2):INDEX(neos_benchmark!I:I, (ROW()-2)*$B14 + $B14+1)), "")</f>
        <v/>
      </c>
      <c r="J14" t="str">
        <f>IFERROR(AVERAGE(INDEX(neos_benchmark!J:J, (ROW()-2)*$B14+2):INDEX(neos_benchmark!J:J, (ROW()-2)*$B14 + $B14+1)), "")</f>
        <v/>
      </c>
      <c r="K14" t="str">
        <f>IFERROR(AVERAGE(INDEX(neos_benchmark!K:K, (ROW()-2)*$B14+2):INDEX(neos_benchmark!K:K, (ROW()-2)*$B14 + $B14+1)), "")</f>
        <v/>
      </c>
      <c r="L14" t="str">
        <f>IFERROR(AVERAGE(INDEX(neos_benchmark!L:L, (ROW()-2)*$B14+2):INDEX(neos_benchmark!L:L, (ROW()-2)*$B14 + $B14+1)), "")</f>
        <v/>
      </c>
      <c r="M14" t="str">
        <f>IFERROR(AVERAGE(INDEX(neos_benchmark!M:M, (ROW()-2)*$B14+2):INDEX(neos_benchmark!M:M, (ROW()-2)*$B14 + $B14+1)), "")</f>
        <v/>
      </c>
      <c r="N14" t="str">
        <f>IFERROR(AVERAGE(INDEX(neos_benchmark!N:N, (ROW()-2)*$B14+2):INDEX(neos_benchmark!N:N, (ROW()-2)*$B14 + $B14+1)), "")</f>
        <v/>
      </c>
      <c r="O14" t="str">
        <f>IFERROR(AVERAGE(INDEX(neos_benchmark!O:O, (ROW()-2)*$B14+2):INDEX(neos_benchmark!O:O, (ROW()-2)*$B14 + $B14+1)), "")</f>
        <v/>
      </c>
      <c r="P14" t="str">
        <f>IFERROR(AVERAGE(INDEX(neos_benchmark!P:P, (ROW()-2)*$B14+2):INDEX(neos_benchmark!P:P, (ROW()-2)*$B14 + $B14+1)), "")</f>
        <v/>
      </c>
      <c r="Q14" t="str">
        <f>IFERROR(AVERAGE(INDEX(neos_benchmark!Q:Q, (ROW()-2)*$B14+2):INDEX(neos_benchmark!Q:Q, (ROW()-2)*$B14 + $B14+1)), "")</f>
        <v/>
      </c>
      <c r="R14" t="str">
        <f>IFERROR(AVERAGE(INDEX(neos_benchmark!R:R, (ROW()-2)*$B14+2):INDEX(neos_benchmark!R:R, (ROW()-2)*$B14 + $B14+1)), "")</f>
        <v/>
      </c>
      <c r="S14" t="str">
        <f>IFERROR(AVERAGE(INDEX(neos_benchmark!S:S, (ROW()-2)*$B14+2):INDEX(neos_benchmark!S:S, (ROW()-2)*$B14 + $B14+1)), "")</f>
        <v/>
      </c>
      <c r="T14" t="str">
        <f>IFERROR(AVERAGE(INDEX(neos_benchmark!T:T, (ROW()-2)*$B14+2):INDEX(neos_benchmark!T:T, (ROW()-2)*$B14 + $B14+1)), "")</f>
        <v/>
      </c>
      <c r="U14" t="str">
        <f>IFERROR(AVERAGE(INDEX(neos_benchmark!U:U, (ROW()-2)*$B14+2):INDEX(neos_benchmark!U:U, (ROW()-2)*$B14 + $B14+1)), "")</f>
        <v/>
      </c>
      <c r="V14" t="str">
        <f>IFERROR(AVERAGE(INDEX(neos_benchmark!V:V, (ROW()-2)*$B14+2):INDEX(neos_benchmark!V:V, (ROW()-2)*$B14 + $B14+1)), "")</f>
        <v/>
      </c>
      <c r="W14" t="str">
        <f>IFERROR(AVERAGE(INDEX(neos_benchmark!W:W, (ROW()-2)*$B14+2):INDEX(neos_benchmark!W:W, (ROW()-2)*$B14 + $B14+1)), "")</f>
        <v/>
      </c>
      <c r="X14" t="str">
        <f>IFERROR(AVERAGE(INDEX(neos_benchmark!X:X, (ROW()-2)*$B14+2):INDEX(neos_benchmark!X:X, (ROW()-2)*$B14 + $B14+1)), "")</f>
        <v/>
      </c>
      <c r="Y14" t="str">
        <f>IFERROR(AVERAGE(INDEX(neos_benchmark!Y:Y, (ROW()-2)*$B14+2):INDEX(neos_benchmark!Y:Y, (ROW()-2)*$B14 + $B14+1)), "")</f>
        <v/>
      </c>
      <c r="Z14" t="str">
        <f>IFERROR(AVERAGE(INDEX(neos_benchmark!Z:Z, (ROW()-2)*$B14+2):INDEX(neos_benchmark!Z:Z, (ROW()-2)*$B14 + $B14+1)), "")</f>
        <v/>
      </c>
      <c r="AA14" t="str">
        <f>IFERROR(AVERAGE(INDEX(neos_benchmark!AA:AA, (ROW()-2)*$B14+2):INDEX(neos_benchmark!AA:AA, (ROW()-2)*$B14 + $B14+1)), "")</f>
        <v/>
      </c>
      <c r="AB14" t="str">
        <f>IFERROR(AVERAGE(INDEX(neos_benchmark!AB:AB, (ROW()-2)*$B14+2):INDEX(neos_benchmark!AB:AB, (ROW()-2)*$B14 + $B14+1)), "")</f>
        <v/>
      </c>
      <c r="AC14" t="str">
        <f>IFERROR(AVERAGE(INDEX(neos_benchmark!AC:AC, (ROW()-2)*$B14+2):INDEX(neos_benchmark!AC:AC, (ROW()-2)*$B14 + $B14+1)), "")</f>
        <v/>
      </c>
      <c r="AD14" t="str">
        <f>IFERROR(AVERAGE(INDEX(neos_benchmark!AD:AD, (ROW()-2)*$B14+2):INDEX(neos_benchmark!AD:AD, (ROW()-2)*$B14 + $B14+1)), "")</f>
        <v/>
      </c>
      <c r="AE14" t="str">
        <f>IFERROR(AVERAGE(INDEX(neos_benchmark!AE:AE, (ROW()-2)*$B14+2):INDEX(neos_benchmark!AE:AE, (ROW()-2)*$B14 + $B14+1)), "")</f>
        <v/>
      </c>
      <c r="AF14" t="str">
        <f>IFERROR(AVERAGE(INDEX(neos_benchmark!AF:AF, (ROW()-2)*$B14+2):INDEX(neos_benchmark!AF:AF, (ROW()-2)*$B14 + $B14+1)), "")</f>
        <v/>
      </c>
      <c r="AG14" t="str">
        <f>IFERROR(AVERAGE(INDEX(neos_benchmark!AG:AG, (ROW()-2)*$B14+2):INDEX(neos_benchmark!AG:AG, (ROW()-2)*$B14 + $B14+1)), "")</f>
        <v/>
      </c>
      <c r="AH14" t="str">
        <f>IFERROR(AVERAGE(INDEX(neos_benchmark!AH:AH, (ROW()-2)*$B14+2):INDEX(neos_benchmark!AH:AH, (ROW()-2)*$B14 + $B14+1)), "")</f>
        <v/>
      </c>
      <c r="AI14">
        <f>IFERROR(AVERAGE(INDEX(neos_benchmark!AI:AI, (ROW()-2)*$B14+2):INDEX(neos_benchmark!AI:AI, (ROW()-2)*$B14 + $B14+1)), "")</f>
        <v>472618.3</v>
      </c>
      <c r="AJ14">
        <f>IFERROR(AVERAGE(INDEX(neos_benchmark!AJ:AJ, (ROW()-2)*$B14+2):INDEX(neos_benchmark!AJ:AJ, (ROW()-2)*$B14 + $B14+1)), "")</f>
        <v>501070.7</v>
      </c>
      <c r="AK14" cm="1">
        <f t="array" ref="AK14">IFERROR(AVERAGE(INDEX(neos_benchmark!W:W, (ROW()-2)*$B14+2):INDEX(neos_benchmark!W:W, (ROW()-2)*$B14 + $B14+1) + INDEX(neos_benchmark!AA:AA, (ROW()-2)*$B14+2):INDEX(neos_benchmark!AA:AA, (ROW()-2)*$B14 + $B14+1)), "")</f>
        <v>0</v>
      </c>
      <c r="AL14" cm="1">
        <f t="array" ref="AL14">IFERROR(MIN(INDEX(neos_benchmark!W:W, (ROW()-2)*$B14+2):INDEX(neos_benchmark!W:W, (ROW()-2)*$B14 + $B14+1) + INDEX(neos_benchmark!AA:AA, (ROW()-2)*$B14+2):INDEX(neos_benchmark!AA:AA, (ROW()-2)*$B14 + $B14+1)), "")</f>
        <v>0</v>
      </c>
      <c r="AM14" cm="1">
        <f t="array" ref="AM14">IFERROR(MAX(INDEX(neos_benchmark!W:W, (ROW()-2)*$B14+2):INDEX(neos_benchmark!W:W, (ROW()-2)*$B14 + $B14+1) + INDEX(neos_benchmark!AA:AA, (ROW()-2)*$B14+2):INDEX(neos_benchmark!AA:AA, (ROW()-2)*$B14 + $B14+1)), "")</f>
        <v>0</v>
      </c>
      <c r="AN14" cm="1">
        <f t="array" ref="AN14">IFERROR(AVERAGE((INDEX(neos_benchmark!AJ:AJ, (ROW()-2)*$B14+2):INDEX(neos_benchmark!AJ:AJ, (ROW()-2)*$B14 + $B14+1) - INDEX(neos_benchmark!AI:AI, (ROW()-2)*$B14+2):INDEX(neos_benchmark!AI:AI, (ROW()-2)*$B14 + $B14+1)) / 1000), "")</f>
        <v>28.452400000000001</v>
      </c>
      <c r="AO14" cm="1">
        <f t="array" ref="AO14">IFERROR(MIN((INDEX(neos_benchmark!AJ:AJ, (ROW()-2)*$B14+2):INDEX(neos_benchmark!AJ:AJ, (ROW()-2)*$B14 + $B14+1) - INDEX(neos_benchmark!AI:AI, (ROW()-2)*$B14+2):INDEX(neos_benchmark!AI:AI, (ROW()-2)*$B14 + $B14+1)) / 1000), "")</f>
        <v>17.035</v>
      </c>
      <c r="AP14" cm="1">
        <f t="array" ref="AP14">IFERROR(MAX((INDEX(neos_benchmark!AJ:AJ, (ROW()-2)*$B14+2):INDEX(neos_benchmark!AJ:AJ, (ROW()-2)*$B14 + $B14+1) - INDEX(neos_benchmark!AI:AI, (ROW()-2)*$B14+2):INDEX(neos_benchmark!AI:AI, (ROW()-2)*$B14 + $B14+1)) / 1000), "")</f>
        <v>40.331000000000003</v>
      </c>
    </row>
    <row r="15" spans="1:42" x14ac:dyDescent="0.25">
      <c r="A15" t="str" cm="1">
        <f t="array" ref="A15">INDEX(neos_benchmark!A:A, (ROW()-2)*$B15+2)</f>
        <v>kinematic-car-conopt</v>
      </c>
      <c r="B15">
        <f>COUNTIF(neos_benchmark!A:A, neos_benchmark!A15)</f>
        <v>10</v>
      </c>
      <c r="C15" t="str" cm="1">
        <f t="array" ref="C15">INDEX(neos_benchmark!C:C, (ROW()-2)*$B15+2)</f>
        <v>CONOPT</v>
      </c>
      <c r="D15" t="str" cm="1">
        <f t="array" ref="D15">INDEX(neos_benchmark!D:D, (ROW()-2)*$B15+2)</f>
        <v>4.38.1</v>
      </c>
      <c r="E15" t="str" cm="1">
        <f t="array" ref="E15">INDEX(neos_benchmark!E:E, (ROW()-2)*$B15+2)</f>
        <v>solved?</v>
      </c>
      <c r="F15">
        <f>IFERROR(AVERAGE(INDEX(neos_benchmark!F:F, (ROW()-2)*$B15+2):INDEX(neos_benchmark!F:F, (ROW()-2)*$B15 + $B15+1)), "")</f>
        <v>100</v>
      </c>
      <c r="G15">
        <f>IFERROR(AVERAGE(INDEX(neos_benchmark!G:G, (ROW()-2)*$B15+2):INDEX(neos_benchmark!G:G, (ROW()-2)*$B15 + $B15+1)), "")</f>
        <v>1.9590243219240224</v>
      </c>
      <c r="H15" t="str">
        <f>IFERROR(AVERAGE(INDEX(neos_benchmark!H:H, (ROW()-2)*$B15+2):INDEX(neos_benchmark!H:H, (ROW()-2)*$B15 + $B15+1)), "")</f>
        <v/>
      </c>
      <c r="I15" t="str">
        <f>IFERROR(AVERAGE(INDEX(neos_benchmark!I:I, (ROW()-2)*$B15+2):INDEX(neos_benchmark!I:I, (ROW()-2)*$B15 + $B15+1)), "")</f>
        <v/>
      </c>
      <c r="J15" t="str">
        <f>IFERROR(AVERAGE(INDEX(neos_benchmark!J:J, (ROW()-2)*$B15+2):INDEX(neos_benchmark!J:J, (ROW()-2)*$B15 + $B15+1)), "")</f>
        <v/>
      </c>
      <c r="K15" t="str">
        <f>IFERROR(AVERAGE(INDEX(neos_benchmark!K:K, (ROW()-2)*$B15+2):INDEX(neos_benchmark!K:K, (ROW()-2)*$B15 + $B15+1)), "")</f>
        <v/>
      </c>
      <c r="L15" t="str">
        <f>IFERROR(AVERAGE(INDEX(neos_benchmark!L:L, (ROW()-2)*$B15+2):INDEX(neos_benchmark!L:L, (ROW()-2)*$B15 + $B15+1)), "")</f>
        <v/>
      </c>
      <c r="M15" t="str">
        <f>IFERROR(AVERAGE(INDEX(neos_benchmark!M:M, (ROW()-2)*$B15+2):INDEX(neos_benchmark!M:M, (ROW()-2)*$B15 + $B15+1)), "")</f>
        <v/>
      </c>
      <c r="N15" t="str">
        <f>IFERROR(AVERAGE(INDEX(neos_benchmark!N:N, (ROW()-2)*$B15+2):INDEX(neos_benchmark!N:N, (ROW()-2)*$B15 + $B15+1)), "")</f>
        <v/>
      </c>
      <c r="O15" t="str">
        <f>IFERROR(AVERAGE(INDEX(neos_benchmark!O:O, (ROW()-2)*$B15+2):INDEX(neos_benchmark!O:O, (ROW()-2)*$B15 + $B15+1)), "")</f>
        <v/>
      </c>
      <c r="P15" t="str">
        <f>IFERROR(AVERAGE(INDEX(neos_benchmark!P:P, (ROW()-2)*$B15+2):INDEX(neos_benchmark!P:P, (ROW()-2)*$B15 + $B15+1)), "")</f>
        <v/>
      </c>
      <c r="Q15" t="str">
        <f>IFERROR(AVERAGE(INDEX(neos_benchmark!Q:Q, (ROW()-2)*$B15+2):INDEX(neos_benchmark!Q:Q, (ROW()-2)*$B15 + $B15+1)), "")</f>
        <v/>
      </c>
      <c r="R15" t="str">
        <f>IFERROR(AVERAGE(INDEX(neos_benchmark!R:R, (ROW()-2)*$B15+2):INDEX(neos_benchmark!R:R, (ROW()-2)*$B15 + $B15+1)), "")</f>
        <v/>
      </c>
      <c r="S15" t="str">
        <f>IFERROR(AVERAGE(INDEX(neos_benchmark!S:S, (ROW()-2)*$B15+2):INDEX(neos_benchmark!S:S, (ROW()-2)*$B15 + $B15+1)), "")</f>
        <v/>
      </c>
      <c r="T15" t="str">
        <f>IFERROR(AVERAGE(INDEX(neos_benchmark!T:T, (ROW()-2)*$B15+2):INDEX(neos_benchmark!T:T, (ROW()-2)*$B15 + $B15+1)), "")</f>
        <v/>
      </c>
      <c r="U15" t="str">
        <f>IFERROR(AVERAGE(INDEX(neos_benchmark!U:U, (ROW()-2)*$B15+2):INDEX(neos_benchmark!U:U, (ROW()-2)*$B15 + $B15+1)), "")</f>
        <v/>
      </c>
      <c r="V15" t="str">
        <f>IFERROR(AVERAGE(INDEX(neos_benchmark!V:V, (ROW()-2)*$B15+2):INDEX(neos_benchmark!V:V, (ROW()-2)*$B15 + $B15+1)), "")</f>
        <v/>
      </c>
      <c r="W15">
        <f>IFERROR(AVERAGE(INDEX(neos_benchmark!W:W, (ROW()-2)*$B15+2):INDEX(neos_benchmark!W:W, (ROW()-2)*$B15 + $B15+1)), "")</f>
        <v>8.8661500000000018E-2</v>
      </c>
      <c r="X15">
        <f>IFERROR(AVERAGE(INDEX(neos_benchmark!X:X, (ROW()-2)*$B15+2):INDEX(neos_benchmark!X:X, (ROW()-2)*$B15 + $B15+1)), "")</f>
        <v>2.50989E-2</v>
      </c>
      <c r="Y15">
        <f>IFERROR(AVERAGE(INDEX(neos_benchmark!Y:Y, (ROW()-2)*$B15+2):INDEX(neos_benchmark!Y:Y, (ROW()-2)*$B15 + $B15+1)), "")</f>
        <v>6.7491300000000004E-2</v>
      </c>
      <c r="Z15">
        <f>IFERROR(AVERAGE(INDEX(neos_benchmark!Z:Z, (ROW()-2)*$B15+2):INDEX(neos_benchmark!Z:Z, (ROW()-2)*$B15 + $B15+1)), "")</f>
        <v>9.2590199999999998E-2</v>
      </c>
      <c r="AA15">
        <f>IFERROR(AVERAGE(INDEX(neos_benchmark!AA:AA, (ROW()-2)*$B15+2):INDEX(neos_benchmark!AA:AA, (ROW()-2)*$B15 + $B15+1)), "")</f>
        <v>9.3999099999999988E-2</v>
      </c>
      <c r="AB15">
        <f>IFERROR(AVERAGE(INDEX(neos_benchmark!AB:AB, (ROW()-2)*$B15+2):INDEX(neos_benchmark!AB:AB, (ROW()-2)*$B15 + $B15+1)), "")</f>
        <v>1.0339999999999998E-2</v>
      </c>
      <c r="AC15">
        <f>IFERROR(AVERAGE(INDEX(neos_benchmark!AC:AC, (ROW()-2)*$B15+2):INDEX(neos_benchmark!AC:AC, (ROW()-2)*$B15 + $B15+1)), "")</f>
        <v>8.2395299999999991E-2</v>
      </c>
      <c r="AD15">
        <f>IFERROR(AVERAGE(INDEX(neos_benchmark!AD:AD, (ROW()-2)*$B15+2):INDEX(neos_benchmark!AD:AD, (ROW()-2)*$B15 + $B15+1)), "")</f>
        <v>9.2735299999999993E-2</v>
      </c>
      <c r="AE15">
        <f>IFERROR(AVERAGE(INDEX(neos_benchmark!AE:AE, (ROW()-2)*$B15+2):INDEX(neos_benchmark!AE:AE, (ROW()-2)*$B15 + $B15+1)), "")</f>
        <v>16623</v>
      </c>
      <c r="AF15">
        <f>IFERROR(AVERAGE(INDEX(neos_benchmark!AF:AF, (ROW()-2)*$B15+2):INDEX(neos_benchmark!AF:AF, (ROW()-2)*$B15 + $B15+1)), "")</f>
        <v>391</v>
      </c>
      <c r="AG15">
        <f>IFERROR(AVERAGE(INDEX(neos_benchmark!AG:AG, (ROW()-2)*$B15+2):INDEX(neos_benchmark!AG:AG, (ROW()-2)*$B15 + $B15+1)), "")</f>
        <v>16624</v>
      </c>
      <c r="AH15">
        <f>IFERROR(AVERAGE(INDEX(neos_benchmark!AH:AH, (ROW()-2)*$B15+2):INDEX(neos_benchmark!AH:AH, (ROW()-2)*$B15 + $B15+1)), "")</f>
        <v>341</v>
      </c>
      <c r="AI15">
        <f>IFERROR(AVERAGE(INDEX(neos_benchmark!AI:AI, (ROW()-2)*$B15+2):INDEX(neos_benchmark!AI:AI, (ROW()-2)*$B15 + $B15+1)), "")</f>
        <v>703344.4</v>
      </c>
      <c r="AJ15">
        <f>IFERROR(AVERAGE(INDEX(neos_benchmark!AJ:AJ, (ROW()-2)*$B15+2):INDEX(neos_benchmark!AJ:AJ, (ROW()-2)*$B15 + $B15+1)), "")</f>
        <v>740255.8</v>
      </c>
      <c r="AK15" cm="1">
        <f t="array" ref="AK15">IFERROR(AVERAGE(INDEX(neos_benchmark!W:W, (ROW()-2)*$B15+2):INDEX(neos_benchmark!W:W, (ROW()-2)*$B15 + $B15+1) + INDEX(neos_benchmark!AA:AA, (ROW()-2)*$B15+2):INDEX(neos_benchmark!AA:AA, (ROW()-2)*$B15 + $B15+1)), "")</f>
        <v>0.18266060000000001</v>
      </c>
      <c r="AL15" cm="1">
        <f t="array" ref="AL15">IFERROR(MIN(INDEX(neos_benchmark!W:W, (ROW()-2)*$B15+2):INDEX(neos_benchmark!W:W, (ROW()-2)*$B15 + $B15+1) + INDEX(neos_benchmark!AA:AA, (ROW()-2)*$B15+2):INDEX(neos_benchmark!AA:AA, (ROW()-2)*$B15 + $B15+1)), "")</f>
        <v>0.138158</v>
      </c>
      <c r="AM15" cm="1">
        <f t="array" ref="AM15">IFERROR(MAX(INDEX(neos_benchmark!W:W, (ROW()-2)*$B15+2):INDEX(neos_benchmark!W:W, (ROW()-2)*$B15 + $B15+1) + INDEX(neos_benchmark!AA:AA, (ROW()-2)*$B15+2):INDEX(neos_benchmark!AA:AA, (ROW()-2)*$B15 + $B15+1)), "")</f>
        <v>0.25604800000000005</v>
      </c>
      <c r="AN15" cm="1">
        <f t="array" ref="AN15">IFERROR(AVERAGE((INDEX(neos_benchmark!AJ:AJ, (ROW()-2)*$B15+2):INDEX(neos_benchmark!AJ:AJ, (ROW()-2)*$B15 + $B15+1) - INDEX(neos_benchmark!AI:AI, (ROW()-2)*$B15+2):INDEX(neos_benchmark!AI:AI, (ROW()-2)*$B15 + $B15+1)) / 1000), "")</f>
        <v>36.9114</v>
      </c>
      <c r="AO15" cm="1">
        <f t="array" ref="AO15">IFERROR(MIN((INDEX(neos_benchmark!AJ:AJ, (ROW()-2)*$B15+2):INDEX(neos_benchmark!AJ:AJ, (ROW()-2)*$B15 + $B15+1) - INDEX(neos_benchmark!AI:AI, (ROW()-2)*$B15+2):INDEX(neos_benchmark!AI:AI, (ROW()-2)*$B15 + $B15+1)) / 1000), "")</f>
        <v>15.683</v>
      </c>
      <c r="AP15" cm="1">
        <f t="array" ref="AP15">IFERROR(MAX((INDEX(neos_benchmark!AJ:AJ, (ROW()-2)*$B15+2):INDEX(neos_benchmark!AJ:AJ, (ROW()-2)*$B15 + $B15+1) - INDEX(neos_benchmark!AI:AI, (ROW()-2)*$B15+2):INDEX(neos_benchmark!AI:AI, (ROW()-2)*$B15 + $B15+1)) / 1000), "")</f>
        <v>51.811999999999998</v>
      </c>
    </row>
    <row r="16" spans="1:42" x14ac:dyDescent="0.25">
      <c r="A16" t="str" cm="1">
        <f t="array" ref="A16">INDEX(neos_benchmark!A:A, (ROW()-2)*$B16+2)</f>
        <v>kinematic-car-filter</v>
      </c>
      <c r="B16">
        <f>COUNTIF(neos_benchmark!A:A, neos_benchmark!A16)</f>
        <v>10</v>
      </c>
      <c r="C16" t="str" cm="1">
        <f t="array" ref="C16">INDEX(neos_benchmark!C:C, (ROW()-2)*$B16+2)</f>
        <v>filterSQP</v>
      </c>
      <c r="D16" t="str" cm="1">
        <f t="array" ref="D16">INDEX(neos_benchmark!D:D, (ROW()-2)*$B16+2)</f>
        <v>20020316</v>
      </c>
      <c r="E16" t="str" cm="1">
        <f t="array" ref="E16">INDEX(neos_benchmark!E:E, (ROW()-2)*$B16+2)</f>
        <v>infeasible</v>
      </c>
      <c r="F16">
        <f>IFERROR(AVERAGE(INDEX(neos_benchmark!F:F, (ROW()-2)*$B16+2):INDEX(neos_benchmark!F:F, (ROW()-2)*$B16 + $B16+1)), "")</f>
        <v>201</v>
      </c>
      <c r="G16">
        <f>IFERROR(AVERAGE(INDEX(neos_benchmark!G:G, (ROW()-2)*$B16+2):INDEX(neos_benchmark!G:G, (ROW()-2)*$B16 + $B16+1)), "")</f>
        <v>0</v>
      </c>
      <c r="H16" t="str">
        <f>IFERROR(AVERAGE(INDEX(neos_benchmark!H:H, (ROW()-2)*$B16+2):INDEX(neos_benchmark!H:H, (ROW()-2)*$B16 + $B16+1)), "")</f>
        <v/>
      </c>
      <c r="I16" t="str">
        <f>IFERROR(AVERAGE(INDEX(neos_benchmark!I:I, (ROW()-2)*$B16+2):INDEX(neos_benchmark!I:I, (ROW()-2)*$B16 + $B16+1)), "")</f>
        <v/>
      </c>
      <c r="J16" t="str">
        <f>IFERROR(AVERAGE(INDEX(neos_benchmark!J:J, (ROW()-2)*$B16+2):INDEX(neos_benchmark!J:J, (ROW()-2)*$B16 + $B16+1)), "")</f>
        <v/>
      </c>
      <c r="K16" t="str">
        <f>IFERROR(AVERAGE(INDEX(neos_benchmark!K:K, (ROW()-2)*$B16+2):INDEX(neos_benchmark!K:K, (ROW()-2)*$B16 + $B16+1)), "")</f>
        <v/>
      </c>
      <c r="L16" t="str">
        <f>IFERROR(AVERAGE(INDEX(neos_benchmark!L:L, (ROW()-2)*$B16+2):INDEX(neos_benchmark!L:L, (ROW()-2)*$B16 + $B16+1)), "")</f>
        <v/>
      </c>
      <c r="M16" t="str">
        <f>IFERROR(AVERAGE(INDEX(neos_benchmark!M:M, (ROW()-2)*$B16+2):INDEX(neos_benchmark!M:M, (ROW()-2)*$B16 + $B16+1)), "")</f>
        <v/>
      </c>
      <c r="N16" t="str">
        <f>IFERROR(AVERAGE(INDEX(neos_benchmark!N:N, (ROW()-2)*$B16+2):INDEX(neos_benchmark!N:N, (ROW()-2)*$B16 + $B16+1)), "")</f>
        <v/>
      </c>
      <c r="O16" t="str">
        <f>IFERROR(AVERAGE(INDEX(neos_benchmark!O:O, (ROW()-2)*$B16+2):INDEX(neos_benchmark!O:O, (ROW()-2)*$B16 + $B16+1)), "")</f>
        <v/>
      </c>
      <c r="P16" t="str">
        <f>IFERROR(AVERAGE(INDEX(neos_benchmark!P:P, (ROW()-2)*$B16+2):INDEX(neos_benchmark!P:P, (ROW()-2)*$B16 + $B16+1)), "")</f>
        <v/>
      </c>
      <c r="Q16" t="str">
        <f>IFERROR(AVERAGE(INDEX(neos_benchmark!Q:Q, (ROW()-2)*$B16+2):INDEX(neos_benchmark!Q:Q, (ROW()-2)*$B16 + $B16+1)), "")</f>
        <v/>
      </c>
      <c r="R16" t="str">
        <f>IFERROR(AVERAGE(INDEX(neos_benchmark!R:R, (ROW()-2)*$B16+2):INDEX(neos_benchmark!R:R, (ROW()-2)*$B16 + $B16+1)), "")</f>
        <v/>
      </c>
      <c r="S16" t="str">
        <f>IFERROR(AVERAGE(INDEX(neos_benchmark!S:S, (ROW()-2)*$B16+2):INDEX(neos_benchmark!S:S, (ROW()-2)*$B16 + $B16+1)), "")</f>
        <v/>
      </c>
      <c r="T16" t="str">
        <f>IFERROR(AVERAGE(INDEX(neos_benchmark!T:T, (ROW()-2)*$B16+2):INDEX(neos_benchmark!T:T, (ROW()-2)*$B16 + $B16+1)), "")</f>
        <v/>
      </c>
      <c r="U16" t="str">
        <f>IFERROR(AVERAGE(INDEX(neos_benchmark!U:U, (ROW()-2)*$B16+2):INDEX(neos_benchmark!U:U, (ROW()-2)*$B16 + $B16+1)), "")</f>
        <v/>
      </c>
      <c r="V16" t="str">
        <f>IFERROR(AVERAGE(INDEX(neos_benchmark!V:V, (ROW()-2)*$B16+2):INDEX(neos_benchmark!V:V, (ROW()-2)*$B16 + $B16+1)), "")</f>
        <v/>
      </c>
      <c r="W16">
        <f>IFERROR(AVERAGE(INDEX(neos_benchmark!W:W, (ROW()-2)*$B16+2):INDEX(neos_benchmark!W:W, (ROW()-2)*$B16 + $B16+1)), "")</f>
        <v>8.8816699999999998E-2</v>
      </c>
      <c r="X16">
        <f>IFERROR(AVERAGE(INDEX(neos_benchmark!X:X, (ROW()-2)*$B16+2):INDEX(neos_benchmark!X:X, (ROW()-2)*$B16 + $B16+1)), "")</f>
        <v>2.5354899999999996E-2</v>
      </c>
      <c r="Y16">
        <f>IFERROR(AVERAGE(INDEX(neos_benchmark!Y:Y, (ROW()-2)*$B16+2):INDEX(neos_benchmark!Y:Y, (ROW()-2)*$B16 + $B16+1)), "")</f>
        <v>6.7721000000000003E-2</v>
      </c>
      <c r="Z16">
        <f>IFERROR(AVERAGE(INDEX(neos_benchmark!Z:Z, (ROW()-2)*$B16+2):INDEX(neos_benchmark!Z:Z, (ROW()-2)*$B16 + $B16+1)), "")</f>
        <v>9.3075900000000003E-2</v>
      </c>
      <c r="AA16">
        <f>IFERROR(AVERAGE(INDEX(neos_benchmark!AA:AA, (ROW()-2)*$B16+2):INDEX(neos_benchmark!AA:AA, (ROW()-2)*$B16 + $B16+1)), "")</f>
        <v>1.2429099999999995E-2</v>
      </c>
      <c r="AB16">
        <f>IFERROR(AVERAGE(INDEX(neos_benchmark!AB:AB, (ROW()-2)*$B16+2):INDEX(neos_benchmark!AB:AB, (ROW()-2)*$B16 + $B16+1)), "")</f>
        <v>5.8642E-3</v>
      </c>
      <c r="AC16">
        <f>IFERROR(AVERAGE(INDEX(neos_benchmark!AC:AC, (ROW()-2)*$B16+2):INDEX(neos_benchmark!AC:AC, (ROW()-2)*$B16 + $B16+1)), "")</f>
        <v>4.6367999999999991E-3</v>
      </c>
      <c r="AD16">
        <f>IFERROR(AVERAGE(INDEX(neos_benchmark!AD:AD, (ROW()-2)*$B16+2):INDEX(neos_benchmark!AD:AD, (ROW()-2)*$B16 + $B16+1)), "")</f>
        <v>1.0501E-2</v>
      </c>
      <c r="AE16">
        <f>IFERROR(AVERAGE(INDEX(neos_benchmark!AE:AE, (ROW()-2)*$B16+2):INDEX(neos_benchmark!AE:AE, (ROW()-2)*$B16 + $B16+1)), "")</f>
        <v>16623</v>
      </c>
      <c r="AF16">
        <f>IFERROR(AVERAGE(INDEX(neos_benchmark!AF:AF, (ROW()-2)*$B16+2):INDEX(neos_benchmark!AF:AF, (ROW()-2)*$B16 + $B16+1)), "")</f>
        <v>391</v>
      </c>
      <c r="AG16">
        <f>IFERROR(AVERAGE(INDEX(neos_benchmark!AG:AG, (ROW()-2)*$B16+2):INDEX(neos_benchmark!AG:AG, (ROW()-2)*$B16 + $B16+1)), "")</f>
        <v>16624</v>
      </c>
      <c r="AH16">
        <f>IFERROR(AVERAGE(INDEX(neos_benchmark!AH:AH, (ROW()-2)*$B16+2):INDEX(neos_benchmark!AH:AH, (ROW()-2)*$B16 + $B16+1)), "")</f>
        <v>341</v>
      </c>
      <c r="AI16">
        <f>IFERROR(AVERAGE(INDEX(neos_benchmark!AI:AI, (ROW()-2)*$B16+2):INDEX(neos_benchmark!AI:AI, (ROW()-2)*$B16 + $B16+1)), "")</f>
        <v>482913.7</v>
      </c>
      <c r="AJ16">
        <f>IFERROR(AVERAGE(INDEX(neos_benchmark!AJ:AJ, (ROW()-2)*$B16+2):INDEX(neos_benchmark!AJ:AJ, (ROW()-2)*$B16 + $B16+1)), "")</f>
        <v>492157.3</v>
      </c>
      <c r="AK16" cm="1">
        <f t="array" ref="AK16">IFERROR(AVERAGE(INDEX(neos_benchmark!W:W, (ROW()-2)*$B16+2):INDEX(neos_benchmark!W:W, (ROW()-2)*$B16 + $B16+1) + INDEX(neos_benchmark!AA:AA, (ROW()-2)*$B16+2):INDEX(neos_benchmark!AA:AA, (ROW()-2)*$B16 + $B16+1)), "")</f>
        <v>0.10124580000000001</v>
      </c>
      <c r="AL16" cm="1">
        <f t="array" ref="AL16">IFERROR(MIN(INDEX(neos_benchmark!W:W, (ROW()-2)*$B16+2):INDEX(neos_benchmark!W:W, (ROW()-2)*$B16 + $B16+1) + INDEX(neos_benchmark!AA:AA, (ROW()-2)*$B16+2):INDEX(neos_benchmark!AA:AA, (ROW()-2)*$B16 + $B16+1)), "")</f>
        <v>7.9640999999999962E-2</v>
      </c>
      <c r="AM16" cm="1">
        <f t="array" ref="AM16">IFERROR(MAX(INDEX(neos_benchmark!W:W, (ROW()-2)*$B16+2):INDEX(neos_benchmark!W:W, (ROW()-2)*$B16 + $B16+1) + INDEX(neos_benchmark!AA:AA, (ROW()-2)*$B16+2):INDEX(neos_benchmark!AA:AA, (ROW()-2)*$B16 + $B16+1)), "")</f>
        <v>0.134326</v>
      </c>
      <c r="AN16" cm="1">
        <f t="array" ref="AN16">IFERROR(AVERAGE((INDEX(neos_benchmark!AJ:AJ, (ROW()-2)*$B16+2):INDEX(neos_benchmark!AJ:AJ, (ROW()-2)*$B16 + $B16+1) - INDEX(neos_benchmark!AI:AI, (ROW()-2)*$B16+2):INDEX(neos_benchmark!AI:AI, (ROW()-2)*$B16 + $B16+1)) / 1000), "")</f>
        <v>9.2436000000000007</v>
      </c>
      <c r="AO16" cm="1">
        <f t="array" ref="AO16">IFERROR(MIN((INDEX(neos_benchmark!AJ:AJ, (ROW()-2)*$B16+2):INDEX(neos_benchmark!AJ:AJ, (ROW()-2)*$B16 + $B16+1) - INDEX(neos_benchmark!AI:AI, (ROW()-2)*$B16+2):INDEX(neos_benchmark!AI:AI, (ROW()-2)*$B16 + $B16+1)) / 1000), "")</f>
        <v>5.2649999999999997</v>
      </c>
      <c r="AP16" cm="1">
        <f t="array" ref="AP16">IFERROR(MAX((INDEX(neos_benchmark!AJ:AJ, (ROW()-2)*$B16+2):INDEX(neos_benchmark!AJ:AJ, (ROW()-2)*$B16 + $B16+1) - INDEX(neos_benchmark!AI:AI, (ROW()-2)*$B16+2):INDEX(neos_benchmark!AI:AI, (ROW()-2)*$B16 + $B16+1)) / 1000), "")</f>
        <v>13.534000000000001</v>
      </c>
    </row>
    <row r="17" spans="1:42" x14ac:dyDescent="0.25">
      <c r="A17" t="str" cm="1">
        <f t="array" ref="A17">INDEX(neos_benchmark!A:A, (ROW()-2)*$B17+2)</f>
        <v>kinematic-car-gurobi</v>
      </c>
      <c r="B17">
        <f>COUNTIF(neos_benchmark!A:A, neos_benchmark!A17)</f>
        <v>10</v>
      </c>
      <c r="C17" t="str" cm="1">
        <f t="array" ref="C17">INDEX(neos_benchmark!C:C, (ROW()-2)*$B17+2)</f>
        <v/>
      </c>
      <c r="D17" t="str" cm="1">
        <f t="array" ref="D17">INDEX(neos_benchmark!D:D, (ROW()-2)*$B17+2)</f>
        <v/>
      </c>
      <c r="E17" t="str" cm="1">
        <f t="array" ref="E17">INDEX(neos_benchmark!E:E, (ROW()-2)*$B17+2)</f>
        <v>XML-RPC rejected</v>
      </c>
      <c r="F17" t="str">
        <f>IFERROR(AVERAGE(INDEX(neos_benchmark!F:F, (ROW()-2)*$B17+2):INDEX(neos_benchmark!F:F, (ROW()-2)*$B17 + $B17+1)), "")</f>
        <v/>
      </c>
      <c r="G17" t="str">
        <f>IFERROR(AVERAGE(INDEX(neos_benchmark!G:G, (ROW()-2)*$B17+2):INDEX(neos_benchmark!G:G, (ROW()-2)*$B17 + $B17+1)), "")</f>
        <v/>
      </c>
      <c r="H17" t="str">
        <f>IFERROR(AVERAGE(INDEX(neos_benchmark!H:H, (ROW()-2)*$B17+2):INDEX(neos_benchmark!H:H, (ROW()-2)*$B17 + $B17+1)), "")</f>
        <v/>
      </c>
      <c r="I17" t="str">
        <f>IFERROR(AVERAGE(INDEX(neos_benchmark!I:I, (ROW()-2)*$B17+2):INDEX(neos_benchmark!I:I, (ROW()-2)*$B17 + $B17+1)), "")</f>
        <v/>
      </c>
      <c r="J17" t="str">
        <f>IFERROR(AVERAGE(INDEX(neos_benchmark!J:J, (ROW()-2)*$B17+2):INDEX(neos_benchmark!J:J, (ROW()-2)*$B17 + $B17+1)), "")</f>
        <v/>
      </c>
      <c r="K17" t="str">
        <f>IFERROR(AVERAGE(INDEX(neos_benchmark!K:K, (ROW()-2)*$B17+2):INDEX(neos_benchmark!K:K, (ROW()-2)*$B17 + $B17+1)), "")</f>
        <v/>
      </c>
      <c r="L17" t="str">
        <f>IFERROR(AVERAGE(INDEX(neos_benchmark!L:L, (ROW()-2)*$B17+2):INDEX(neos_benchmark!L:L, (ROW()-2)*$B17 + $B17+1)), "")</f>
        <v/>
      </c>
      <c r="M17" t="str">
        <f>IFERROR(AVERAGE(INDEX(neos_benchmark!M:M, (ROW()-2)*$B17+2):INDEX(neos_benchmark!M:M, (ROW()-2)*$B17 + $B17+1)), "")</f>
        <v/>
      </c>
      <c r="N17" t="str">
        <f>IFERROR(AVERAGE(INDEX(neos_benchmark!N:N, (ROW()-2)*$B17+2):INDEX(neos_benchmark!N:N, (ROW()-2)*$B17 + $B17+1)), "")</f>
        <v/>
      </c>
      <c r="O17" t="str">
        <f>IFERROR(AVERAGE(INDEX(neos_benchmark!O:O, (ROW()-2)*$B17+2):INDEX(neos_benchmark!O:O, (ROW()-2)*$B17 + $B17+1)), "")</f>
        <v/>
      </c>
      <c r="P17" t="str">
        <f>IFERROR(AVERAGE(INDEX(neos_benchmark!P:P, (ROW()-2)*$B17+2):INDEX(neos_benchmark!P:P, (ROW()-2)*$B17 + $B17+1)), "")</f>
        <v/>
      </c>
      <c r="Q17" t="str">
        <f>IFERROR(AVERAGE(INDEX(neos_benchmark!Q:Q, (ROW()-2)*$B17+2):INDEX(neos_benchmark!Q:Q, (ROW()-2)*$B17 + $B17+1)), "")</f>
        <v/>
      </c>
      <c r="R17" t="str">
        <f>IFERROR(AVERAGE(INDEX(neos_benchmark!R:R, (ROW()-2)*$B17+2):INDEX(neos_benchmark!R:R, (ROW()-2)*$B17 + $B17+1)), "")</f>
        <v/>
      </c>
      <c r="S17" t="str">
        <f>IFERROR(AVERAGE(INDEX(neos_benchmark!S:S, (ROW()-2)*$B17+2):INDEX(neos_benchmark!S:S, (ROW()-2)*$B17 + $B17+1)), "")</f>
        <v/>
      </c>
      <c r="T17" t="str">
        <f>IFERROR(AVERAGE(INDEX(neos_benchmark!T:T, (ROW()-2)*$B17+2):INDEX(neos_benchmark!T:T, (ROW()-2)*$B17 + $B17+1)), "")</f>
        <v/>
      </c>
      <c r="U17" t="str">
        <f>IFERROR(AVERAGE(INDEX(neos_benchmark!U:U, (ROW()-2)*$B17+2):INDEX(neos_benchmark!U:U, (ROW()-2)*$B17 + $B17+1)), "")</f>
        <v/>
      </c>
      <c r="V17" t="str">
        <f>IFERROR(AVERAGE(INDEX(neos_benchmark!V:V, (ROW()-2)*$B17+2):INDEX(neos_benchmark!V:V, (ROW()-2)*$B17 + $B17+1)), "")</f>
        <v/>
      </c>
      <c r="W17" t="str">
        <f>IFERROR(AVERAGE(INDEX(neos_benchmark!W:W, (ROW()-2)*$B17+2):INDEX(neos_benchmark!W:W, (ROW()-2)*$B17 + $B17+1)), "")</f>
        <v/>
      </c>
      <c r="X17" t="str">
        <f>IFERROR(AVERAGE(INDEX(neos_benchmark!X:X, (ROW()-2)*$B17+2):INDEX(neos_benchmark!X:X, (ROW()-2)*$B17 + $B17+1)), "")</f>
        <v/>
      </c>
      <c r="Y17" t="str">
        <f>IFERROR(AVERAGE(INDEX(neos_benchmark!Y:Y, (ROW()-2)*$B17+2):INDEX(neos_benchmark!Y:Y, (ROW()-2)*$B17 + $B17+1)), "")</f>
        <v/>
      </c>
      <c r="Z17" t="str">
        <f>IFERROR(AVERAGE(INDEX(neos_benchmark!Z:Z, (ROW()-2)*$B17+2):INDEX(neos_benchmark!Z:Z, (ROW()-2)*$B17 + $B17+1)), "")</f>
        <v/>
      </c>
      <c r="AA17" t="str">
        <f>IFERROR(AVERAGE(INDEX(neos_benchmark!AA:AA, (ROW()-2)*$B17+2):INDEX(neos_benchmark!AA:AA, (ROW()-2)*$B17 + $B17+1)), "")</f>
        <v/>
      </c>
      <c r="AB17" t="str">
        <f>IFERROR(AVERAGE(INDEX(neos_benchmark!AB:AB, (ROW()-2)*$B17+2):INDEX(neos_benchmark!AB:AB, (ROW()-2)*$B17 + $B17+1)), "")</f>
        <v/>
      </c>
      <c r="AC17" t="str">
        <f>IFERROR(AVERAGE(INDEX(neos_benchmark!AC:AC, (ROW()-2)*$B17+2):INDEX(neos_benchmark!AC:AC, (ROW()-2)*$B17 + $B17+1)), "")</f>
        <v/>
      </c>
      <c r="AD17" t="str">
        <f>IFERROR(AVERAGE(INDEX(neos_benchmark!AD:AD, (ROW()-2)*$B17+2):INDEX(neos_benchmark!AD:AD, (ROW()-2)*$B17 + $B17+1)), "")</f>
        <v/>
      </c>
      <c r="AE17" t="str">
        <f>IFERROR(AVERAGE(INDEX(neos_benchmark!AE:AE, (ROW()-2)*$B17+2):INDEX(neos_benchmark!AE:AE, (ROW()-2)*$B17 + $B17+1)), "")</f>
        <v/>
      </c>
      <c r="AF17" t="str">
        <f>IFERROR(AVERAGE(INDEX(neos_benchmark!AF:AF, (ROW()-2)*$B17+2):INDEX(neos_benchmark!AF:AF, (ROW()-2)*$B17 + $B17+1)), "")</f>
        <v/>
      </c>
      <c r="AG17" t="str">
        <f>IFERROR(AVERAGE(INDEX(neos_benchmark!AG:AG, (ROW()-2)*$B17+2):INDEX(neos_benchmark!AG:AG, (ROW()-2)*$B17 + $B17+1)), "")</f>
        <v/>
      </c>
      <c r="AH17" t="str">
        <f>IFERROR(AVERAGE(INDEX(neos_benchmark!AH:AH, (ROW()-2)*$B17+2):INDEX(neos_benchmark!AH:AH, (ROW()-2)*$B17 + $B17+1)), "")</f>
        <v/>
      </c>
      <c r="AI17">
        <f>IFERROR(AVERAGE(INDEX(neos_benchmark!AI:AI, (ROW()-2)*$B17+2):INDEX(neos_benchmark!AI:AI, (ROW()-2)*$B17 + $B17+1)), "")</f>
        <v>379735.3</v>
      </c>
      <c r="AJ17">
        <f>IFERROR(AVERAGE(INDEX(neos_benchmark!AJ:AJ, (ROW()-2)*$B17+2):INDEX(neos_benchmark!AJ:AJ, (ROW()-2)*$B17 + $B17+1)), "")</f>
        <v>396501.9</v>
      </c>
      <c r="AK17" cm="1">
        <f t="array" ref="AK17">IFERROR(AVERAGE(INDEX(neos_benchmark!W:W, (ROW()-2)*$B17+2):INDEX(neos_benchmark!W:W, (ROW()-2)*$B17 + $B17+1) + INDEX(neos_benchmark!AA:AA, (ROW()-2)*$B17+2):INDEX(neos_benchmark!AA:AA, (ROW()-2)*$B17 + $B17+1)), "")</f>
        <v>0</v>
      </c>
      <c r="AL17" cm="1">
        <f t="array" ref="AL17">IFERROR(MIN(INDEX(neos_benchmark!W:W, (ROW()-2)*$B17+2):INDEX(neos_benchmark!W:W, (ROW()-2)*$B17 + $B17+1) + INDEX(neos_benchmark!AA:AA, (ROW()-2)*$B17+2):INDEX(neos_benchmark!AA:AA, (ROW()-2)*$B17 + $B17+1)), "")</f>
        <v>0</v>
      </c>
      <c r="AM17" cm="1">
        <f t="array" ref="AM17">IFERROR(MAX(INDEX(neos_benchmark!W:W, (ROW()-2)*$B17+2):INDEX(neos_benchmark!W:W, (ROW()-2)*$B17 + $B17+1) + INDEX(neos_benchmark!AA:AA, (ROW()-2)*$B17+2):INDEX(neos_benchmark!AA:AA, (ROW()-2)*$B17 + $B17+1)), "")</f>
        <v>0</v>
      </c>
      <c r="AN17" cm="1">
        <f t="array" ref="AN17">IFERROR(AVERAGE((INDEX(neos_benchmark!AJ:AJ, (ROW()-2)*$B17+2):INDEX(neos_benchmark!AJ:AJ, (ROW()-2)*$B17 + $B17+1) - INDEX(neos_benchmark!AI:AI, (ROW()-2)*$B17+2):INDEX(neos_benchmark!AI:AI, (ROW()-2)*$B17 + $B17+1)) / 1000), "")</f>
        <v>16.7666</v>
      </c>
      <c r="AO17" cm="1">
        <f t="array" ref="AO17">IFERROR(MIN((INDEX(neos_benchmark!AJ:AJ, (ROW()-2)*$B17+2):INDEX(neos_benchmark!AJ:AJ, (ROW()-2)*$B17 + $B17+1) - INDEX(neos_benchmark!AI:AI, (ROW()-2)*$B17+2):INDEX(neos_benchmark!AI:AI, (ROW()-2)*$B17 + $B17+1)) / 1000), "")</f>
        <v>0.29399999999999998</v>
      </c>
      <c r="AP17" cm="1">
        <f t="array" ref="AP17">IFERROR(MAX((INDEX(neos_benchmark!AJ:AJ, (ROW()-2)*$B17+2):INDEX(neos_benchmark!AJ:AJ, (ROW()-2)*$B17 + $B17+1) - INDEX(neos_benchmark!AI:AI, (ROW()-2)*$B17+2):INDEX(neos_benchmark!AI:AI, (ROW()-2)*$B17 + $B17+1)) / 1000), "")</f>
        <v>136.315</v>
      </c>
    </row>
    <row r="18" spans="1:42" x14ac:dyDescent="0.25">
      <c r="A18" t="str" cm="1">
        <f t="array" ref="A18">INDEX(neos_benchmark!A:A, (ROW()-2)*$B18+2)</f>
        <v>kinematic-car-ipopt</v>
      </c>
      <c r="B18">
        <f>COUNTIF(neos_benchmark!A:A, neos_benchmark!A18)</f>
        <v>10</v>
      </c>
      <c r="C18" t="str" cm="1">
        <f t="array" ref="C18">INDEX(neos_benchmark!C:C, (ROW()-2)*$B18+2)</f>
        <v>Ipopt</v>
      </c>
      <c r="D18" t="str" cm="1">
        <f t="array" ref="D18">INDEX(neos_benchmark!D:D, (ROW()-2)*$B18+2)</f>
        <v>3.14.12</v>
      </c>
      <c r="E18" t="str" cm="1">
        <f t="array" ref="E18">INDEX(neos_benchmark!E:E, (ROW()-2)*$B18+2)</f>
        <v>solved</v>
      </c>
      <c r="F18">
        <f>IFERROR(AVERAGE(INDEX(neos_benchmark!F:F, (ROW()-2)*$B18+2):INDEX(neos_benchmark!F:F, (ROW()-2)*$B18 + $B18+1)), "")</f>
        <v>0</v>
      </c>
      <c r="G18">
        <f>IFERROR(AVERAGE(INDEX(neos_benchmark!G:G, (ROW()-2)*$B18+2):INDEX(neos_benchmark!G:G, (ROW()-2)*$B18 + $B18+1)), "")</f>
        <v>1.9589704802793864</v>
      </c>
      <c r="H18" t="str">
        <f>IFERROR(AVERAGE(INDEX(neos_benchmark!H:H, (ROW()-2)*$B18+2):INDEX(neos_benchmark!H:H, (ROW()-2)*$B18 + $B18+1)), "")</f>
        <v/>
      </c>
      <c r="I18">
        <f>IFERROR(AVERAGE(INDEX(neos_benchmark!I:I, (ROW()-2)*$B18+2):INDEX(neos_benchmark!I:I, (ROW()-2)*$B18 + $B18+1)), "")</f>
        <v>70</v>
      </c>
      <c r="J18">
        <f>IFERROR(AVERAGE(INDEX(neos_benchmark!J:J, (ROW()-2)*$B18+2):INDEX(neos_benchmark!J:J, (ROW()-2)*$B18 + $B18+1)), "")</f>
        <v>307</v>
      </c>
      <c r="K18">
        <f>IFERROR(AVERAGE(INDEX(neos_benchmark!K:K, (ROW()-2)*$B18+2):INDEX(neos_benchmark!K:K, (ROW()-2)*$B18 + $B18+1)), "")</f>
        <v>68</v>
      </c>
      <c r="L18">
        <f>IFERROR(AVERAGE(INDEX(neos_benchmark!L:L, (ROW()-2)*$B18+2):INDEX(neos_benchmark!L:L, (ROW()-2)*$B18 + $B18+1)), "")</f>
        <v>307</v>
      </c>
      <c r="M18">
        <f>IFERROR(AVERAGE(INDEX(neos_benchmark!M:M, (ROW()-2)*$B18+2):INDEX(neos_benchmark!M:M, (ROW()-2)*$B18 + $B18+1)), "")</f>
        <v>0</v>
      </c>
      <c r="N18">
        <f>IFERROR(AVERAGE(INDEX(neos_benchmark!N:N, (ROW()-2)*$B18+2):INDEX(neos_benchmark!N:N, (ROW()-2)*$B18 + $B18+1)), "")</f>
        <v>73</v>
      </c>
      <c r="O18">
        <f>IFERROR(AVERAGE(INDEX(neos_benchmark!O:O, (ROW()-2)*$B18+2):INDEX(neos_benchmark!O:O, (ROW()-2)*$B18 + $B18+1)), "")</f>
        <v>0</v>
      </c>
      <c r="P18">
        <f>IFERROR(AVERAGE(INDEX(neos_benchmark!P:P, (ROW()-2)*$B18+2):INDEX(neos_benchmark!P:P, (ROW()-2)*$B18 + $B18+1)), "")</f>
        <v>70</v>
      </c>
      <c r="Q18">
        <f>IFERROR(AVERAGE(INDEX(neos_benchmark!Q:Q, (ROW()-2)*$B18+2):INDEX(neos_benchmark!Q:Q, (ROW()-2)*$B18 + $B18+1)), "")</f>
        <v>4.7723630602902745E-13</v>
      </c>
      <c r="R18">
        <f>IFERROR(AVERAGE(INDEX(neos_benchmark!R:R, (ROW()-2)*$B18+2):INDEX(neos_benchmark!R:R, (ROW()-2)*$B18 + $B18+1)), "")</f>
        <v>0.36659999999999998</v>
      </c>
      <c r="S18">
        <f>IFERROR(AVERAGE(INDEX(neos_benchmark!S:S, (ROW()-2)*$B18+2):INDEX(neos_benchmark!S:S, (ROW()-2)*$B18 + $B18+1)), "")</f>
        <v>4.0999999999999995E-2</v>
      </c>
      <c r="T18">
        <f>IFERROR(AVERAGE(INDEX(neos_benchmark!T:T, (ROW()-2)*$B18+2):INDEX(neos_benchmark!T:T, (ROW()-2)*$B18 + $B18+1)), "")</f>
        <v>391</v>
      </c>
      <c r="U18">
        <f>IFERROR(AVERAGE(INDEX(neos_benchmark!U:U, (ROW()-2)*$B18+2):INDEX(neos_benchmark!U:U, (ROW()-2)*$B18 + $B18+1)), "")</f>
        <v>341</v>
      </c>
      <c r="V18">
        <f>IFERROR(AVERAGE(INDEX(neos_benchmark!V:V, (ROW()-2)*$B18+2):INDEX(neos_benchmark!V:V, (ROW()-2)*$B18 + $B18+1)), "")</f>
        <v>0</v>
      </c>
      <c r="W18">
        <f>IFERROR(AVERAGE(INDEX(neos_benchmark!W:W, (ROW()-2)*$B18+2):INDEX(neos_benchmark!W:W, (ROW()-2)*$B18 + $B18+1)), "")</f>
        <v>9.5727200000000026E-2</v>
      </c>
      <c r="X18">
        <f>IFERROR(AVERAGE(INDEX(neos_benchmark!X:X, (ROW()-2)*$B18+2):INDEX(neos_benchmark!X:X, (ROW()-2)*$B18 + $B18+1)), "")</f>
        <v>2.38214E-2</v>
      </c>
      <c r="Y18">
        <f>IFERROR(AVERAGE(INDEX(neos_benchmark!Y:Y, (ROW()-2)*$B18+2):INDEX(neos_benchmark!Y:Y, (ROW()-2)*$B18 + $B18+1)), "")</f>
        <v>7.6202199999999998E-2</v>
      </c>
      <c r="Z18">
        <f>IFERROR(AVERAGE(INDEX(neos_benchmark!Z:Z, (ROW()-2)*$B18+2):INDEX(neos_benchmark!Z:Z, (ROW()-2)*$B18 + $B18+1)), "")</f>
        <v>0.10002360000000002</v>
      </c>
      <c r="AA18">
        <f>IFERROR(AVERAGE(INDEX(neos_benchmark!AA:AA, (ROW()-2)*$B18+2):INDEX(neos_benchmark!AA:AA, (ROW()-2)*$B18 + $B18+1)), "")</f>
        <v>0.41756190000000004</v>
      </c>
      <c r="AB18">
        <f>IFERROR(AVERAGE(INDEX(neos_benchmark!AB:AB, (ROW()-2)*$B18+2):INDEX(neos_benchmark!AB:AB, (ROW()-2)*$B18 + $B18+1)), "")</f>
        <v>1.7335700000000002E-2</v>
      </c>
      <c r="AC18">
        <f>IFERROR(AVERAGE(INDEX(neos_benchmark!AC:AC, (ROW()-2)*$B18+2):INDEX(neos_benchmark!AC:AC, (ROW()-2)*$B18 + $B18+1)), "")</f>
        <v>0.39734740000000002</v>
      </c>
      <c r="AD18">
        <f>IFERROR(AVERAGE(INDEX(neos_benchmark!AD:AD, (ROW()-2)*$B18+2):INDEX(neos_benchmark!AD:AD, (ROW()-2)*$B18 + $B18+1)), "")</f>
        <v>0.41468309999999997</v>
      </c>
      <c r="AE18">
        <f>IFERROR(AVERAGE(INDEX(neos_benchmark!AE:AE, (ROW()-2)*$B18+2):INDEX(neos_benchmark!AE:AE, (ROW()-2)*$B18 + $B18+1)), "")</f>
        <v>16623</v>
      </c>
      <c r="AF18">
        <f>IFERROR(AVERAGE(INDEX(neos_benchmark!AF:AF, (ROW()-2)*$B18+2):INDEX(neos_benchmark!AF:AF, (ROW()-2)*$B18 + $B18+1)), "")</f>
        <v>391</v>
      </c>
      <c r="AG18">
        <f>IFERROR(AVERAGE(INDEX(neos_benchmark!AG:AG, (ROW()-2)*$B18+2):INDEX(neos_benchmark!AG:AG, (ROW()-2)*$B18 + $B18+1)), "")</f>
        <v>16624</v>
      </c>
      <c r="AH18">
        <f>IFERROR(AVERAGE(INDEX(neos_benchmark!AH:AH, (ROW()-2)*$B18+2):INDEX(neos_benchmark!AH:AH, (ROW()-2)*$B18 + $B18+1)), "")</f>
        <v>341</v>
      </c>
      <c r="AI18">
        <f>IFERROR(AVERAGE(INDEX(neos_benchmark!AI:AI, (ROW()-2)*$B18+2):INDEX(neos_benchmark!AI:AI, (ROW()-2)*$B18 + $B18+1)), "")</f>
        <v>477400.5</v>
      </c>
      <c r="AJ18">
        <f>IFERROR(AVERAGE(INDEX(neos_benchmark!AJ:AJ, (ROW()-2)*$B18+2):INDEX(neos_benchmark!AJ:AJ, (ROW()-2)*$B18 + $B18+1)), "")</f>
        <v>485117</v>
      </c>
      <c r="AK18" cm="1">
        <f t="array" ref="AK18">IFERROR(AVERAGE(INDEX(neos_benchmark!W:W, (ROW()-2)*$B18+2):INDEX(neos_benchmark!W:W, (ROW()-2)*$B18 + $B18+1) + INDEX(neos_benchmark!AA:AA, (ROW()-2)*$B18+2):INDEX(neos_benchmark!AA:AA, (ROW()-2)*$B18 + $B18+1)), "")</f>
        <v>0.51328909999999994</v>
      </c>
      <c r="AL18" cm="1">
        <f t="array" ref="AL18">IFERROR(MIN(INDEX(neos_benchmark!W:W, (ROW()-2)*$B18+2):INDEX(neos_benchmark!W:W, (ROW()-2)*$B18 + $B18+1) + INDEX(neos_benchmark!AA:AA, (ROW()-2)*$B18+2):INDEX(neos_benchmark!AA:AA, (ROW()-2)*$B18 + $B18+1)), "")</f>
        <v>0.33872400000000003</v>
      </c>
      <c r="AM18" cm="1">
        <f t="array" ref="AM18">IFERROR(MAX(INDEX(neos_benchmark!W:W, (ROW()-2)*$B18+2):INDEX(neos_benchmark!W:W, (ROW()-2)*$B18 + $B18+1) + INDEX(neos_benchmark!AA:AA, (ROW()-2)*$B18+2):INDEX(neos_benchmark!AA:AA, (ROW()-2)*$B18 + $B18+1)), "")</f>
        <v>0.72522900000000001</v>
      </c>
      <c r="AN18" cm="1">
        <f t="array" ref="AN18">IFERROR(AVERAGE((INDEX(neos_benchmark!AJ:AJ, (ROW()-2)*$B18+2):INDEX(neos_benchmark!AJ:AJ, (ROW()-2)*$B18 + $B18+1) - INDEX(neos_benchmark!AI:AI, (ROW()-2)*$B18+2):INDEX(neos_benchmark!AI:AI, (ROW()-2)*$B18 + $B18+1)) / 1000), "")</f>
        <v>7.716499999999999</v>
      </c>
      <c r="AO18" cm="1">
        <f t="array" ref="AO18">IFERROR(MIN((INDEX(neos_benchmark!AJ:AJ, (ROW()-2)*$B18+2):INDEX(neos_benchmark!AJ:AJ, (ROW()-2)*$B18 + $B18+1) - INDEX(neos_benchmark!AI:AI, (ROW()-2)*$B18+2):INDEX(neos_benchmark!AI:AI, (ROW()-2)*$B18 + $B18+1)) / 1000), "")</f>
        <v>2.6539999999999999</v>
      </c>
      <c r="AP18" cm="1">
        <f t="array" ref="AP18">IFERROR(MAX((INDEX(neos_benchmark!AJ:AJ, (ROW()-2)*$B18+2):INDEX(neos_benchmark!AJ:AJ, (ROW()-2)*$B18 + $B18+1) - INDEX(neos_benchmark!AI:AI, (ROW()-2)*$B18+2):INDEX(neos_benchmark!AI:AI, (ROW()-2)*$B18 + $B18+1)) / 1000), "")</f>
        <v>17.552</v>
      </c>
    </row>
    <row r="19" spans="1:42" x14ac:dyDescent="0.25">
      <c r="A19" t="str" cm="1">
        <f t="array" ref="A19">INDEX(neos_benchmark!A:A, (ROW()-2)*$B19+2)</f>
        <v>kinematic-car-knitro</v>
      </c>
      <c r="B19">
        <f>COUNTIF(neos_benchmark!A:A, neos_benchmark!A19)</f>
        <v>10</v>
      </c>
      <c r="C19" t="str" cm="1">
        <f t="array" ref="C19">INDEX(neos_benchmark!C:C, (ROW()-2)*$B19+2)</f>
        <v>Knitro</v>
      </c>
      <c r="D19" t="str" cm="1">
        <f t="array" ref="D19">INDEX(neos_benchmark!D:D, (ROW()-2)*$B19+2)</f>
        <v>15.1.0</v>
      </c>
      <c r="E19" t="str" cm="1">
        <f t="array" ref="E19">INDEX(neos_benchmark!E:E, (ROW()-2)*$B19+2)</f>
        <v/>
      </c>
      <c r="F19" t="str">
        <f>IFERROR(AVERAGE(INDEX(neos_benchmark!F:F, (ROW()-2)*$B19+2):INDEX(neos_benchmark!F:F, (ROW()-2)*$B19 + $B19+1)), "")</f>
        <v/>
      </c>
      <c r="G19" t="str">
        <f>IFERROR(AVERAGE(INDEX(neos_benchmark!G:G, (ROW()-2)*$B19+2):INDEX(neos_benchmark!G:G, (ROW()-2)*$B19 + $B19+1)), "")</f>
        <v/>
      </c>
      <c r="H19" t="str">
        <f>IFERROR(AVERAGE(INDEX(neos_benchmark!H:H, (ROW()-2)*$B19+2):INDEX(neos_benchmark!H:H, (ROW()-2)*$B19 + $B19+1)), "")</f>
        <v/>
      </c>
      <c r="I19" t="str">
        <f>IFERROR(AVERAGE(INDEX(neos_benchmark!I:I, (ROW()-2)*$B19+2):INDEX(neos_benchmark!I:I, (ROW()-2)*$B19 + $B19+1)), "")</f>
        <v/>
      </c>
      <c r="J19" t="str">
        <f>IFERROR(AVERAGE(INDEX(neos_benchmark!J:J, (ROW()-2)*$B19+2):INDEX(neos_benchmark!J:J, (ROW()-2)*$B19 + $B19+1)), "")</f>
        <v/>
      </c>
      <c r="K19" t="str">
        <f>IFERROR(AVERAGE(INDEX(neos_benchmark!K:K, (ROW()-2)*$B19+2):INDEX(neos_benchmark!K:K, (ROW()-2)*$B19 + $B19+1)), "")</f>
        <v/>
      </c>
      <c r="L19" t="str">
        <f>IFERROR(AVERAGE(INDEX(neos_benchmark!L:L, (ROW()-2)*$B19+2):INDEX(neos_benchmark!L:L, (ROW()-2)*$B19 + $B19+1)), "")</f>
        <v/>
      </c>
      <c r="M19" t="str">
        <f>IFERROR(AVERAGE(INDEX(neos_benchmark!M:M, (ROW()-2)*$B19+2):INDEX(neos_benchmark!M:M, (ROW()-2)*$B19 + $B19+1)), "")</f>
        <v/>
      </c>
      <c r="N19" t="str">
        <f>IFERROR(AVERAGE(INDEX(neos_benchmark!N:N, (ROW()-2)*$B19+2):INDEX(neos_benchmark!N:N, (ROW()-2)*$B19 + $B19+1)), "")</f>
        <v/>
      </c>
      <c r="O19" t="str">
        <f>IFERROR(AVERAGE(INDEX(neos_benchmark!O:O, (ROW()-2)*$B19+2):INDEX(neos_benchmark!O:O, (ROW()-2)*$B19 + $B19+1)), "")</f>
        <v/>
      </c>
      <c r="P19" t="str">
        <f>IFERROR(AVERAGE(INDEX(neos_benchmark!P:P, (ROW()-2)*$B19+2):INDEX(neos_benchmark!P:P, (ROW()-2)*$B19 + $B19+1)), "")</f>
        <v/>
      </c>
      <c r="Q19" t="str">
        <f>IFERROR(AVERAGE(INDEX(neos_benchmark!Q:Q, (ROW()-2)*$B19+2):INDEX(neos_benchmark!Q:Q, (ROW()-2)*$B19 + $B19+1)), "")</f>
        <v/>
      </c>
      <c r="R19" t="str">
        <f>IFERROR(AVERAGE(INDEX(neos_benchmark!R:R, (ROW()-2)*$B19+2):INDEX(neos_benchmark!R:R, (ROW()-2)*$B19 + $B19+1)), "")</f>
        <v/>
      </c>
      <c r="S19" t="str">
        <f>IFERROR(AVERAGE(INDEX(neos_benchmark!S:S, (ROW()-2)*$B19+2):INDEX(neos_benchmark!S:S, (ROW()-2)*$B19 + $B19+1)), "")</f>
        <v/>
      </c>
      <c r="T19" t="str">
        <f>IFERROR(AVERAGE(INDEX(neos_benchmark!T:T, (ROW()-2)*$B19+2):INDEX(neos_benchmark!T:T, (ROW()-2)*$B19 + $B19+1)), "")</f>
        <v/>
      </c>
      <c r="U19" t="str">
        <f>IFERROR(AVERAGE(INDEX(neos_benchmark!U:U, (ROW()-2)*$B19+2):INDEX(neos_benchmark!U:U, (ROW()-2)*$B19 + $B19+1)), "")</f>
        <v/>
      </c>
      <c r="V19" t="str">
        <f>IFERROR(AVERAGE(INDEX(neos_benchmark!V:V, (ROW()-2)*$B19+2):INDEX(neos_benchmark!V:V, (ROW()-2)*$B19 + $B19+1)), "")</f>
        <v/>
      </c>
      <c r="W19" t="str">
        <f>IFERROR(AVERAGE(INDEX(neos_benchmark!W:W, (ROW()-2)*$B19+2):INDEX(neos_benchmark!W:W, (ROW()-2)*$B19 + $B19+1)), "")</f>
        <v/>
      </c>
      <c r="X19" t="str">
        <f>IFERROR(AVERAGE(INDEX(neos_benchmark!X:X, (ROW()-2)*$B19+2):INDEX(neos_benchmark!X:X, (ROW()-2)*$B19 + $B19+1)), "")</f>
        <v/>
      </c>
      <c r="Y19" t="str">
        <f>IFERROR(AVERAGE(INDEX(neos_benchmark!Y:Y, (ROW()-2)*$B19+2):INDEX(neos_benchmark!Y:Y, (ROW()-2)*$B19 + $B19+1)), "")</f>
        <v/>
      </c>
      <c r="Z19" t="str">
        <f>IFERROR(AVERAGE(INDEX(neos_benchmark!Z:Z, (ROW()-2)*$B19+2):INDEX(neos_benchmark!Z:Z, (ROW()-2)*$B19 + $B19+1)), "")</f>
        <v/>
      </c>
      <c r="AA19" t="str">
        <f>IFERROR(AVERAGE(INDEX(neos_benchmark!AA:AA, (ROW()-2)*$B19+2):INDEX(neos_benchmark!AA:AA, (ROW()-2)*$B19 + $B19+1)), "")</f>
        <v/>
      </c>
      <c r="AB19" t="str">
        <f>IFERROR(AVERAGE(INDEX(neos_benchmark!AB:AB, (ROW()-2)*$B19+2):INDEX(neos_benchmark!AB:AB, (ROW()-2)*$B19 + $B19+1)), "")</f>
        <v/>
      </c>
      <c r="AC19" t="str">
        <f>IFERROR(AVERAGE(INDEX(neos_benchmark!AC:AC, (ROW()-2)*$B19+2):INDEX(neos_benchmark!AC:AC, (ROW()-2)*$B19 + $B19+1)), "")</f>
        <v/>
      </c>
      <c r="AD19" t="str">
        <f>IFERROR(AVERAGE(INDEX(neos_benchmark!AD:AD, (ROW()-2)*$B19+2):INDEX(neos_benchmark!AD:AD, (ROW()-2)*$B19 + $B19+1)), "")</f>
        <v/>
      </c>
      <c r="AE19" t="str">
        <f>IFERROR(AVERAGE(INDEX(neos_benchmark!AE:AE, (ROW()-2)*$B19+2):INDEX(neos_benchmark!AE:AE, (ROW()-2)*$B19 + $B19+1)), "")</f>
        <v/>
      </c>
      <c r="AF19" t="str">
        <f>IFERROR(AVERAGE(INDEX(neos_benchmark!AF:AF, (ROW()-2)*$B19+2):INDEX(neos_benchmark!AF:AF, (ROW()-2)*$B19 + $B19+1)), "")</f>
        <v/>
      </c>
      <c r="AG19" t="str">
        <f>IFERROR(AVERAGE(INDEX(neos_benchmark!AG:AG, (ROW()-2)*$B19+2):INDEX(neos_benchmark!AG:AG, (ROW()-2)*$B19 + $B19+1)), "")</f>
        <v/>
      </c>
      <c r="AH19" t="str">
        <f>IFERROR(AVERAGE(INDEX(neos_benchmark!AH:AH, (ROW()-2)*$B19+2):INDEX(neos_benchmark!AH:AH, (ROW()-2)*$B19 + $B19+1)), "")</f>
        <v/>
      </c>
      <c r="AI19">
        <f>IFERROR(AVERAGE(INDEX(neos_benchmark!AI:AI, (ROW()-2)*$B19+2):INDEX(neos_benchmark!AI:AI, (ROW()-2)*$B19 + $B19+1)), "")</f>
        <v>473556.8</v>
      </c>
      <c r="AJ19">
        <f>IFERROR(AVERAGE(INDEX(neos_benchmark!AJ:AJ, (ROW()-2)*$B19+2):INDEX(neos_benchmark!AJ:AJ, (ROW()-2)*$B19 + $B19+1)), "")</f>
        <v>480631.4</v>
      </c>
      <c r="AK19" cm="1">
        <f t="array" ref="AK19">IFERROR(AVERAGE(INDEX(neos_benchmark!W:W, (ROW()-2)*$B19+2):INDEX(neos_benchmark!W:W, (ROW()-2)*$B19 + $B19+1) + INDEX(neos_benchmark!AA:AA, (ROW()-2)*$B19+2):INDEX(neos_benchmark!AA:AA, (ROW()-2)*$B19 + $B19+1)), "")</f>
        <v>0</v>
      </c>
      <c r="AL19" cm="1">
        <f t="array" ref="AL19">IFERROR(MIN(INDEX(neos_benchmark!W:W, (ROW()-2)*$B19+2):INDEX(neos_benchmark!W:W, (ROW()-2)*$B19 + $B19+1) + INDEX(neos_benchmark!AA:AA, (ROW()-2)*$B19+2):INDEX(neos_benchmark!AA:AA, (ROW()-2)*$B19 + $B19+1)), "")</f>
        <v>0</v>
      </c>
      <c r="AM19" cm="1">
        <f t="array" ref="AM19">IFERROR(MAX(INDEX(neos_benchmark!W:W, (ROW()-2)*$B19+2):INDEX(neos_benchmark!W:W, (ROW()-2)*$B19 + $B19+1) + INDEX(neos_benchmark!AA:AA, (ROW()-2)*$B19+2):INDEX(neos_benchmark!AA:AA, (ROW()-2)*$B19 + $B19+1)), "")</f>
        <v>0</v>
      </c>
      <c r="AN19" cm="1">
        <f t="array" ref="AN19">IFERROR(AVERAGE((INDEX(neos_benchmark!AJ:AJ, (ROW()-2)*$B19+2):INDEX(neos_benchmark!AJ:AJ, (ROW()-2)*$B19 + $B19+1) - INDEX(neos_benchmark!AI:AI, (ROW()-2)*$B19+2):INDEX(neos_benchmark!AI:AI, (ROW()-2)*$B19 + $B19+1)) / 1000), "")</f>
        <v>7.0746000000000011</v>
      </c>
      <c r="AO19" cm="1">
        <f t="array" ref="AO19">IFERROR(MIN((INDEX(neos_benchmark!AJ:AJ, (ROW()-2)*$B19+2):INDEX(neos_benchmark!AJ:AJ, (ROW()-2)*$B19 + $B19+1) - INDEX(neos_benchmark!AI:AI, (ROW()-2)*$B19+2):INDEX(neos_benchmark!AI:AI, (ROW()-2)*$B19 + $B19+1)) / 1000), "")</f>
        <v>2.8029999999999999</v>
      </c>
      <c r="AP19" cm="1">
        <f t="array" ref="AP19">IFERROR(MAX((INDEX(neos_benchmark!AJ:AJ, (ROW()-2)*$B19+2):INDEX(neos_benchmark!AJ:AJ, (ROW()-2)*$B19 + $B19+1) - INDEX(neos_benchmark!AI:AI, (ROW()-2)*$B19+2):INDEX(neos_benchmark!AI:AI, (ROW()-2)*$B19 + $B19+1)) / 1000), "")</f>
        <v>15.11</v>
      </c>
    </row>
    <row r="20" spans="1:42" x14ac:dyDescent="0.25">
      <c r="A20" t="str" cm="1">
        <f t="array" ref="A20">INDEX(neos_benchmark!A:A, (ROW()-2)*$B20+2)</f>
        <v>kinematic-car-lancelot</v>
      </c>
      <c r="B20">
        <f>COUNTIF(neos_benchmark!A:A, neos_benchmark!A20)</f>
        <v>10</v>
      </c>
      <c r="C20" t="str" cm="1">
        <f t="array" ref="C20">INDEX(neos_benchmark!C:C, (ROW()-2)*$B20+2)</f>
        <v/>
      </c>
      <c r="D20" t="str" cm="1">
        <f t="array" ref="D20">INDEX(neos_benchmark!D:D, (ROW()-2)*$B20+2)</f>
        <v/>
      </c>
      <c r="E20" t="str" cm="1">
        <f t="array" ref="E20">INDEX(neos_benchmark!E:E, (ROW()-2)*$B20+2)</f>
        <v>failure</v>
      </c>
      <c r="F20">
        <f>IFERROR(AVERAGE(INDEX(neos_benchmark!F:F, (ROW()-2)*$B20+2):INDEX(neos_benchmark!F:F, (ROW()-2)*$B20 + $B20+1)), "")</f>
        <v>520</v>
      </c>
      <c r="G20">
        <f>IFERROR(AVERAGE(INDEX(neos_benchmark!G:G, (ROW()-2)*$B20+2):INDEX(neos_benchmark!G:G, (ROW()-2)*$B20 + $B20+1)), "")</f>
        <v>0</v>
      </c>
      <c r="H20" t="str">
        <f>IFERROR(AVERAGE(INDEX(neos_benchmark!H:H, (ROW()-2)*$B20+2):INDEX(neos_benchmark!H:H, (ROW()-2)*$B20 + $B20+1)), "")</f>
        <v/>
      </c>
      <c r="I20" t="str">
        <f>IFERROR(AVERAGE(INDEX(neos_benchmark!I:I, (ROW()-2)*$B20+2):INDEX(neos_benchmark!I:I, (ROW()-2)*$B20 + $B20+1)), "")</f>
        <v/>
      </c>
      <c r="J20" t="str">
        <f>IFERROR(AVERAGE(INDEX(neos_benchmark!J:J, (ROW()-2)*$B20+2):INDEX(neos_benchmark!J:J, (ROW()-2)*$B20 + $B20+1)), "")</f>
        <v/>
      </c>
      <c r="K20" t="str">
        <f>IFERROR(AVERAGE(INDEX(neos_benchmark!K:K, (ROW()-2)*$B20+2):INDEX(neos_benchmark!K:K, (ROW()-2)*$B20 + $B20+1)), "")</f>
        <v/>
      </c>
      <c r="L20" t="str">
        <f>IFERROR(AVERAGE(INDEX(neos_benchmark!L:L, (ROW()-2)*$B20+2):INDEX(neos_benchmark!L:L, (ROW()-2)*$B20 + $B20+1)), "")</f>
        <v/>
      </c>
      <c r="M20" t="str">
        <f>IFERROR(AVERAGE(INDEX(neos_benchmark!M:M, (ROW()-2)*$B20+2):INDEX(neos_benchmark!M:M, (ROW()-2)*$B20 + $B20+1)), "")</f>
        <v/>
      </c>
      <c r="N20" t="str">
        <f>IFERROR(AVERAGE(INDEX(neos_benchmark!N:N, (ROW()-2)*$B20+2):INDEX(neos_benchmark!N:N, (ROW()-2)*$B20 + $B20+1)), "")</f>
        <v/>
      </c>
      <c r="O20" t="str">
        <f>IFERROR(AVERAGE(INDEX(neos_benchmark!O:O, (ROW()-2)*$B20+2):INDEX(neos_benchmark!O:O, (ROW()-2)*$B20 + $B20+1)), "")</f>
        <v/>
      </c>
      <c r="P20" t="str">
        <f>IFERROR(AVERAGE(INDEX(neos_benchmark!P:P, (ROW()-2)*$B20+2):INDEX(neos_benchmark!P:P, (ROW()-2)*$B20 + $B20+1)), "")</f>
        <v/>
      </c>
      <c r="Q20" t="str">
        <f>IFERROR(AVERAGE(INDEX(neos_benchmark!Q:Q, (ROW()-2)*$B20+2):INDEX(neos_benchmark!Q:Q, (ROW()-2)*$B20 + $B20+1)), "")</f>
        <v/>
      </c>
      <c r="R20" t="str">
        <f>IFERROR(AVERAGE(INDEX(neos_benchmark!R:R, (ROW()-2)*$B20+2):INDEX(neos_benchmark!R:R, (ROW()-2)*$B20 + $B20+1)), "")</f>
        <v/>
      </c>
      <c r="S20" t="str">
        <f>IFERROR(AVERAGE(INDEX(neos_benchmark!S:S, (ROW()-2)*$B20+2):INDEX(neos_benchmark!S:S, (ROW()-2)*$B20 + $B20+1)), "")</f>
        <v/>
      </c>
      <c r="T20" t="str">
        <f>IFERROR(AVERAGE(INDEX(neos_benchmark!T:T, (ROW()-2)*$B20+2):INDEX(neos_benchmark!T:T, (ROW()-2)*$B20 + $B20+1)), "")</f>
        <v/>
      </c>
      <c r="U20" t="str">
        <f>IFERROR(AVERAGE(INDEX(neos_benchmark!U:U, (ROW()-2)*$B20+2):INDEX(neos_benchmark!U:U, (ROW()-2)*$B20 + $B20+1)), "")</f>
        <v/>
      </c>
      <c r="V20" t="str">
        <f>IFERROR(AVERAGE(INDEX(neos_benchmark!V:V, (ROW()-2)*$B20+2):INDEX(neos_benchmark!V:V, (ROW()-2)*$B20 + $B20+1)), "")</f>
        <v/>
      </c>
      <c r="W20">
        <f>IFERROR(AVERAGE(INDEX(neos_benchmark!W:W, (ROW()-2)*$B20+2):INDEX(neos_benchmark!W:W, (ROW()-2)*$B20 + $B20+1)), "")</f>
        <v>8.7318499999999993E-2</v>
      </c>
      <c r="X20">
        <f>IFERROR(AVERAGE(INDEX(neos_benchmark!X:X, (ROW()-2)*$B20+2):INDEX(neos_benchmark!X:X, (ROW()-2)*$B20 + $B20+1)), "")</f>
        <v>2.4367599999999996E-2</v>
      </c>
      <c r="Y20">
        <f>IFERROR(AVERAGE(INDEX(neos_benchmark!Y:Y, (ROW()-2)*$B20+2):INDEX(neos_benchmark!Y:Y, (ROW()-2)*$B20 + $B20+1)), "")</f>
        <v>6.706949999999999E-2</v>
      </c>
      <c r="Z20">
        <f>IFERROR(AVERAGE(INDEX(neos_benchmark!Z:Z, (ROW()-2)*$B20+2):INDEX(neos_benchmark!Z:Z, (ROW()-2)*$B20 + $B20+1)), "")</f>
        <v>9.1437100000000007E-2</v>
      </c>
      <c r="AA20">
        <f>IFERROR(AVERAGE(INDEX(neos_benchmark!AA:AA, (ROW()-2)*$B20+2):INDEX(neos_benchmark!AA:AA, (ROW()-2)*$B20 + $B20+1)), "")</f>
        <v>8.7277000000000014E-3</v>
      </c>
      <c r="AB20">
        <f>IFERROR(AVERAGE(INDEX(neos_benchmark!AB:AB, (ROW()-2)*$B20+2):INDEX(neos_benchmark!AB:AB, (ROW()-2)*$B20 + $B20+1)), "")</f>
        <v>3.0022E-3</v>
      </c>
      <c r="AC20">
        <f>IFERROR(AVERAGE(INDEX(neos_benchmark!AC:AC, (ROW()-2)*$B20+2):INDEX(neos_benchmark!AC:AC, (ROW()-2)*$B20 + $B20+1)), "")</f>
        <v>3.2590999999999996E-3</v>
      </c>
      <c r="AD20">
        <f>IFERROR(AVERAGE(INDEX(neos_benchmark!AD:AD, (ROW()-2)*$B20+2):INDEX(neos_benchmark!AD:AD, (ROW()-2)*$B20 + $B20+1)), "")</f>
        <v>6.2613E-3</v>
      </c>
      <c r="AE20">
        <f>IFERROR(AVERAGE(INDEX(neos_benchmark!AE:AE, (ROW()-2)*$B20+2):INDEX(neos_benchmark!AE:AE, (ROW()-2)*$B20 + $B20+1)), "")</f>
        <v>16623</v>
      </c>
      <c r="AF20">
        <f>IFERROR(AVERAGE(INDEX(neos_benchmark!AF:AF, (ROW()-2)*$B20+2):INDEX(neos_benchmark!AF:AF, (ROW()-2)*$B20 + $B20+1)), "")</f>
        <v>391</v>
      </c>
      <c r="AG20">
        <f>IFERROR(AVERAGE(INDEX(neos_benchmark!AG:AG, (ROW()-2)*$B20+2):INDEX(neos_benchmark!AG:AG, (ROW()-2)*$B20 + $B20+1)), "")</f>
        <v>16624</v>
      </c>
      <c r="AH20">
        <f>IFERROR(AVERAGE(INDEX(neos_benchmark!AH:AH, (ROW()-2)*$B20+2):INDEX(neos_benchmark!AH:AH, (ROW()-2)*$B20 + $B20+1)), "")</f>
        <v>341</v>
      </c>
      <c r="AI20">
        <f>IFERROR(AVERAGE(INDEX(neos_benchmark!AI:AI, (ROW()-2)*$B20+2):INDEX(neos_benchmark!AI:AI, (ROW()-2)*$B20 + $B20+1)), "")</f>
        <v>611715.4</v>
      </c>
      <c r="AJ20">
        <f>IFERROR(AVERAGE(INDEX(neos_benchmark!AJ:AJ, (ROW()-2)*$B20+2):INDEX(neos_benchmark!AJ:AJ, (ROW()-2)*$B20 + $B20+1)), "")</f>
        <v>637523.6</v>
      </c>
      <c r="AK20" cm="1">
        <f t="array" ref="AK20">IFERROR(AVERAGE(INDEX(neos_benchmark!W:W, (ROW()-2)*$B20+2):INDEX(neos_benchmark!W:W, (ROW()-2)*$B20 + $B20+1) + INDEX(neos_benchmark!AA:AA, (ROW()-2)*$B20+2):INDEX(neos_benchmark!AA:AA, (ROW()-2)*$B20 + $B20+1)), "")</f>
        <v>9.6046199999999998E-2</v>
      </c>
      <c r="AL20" cm="1">
        <f t="array" ref="AL20">IFERROR(MIN(INDEX(neos_benchmark!W:W, (ROW()-2)*$B20+2):INDEX(neos_benchmark!W:W, (ROW()-2)*$B20 + $B20+1) + INDEX(neos_benchmark!AA:AA, (ROW()-2)*$B20+2):INDEX(neos_benchmark!AA:AA, (ROW()-2)*$B20 + $B20+1)), "")</f>
        <v>7.5784000000000004E-2</v>
      </c>
      <c r="AM20" cm="1">
        <f t="array" ref="AM20">IFERROR(MAX(INDEX(neos_benchmark!W:W, (ROW()-2)*$B20+2):INDEX(neos_benchmark!W:W, (ROW()-2)*$B20 + $B20+1) + INDEX(neos_benchmark!AA:AA, (ROW()-2)*$B20+2):INDEX(neos_benchmark!AA:AA, (ROW()-2)*$B20 + $B20+1)), "")</f>
        <v>0.13386200000000001</v>
      </c>
      <c r="AN20" cm="1">
        <f t="array" ref="AN20">IFERROR(AVERAGE((INDEX(neos_benchmark!AJ:AJ, (ROW()-2)*$B20+2):INDEX(neos_benchmark!AJ:AJ, (ROW()-2)*$B20 + $B20+1) - INDEX(neos_benchmark!AI:AI, (ROW()-2)*$B20+2):INDEX(neos_benchmark!AI:AI, (ROW()-2)*$B20 + $B20+1)) / 1000), "")</f>
        <v>25.808199999999999</v>
      </c>
      <c r="AO20" cm="1">
        <f t="array" ref="AO20">IFERROR(MIN((INDEX(neos_benchmark!AJ:AJ, (ROW()-2)*$B20+2):INDEX(neos_benchmark!AJ:AJ, (ROW()-2)*$B20 + $B20+1) - INDEX(neos_benchmark!AI:AI, (ROW()-2)*$B20+2):INDEX(neos_benchmark!AI:AI, (ROW()-2)*$B20 + $B20+1)) / 1000), "")</f>
        <v>3.532</v>
      </c>
      <c r="AP20" cm="1">
        <f t="array" ref="AP20">IFERROR(MAX((INDEX(neos_benchmark!AJ:AJ, (ROW()-2)*$B20+2):INDEX(neos_benchmark!AJ:AJ, (ROW()-2)*$B20 + $B20+1) - INDEX(neos_benchmark!AI:AI, (ROW()-2)*$B20+2):INDEX(neos_benchmark!AI:AI, (ROW()-2)*$B20 + $B20+1)) / 1000), "")</f>
        <v>113.92700000000001</v>
      </c>
    </row>
    <row r="21" spans="1:42" x14ac:dyDescent="0.25">
      <c r="A21" t="str" cm="1">
        <f t="array" ref="A21">INDEX(neos_benchmark!A:A, (ROW()-2)*$B21+2)</f>
        <v>kinematic-car-loqo</v>
      </c>
      <c r="B21">
        <f>COUNTIF(neos_benchmark!A:A, neos_benchmark!A21)</f>
        <v>10</v>
      </c>
      <c r="C21" t="str" cm="1">
        <f t="array" ref="C21">INDEX(neos_benchmark!C:C, (ROW()-2)*$B21+2)</f>
        <v/>
      </c>
      <c r="D21" t="str" cm="1">
        <f t="array" ref="D21">INDEX(neos_benchmark!D:D, (ROW()-2)*$B21+2)</f>
        <v/>
      </c>
      <c r="E21" t="str" cm="1">
        <f t="array" ref="E21">INDEX(neos_benchmark!E:E, (ROW()-2)*$B21+2)</f>
        <v>solved</v>
      </c>
      <c r="F21">
        <f>IFERROR(AVERAGE(INDEX(neos_benchmark!F:F, (ROW()-2)*$B21+2):INDEX(neos_benchmark!F:F, (ROW()-2)*$B21 + $B21+1)), "")</f>
        <v>0</v>
      </c>
      <c r="G21">
        <f>IFERROR(AVERAGE(INDEX(neos_benchmark!G:G, (ROW()-2)*$B21+2):INDEX(neos_benchmark!G:G, (ROW()-2)*$B21 + $B21+1)), "")</f>
        <v>1.9589704335602907</v>
      </c>
      <c r="H21" t="str">
        <f>IFERROR(AVERAGE(INDEX(neos_benchmark!H:H, (ROW()-2)*$B21+2):INDEX(neos_benchmark!H:H, (ROW()-2)*$B21 + $B21+1)), "")</f>
        <v/>
      </c>
      <c r="I21" t="str">
        <f>IFERROR(AVERAGE(INDEX(neos_benchmark!I:I, (ROW()-2)*$B21+2):INDEX(neos_benchmark!I:I, (ROW()-2)*$B21 + $B21+1)), "")</f>
        <v/>
      </c>
      <c r="J21" t="str">
        <f>IFERROR(AVERAGE(INDEX(neos_benchmark!J:J, (ROW()-2)*$B21+2):INDEX(neos_benchmark!J:J, (ROW()-2)*$B21 + $B21+1)), "")</f>
        <v/>
      </c>
      <c r="K21" t="str">
        <f>IFERROR(AVERAGE(INDEX(neos_benchmark!K:K, (ROW()-2)*$B21+2):INDEX(neos_benchmark!K:K, (ROW()-2)*$B21 + $B21+1)), "")</f>
        <v/>
      </c>
      <c r="L21" t="str">
        <f>IFERROR(AVERAGE(INDEX(neos_benchmark!L:L, (ROW()-2)*$B21+2):INDEX(neos_benchmark!L:L, (ROW()-2)*$B21 + $B21+1)), "")</f>
        <v/>
      </c>
      <c r="M21" t="str">
        <f>IFERROR(AVERAGE(INDEX(neos_benchmark!M:M, (ROW()-2)*$B21+2):INDEX(neos_benchmark!M:M, (ROW()-2)*$B21 + $B21+1)), "")</f>
        <v/>
      </c>
      <c r="N21" t="str">
        <f>IFERROR(AVERAGE(INDEX(neos_benchmark!N:N, (ROW()-2)*$B21+2):INDEX(neos_benchmark!N:N, (ROW()-2)*$B21 + $B21+1)), "")</f>
        <v/>
      </c>
      <c r="O21" t="str">
        <f>IFERROR(AVERAGE(INDEX(neos_benchmark!O:O, (ROW()-2)*$B21+2):INDEX(neos_benchmark!O:O, (ROW()-2)*$B21 + $B21+1)), "")</f>
        <v/>
      </c>
      <c r="P21" t="str">
        <f>IFERROR(AVERAGE(INDEX(neos_benchmark!P:P, (ROW()-2)*$B21+2):INDEX(neos_benchmark!P:P, (ROW()-2)*$B21 + $B21+1)), "")</f>
        <v/>
      </c>
      <c r="Q21" t="str">
        <f>IFERROR(AVERAGE(INDEX(neos_benchmark!Q:Q, (ROW()-2)*$B21+2):INDEX(neos_benchmark!Q:Q, (ROW()-2)*$B21 + $B21+1)), "")</f>
        <v/>
      </c>
      <c r="R21" t="str">
        <f>IFERROR(AVERAGE(INDEX(neos_benchmark!R:R, (ROW()-2)*$B21+2):INDEX(neos_benchmark!R:R, (ROW()-2)*$B21 + $B21+1)), "")</f>
        <v/>
      </c>
      <c r="S21" t="str">
        <f>IFERROR(AVERAGE(INDEX(neos_benchmark!S:S, (ROW()-2)*$B21+2):INDEX(neos_benchmark!S:S, (ROW()-2)*$B21 + $B21+1)), "")</f>
        <v/>
      </c>
      <c r="T21" t="str">
        <f>IFERROR(AVERAGE(INDEX(neos_benchmark!T:T, (ROW()-2)*$B21+2):INDEX(neos_benchmark!T:T, (ROW()-2)*$B21 + $B21+1)), "")</f>
        <v/>
      </c>
      <c r="U21" t="str">
        <f>IFERROR(AVERAGE(INDEX(neos_benchmark!U:U, (ROW()-2)*$B21+2):INDEX(neos_benchmark!U:U, (ROW()-2)*$B21 + $B21+1)), "")</f>
        <v/>
      </c>
      <c r="V21" t="str">
        <f>IFERROR(AVERAGE(INDEX(neos_benchmark!V:V, (ROW()-2)*$B21+2):INDEX(neos_benchmark!V:V, (ROW()-2)*$B21 + $B21+1)), "")</f>
        <v/>
      </c>
      <c r="W21">
        <f>IFERROR(AVERAGE(INDEX(neos_benchmark!W:W, (ROW()-2)*$B21+2):INDEX(neos_benchmark!W:W, (ROW()-2)*$B21 + $B21+1)), "")</f>
        <v>9.8906999999999995E-2</v>
      </c>
      <c r="X21">
        <f>IFERROR(AVERAGE(INDEX(neos_benchmark!X:X, (ROW()-2)*$B21+2):INDEX(neos_benchmark!X:X, (ROW()-2)*$B21 + $B21+1)), "")</f>
        <v>2.43605E-2</v>
      </c>
      <c r="Y21">
        <f>IFERROR(AVERAGE(INDEX(neos_benchmark!Y:Y, (ROW()-2)*$B21+2):INDEX(neos_benchmark!Y:Y, (ROW()-2)*$B21 + $B21+1)), "")</f>
        <v>7.8994800000000004E-2</v>
      </c>
      <c r="Z21">
        <f>IFERROR(AVERAGE(INDEX(neos_benchmark!Z:Z, (ROW()-2)*$B21+2):INDEX(neos_benchmark!Z:Z, (ROW()-2)*$B21 + $B21+1)), "")</f>
        <v>0.1033553</v>
      </c>
      <c r="AA21">
        <f>IFERROR(AVERAGE(INDEX(neos_benchmark!AA:AA, (ROW()-2)*$B21+2):INDEX(neos_benchmark!AA:AA, (ROW()-2)*$B21 + $B21+1)), "")</f>
        <v>0.1104079</v>
      </c>
      <c r="AB21">
        <f>IFERROR(AVERAGE(INDEX(neos_benchmark!AB:AB, (ROW()-2)*$B21+2):INDEX(neos_benchmark!AB:AB, (ROW()-2)*$B21 + $B21+1)), "")</f>
        <v>4.1637000000000002E-3</v>
      </c>
      <c r="AC21">
        <f>IFERROR(AVERAGE(INDEX(neos_benchmark!AC:AC, (ROW()-2)*$B21+2):INDEX(neos_benchmark!AC:AC, (ROW()-2)*$B21 + $B21+1)), "")</f>
        <v>0.10279439999999999</v>
      </c>
      <c r="AD21">
        <f>IFERROR(AVERAGE(INDEX(neos_benchmark!AD:AD, (ROW()-2)*$B21+2):INDEX(neos_benchmark!AD:AD, (ROW()-2)*$B21 + $B21+1)), "")</f>
        <v>0.10695810000000001</v>
      </c>
      <c r="AE21">
        <f>IFERROR(AVERAGE(INDEX(neos_benchmark!AE:AE, (ROW()-2)*$B21+2):INDEX(neos_benchmark!AE:AE, (ROW()-2)*$B21 + $B21+1)), "")</f>
        <v>16623</v>
      </c>
      <c r="AF21">
        <f>IFERROR(AVERAGE(INDEX(neos_benchmark!AF:AF, (ROW()-2)*$B21+2):INDEX(neos_benchmark!AF:AF, (ROW()-2)*$B21 + $B21+1)), "")</f>
        <v>391</v>
      </c>
      <c r="AG21">
        <f>IFERROR(AVERAGE(INDEX(neos_benchmark!AG:AG, (ROW()-2)*$B21+2):INDEX(neos_benchmark!AG:AG, (ROW()-2)*$B21 + $B21+1)), "")</f>
        <v>16624</v>
      </c>
      <c r="AH21">
        <f>IFERROR(AVERAGE(INDEX(neos_benchmark!AH:AH, (ROW()-2)*$B21+2):INDEX(neos_benchmark!AH:AH, (ROW()-2)*$B21 + $B21+1)), "")</f>
        <v>341</v>
      </c>
      <c r="AI21">
        <f>IFERROR(AVERAGE(INDEX(neos_benchmark!AI:AI, (ROW()-2)*$B21+2):INDEX(neos_benchmark!AI:AI, (ROW()-2)*$B21 + $B21+1)), "")</f>
        <v>576444</v>
      </c>
      <c r="AJ21">
        <f>IFERROR(AVERAGE(INDEX(neos_benchmark!AJ:AJ, (ROW()-2)*$B21+2):INDEX(neos_benchmark!AJ:AJ, (ROW()-2)*$B21 + $B21+1)), "")</f>
        <v>586422</v>
      </c>
      <c r="AK21" cm="1">
        <f t="array" ref="AK21">IFERROR(AVERAGE(INDEX(neos_benchmark!W:W, (ROW()-2)*$B21+2):INDEX(neos_benchmark!W:W, (ROW()-2)*$B21 + $B21+1) + INDEX(neos_benchmark!AA:AA, (ROW()-2)*$B21+2):INDEX(neos_benchmark!AA:AA, (ROW()-2)*$B21 + $B21+1)), "")</f>
        <v>0.2093149</v>
      </c>
      <c r="AL21" cm="1">
        <f t="array" ref="AL21">IFERROR(MIN(INDEX(neos_benchmark!W:W, (ROW()-2)*$B21+2):INDEX(neos_benchmark!W:W, (ROW()-2)*$B21 + $B21+1) + INDEX(neos_benchmark!AA:AA, (ROW()-2)*$B21+2):INDEX(neos_benchmark!AA:AA, (ROW()-2)*$B21 + $B21+1)), "")</f>
        <v>0.135462</v>
      </c>
      <c r="AM21" cm="1">
        <f t="array" ref="AM21">IFERROR(MAX(INDEX(neos_benchmark!W:W, (ROW()-2)*$B21+2):INDEX(neos_benchmark!W:W, (ROW()-2)*$B21 + $B21+1) + INDEX(neos_benchmark!AA:AA, (ROW()-2)*$B21+2):INDEX(neos_benchmark!AA:AA, (ROW()-2)*$B21 + $B21+1)), "")</f>
        <v>0.270679</v>
      </c>
      <c r="AN21" cm="1">
        <f t="array" ref="AN21">IFERROR(AVERAGE((INDEX(neos_benchmark!AJ:AJ, (ROW()-2)*$B21+2):INDEX(neos_benchmark!AJ:AJ, (ROW()-2)*$B21 + $B21+1) - INDEX(neos_benchmark!AI:AI, (ROW()-2)*$B21+2):INDEX(neos_benchmark!AI:AI, (ROW()-2)*$B21 + $B21+1)) / 1000), "")</f>
        <v>9.9779999999999998</v>
      </c>
      <c r="AO21" cm="1">
        <f t="array" ref="AO21">IFERROR(MIN((INDEX(neos_benchmark!AJ:AJ, (ROW()-2)*$B21+2):INDEX(neos_benchmark!AJ:AJ, (ROW()-2)*$B21 + $B21+1) - INDEX(neos_benchmark!AI:AI, (ROW()-2)*$B21+2):INDEX(neos_benchmark!AI:AI, (ROW()-2)*$B21 + $B21+1)) / 1000), "")</f>
        <v>4.34</v>
      </c>
      <c r="AP21" cm="1">
        <f t="array" ref="AP21">IFERROR(MAX((INDEX(neos_benchmark!AJ:AJ, (ROW()-2)*$B21+2):INDEX(neos_benchmark!AJ:AJ, (ROW()-2)*$B21 + $B21+1) - INDEX(neos_benchmark!AI:AI, (ROW()-2)*$B21+2):INDEX(neos_benchmark!AI:AI, (ROW()-2)*$B21 + $B21+1)) / 1000), "")</f>
        <v>28.718</v>
      </c>
    </row>
    <row r="22" spans="1:42" x14ac:dyDescent="0.25">
      <c r="A22" t="str" cm="1">
        <f t="array" ref="A22">INDEX(neos_benchmark!A:A, (ROW()-2)*$B22+2)</f>
        <v>kinematic-car-minos</v>
      </c>
      <c r="B22">
        <f>COUNTIF(neos_benchmark!A:A, neos_benchmark!A22)</f>
        <v>10</v>
      </c>
      <c r="C22" t="str" cm="1">
        <f t="array" ref="C22">INDEX(neos_benchmark!C:C, (ROW()-2)*$B22+2)</f>
        <v/>
      </c>
      <c r="D22" t="str" cm="1">
        <f t="array" ref="D22">INDEX(neos_benchmark!D:D, (ROW()-2)*$B22+2)</f>
        <v/>
      </c>
      <c r="E22" t="str" cm="1">
        <f t="array" ref="E22">INDEX(neos_benchmark!E:E, (ROW()-2)*$B22+2)</f>
        <v>infeasible</v>
      </c>
      <c r="F22">
        <f>IFERROR(AVERAGE(INDEX(neos_benchmark!F:F, (ROW()-2)*$B22+2):INDEX(neos_benchmark!F:F, (ROW()-2)*$B22 + $B22+1)), "")</f>
        <v>200</v>
      </c>
      <c r="G22">
        <f>IFERROR(AVERAGE(INDEX(neos_benchmark!G:G, (ROW()-2)*$B22+2):INDEX(neos_benchmark!G:G, (ROW()-2)*$B22 + $B22+1)), "")</f>
        <v>0</v>
      </c>
      <c r="H22" t="str">
        <f>IFERROR(AVERAGE(INDEX(neos_benchmark!H:H, (ROW()-2)*$B22+2):INDEX(neos_benchmark!H:H, (ROW()-2)*$B22 + $B22+1)), "")</f>
        <v/>
      </c>
      <c r="I22" t="str">
        <f>IFERROR(AVERAGE(INDEX(neos_benchmark!I:I, (ROW()-2)*$B22+2):INDEX(neos_benchmark!I:I, (ROW()-2)*$B22 + $B22+1)), "")</f>
        <v/>
      </c>
      <c r="J22" t="str">
        <f>IFERROR(AVERAGE(INDEX(neos_benchmark!J:J, (ROW()-2)*$B22+2):INDEX(neos_benchmark!J:J, (ROW()-2)*$B22 + $B22+1)), "")</f>
        <v/>
      </c>
      <c r="K22" t="str">
        <f>IFERROR(AVERAGE(INDEX(neos_benchmark!K:K, (ROW()-2)*$B22+2):INDEX(neos_benchmark!K:K, (ROW()-2)*$B22 + $B22+1)), "")</f>
        <v/>
      </c>
      <c r="L22" t="str">
        <f>IFERROR(AVERAGE(INDEX(neos_benchmark!L:L, (ROW()-2)*$B22+2):INDEX(neos_benchmark!L:L, (ROW()-2)*$B22 + $B22+1)), "")</f>
        <v/>
      </c>
      <c r="M22" t="str">
        <f>IFERROR(AVERAGE(INDEX(neos_benchmark!M:M, (ROW()-2)*$B22+2):INDEX(neos_benchmark!M:M, (ROW()-2)*$B22 + $B22+1)), "")</f>
        <v/>
      </c>
      <c r="N22" t="str">
        <f>IFERROR(AVERAGE(INDEX(neos_benchmark!N:N, (ROW()-2)*$B22+2):INDEX(neos_benchmark!N:N, (ROW()-2)*$B22 + $B22+1)), "")</f>
        <v/>
      </c>
      <c r="O22" t="str">
        <f>IFERROR(AVERAGE(INDEX(neos_benchmark!O:O, (ROW()-2)*$B22+2):INDEX(neos_benchmark!O:O, (ROW()-2)*$B22 + $B22+1)), "")</f>
        <v/>
      </c>
      <c r="P22" t="str">
        <f>IFERROR(AVERAGE(INDEX(neos_benchmark!P:P, (ROW()-2)*$B22+2):INDEX(neos_benchmark!P:P, (ROW()-2)*$B22 + $B22+1)), "")</f>
        <v/>
      </c>
      <c r="Q22" t="str">
        <f>IFERROR(AVERAGE(INDEX(neos_benchmark!Q:Q, (ROW()-2)*$B22+2):INDEX(neos_benchmark!Q:Q, (ROW()-2)*$B22 + $B22+1)), "")</f>
        <v/>
      </c>
      <c r="R22" t="str">
        <f>IFERROR(AVERAGE(INDEX(neos_benchmark!R:R, (ROW()-2)*$B22+2):INDEX(neos_benchmark!R:R, (ROW()-2)*$B22 + $B22+1)), "")</f>
        <v/>
      </c>
      <c r="S22" t="str">
        <f>IFERROR(AVERAGE(INDEX(neos_benchmark!S:S, (ROW()-2)*$B22+2):INDEX(neos_benchmark!S:S, (ROW()-2)*$B22 + $B22+1)), "")</f>
        <v/>
      </c>
      <c r="T22" t="str">
        <f>IFERROR(AVERAGE(INDEX(neos_benchmark!T:T, (ROW()-2)*$B22+2):INDEX(neos_benchmark!T:T, (ROW()-2)*$B22 + $B22+1)), "")</f>
        <v/>
      </c>
      <c r="U22" t="str">
        <f>IFERROR(AVERAGE(INDEX(neos_benchmark!U:U, (ROW()-2)*$B22+2):INDEX(neos_benchmark!U:U, (ROW()-2)*$B22 + $B22+1)), "")</f>
        <v/>
      </c>
      <c r="V22" t="str">
        <f>IFERROR(AVERAGE(INDEX(neos_benchmark!V:V, (ROW()-2)*$B22+2):INDEX(neos_benchmark!V:V, (ROW()-2)*$B22 + $B22+1)), "")</f>
        <v/>
      </c>
      <c r="W22">
        <f>IFERROR(AVERAGE(INDEX(neos_benchmark!W:W, (ROW()-2)*$B22+2):INDEX(neos_benchmark!W:W, (ROW()-2)*$B22 + $B22+1)), "")</f>
        <v>8.7222900000000006E-2</v>
      </c>
      <c r="X22">
        <f>IFERROR(AVERAGE(INDEX(neos_benchmark!X:X, (ROW()-2)*$B22+2):INDEX(neos_benchmark!X:X, (ROW()-2)*$B22 + $B22+1)), "")</f>
        <v>2.4032400000000002E-2</v>
      </c>
      <c r="Y22">
        <f>IFERROR(AVERAGE(INDEX(neos_benchmark!Y:Y, (ROW()-2)*$B22+2):INDEX(neos_benchmark!Y:Y, (ROW()-2)*$B22 + $B22+1)), "")</f>
        <v>6.6964999999999997E-2</v>
      </c>
      <c r="Z22">
        <f>IFERROR(AVERAGE(INDEX(neos_benchmark!Z:Z, (ROW()-2)*$B22+2):INDEX(neos_benchmark!Z:Z, (ROW()-2)*$B22 + $B22+1)), "")</f>
        <v>9.0997399999999978E-2</v>
      </c>
      <c r="AA22">
        <f>IFERROR(AVERAGE(INDEX(neos_benchmark!AA:AA, (ROW()-2)*$B22+2):INDEX(neos_benchmark!AA:AA, (ROW()-2)*$B22 + $B22+1)), "")</f>
        <v>2.3014799999999995E-2</v>
      </c>
      <c r="AB22">
        <f>IFERROR(AVERAGE(INDEX(neos_benchmark!AB:AB, (ROW()-2)*$B22+2):INDEX(neos_benchmark!AB:AB, (ROW()-2)*$B22 + $B22+1)), "")</f>
        <v>2.1915999999999997E-3</v>
      </c>
      <c r="AC22">
        <f>IFERROR(AVERAGE(INDEX(neos_benchmark!AC:AC, (ROW()-2)*$B22+2):INDEX(neos_benchmark!AC:AC, (ROW()-2)*$B22 + $B22+1)), "")</f>
        <v>1.9740200000000003E-2</v>
      </c>
      <c r="AD22">
        <f>IFERROR(AVERAGE(INDEX(neos_benchmark!AD:AD, (ROW()-2)*$B22+2):INDEX(neos_benchmark!AD:AD, (ROW()-2)*$B22 + $B22+1)), "")</f>
        <v>2.1931800000000001E-2</v>
      </c>
      <c r="AE22">
        <f>IFERROR(AVERAGE(INDEX(neos_benchmark!AE:AE, (ROW()-2)*$B22+2):INDEX(neos_benchmark!AE:AE, (ROW()-2)*$B22 + $B22+1)), "")</f>
        <v>16623</v>
      </c>
      <c r="AF22">
        <f>IFERROR(AVERAGE(INDEX(neos_benchmark!AF:AF, (ROW()-2)*$B22+2):INDEX(neos_benchmark!AF:AF, (ROW()-2)*$B22 + $B22+1)), "")</f>
        <v>391</v>
      </c>
      <c r="AG22">
        <f>IFERROR(AVERAGE(INDEX(neos_benchmark!AG:AG, (ROW()-2)*$B22+2):INDEX(neos_benchmark!AG:AG, (ROW()-2)*$B22 + $B22+1)), "")</f>
        <v>16624</v>
      </c>
      <c r="AH22">
        <f>IFERROR(AVERAGE(INDEX(neos_benchmark!AH:AH, (ROW()-2)*$B22+2):INDEX(neos_benchmark!AH:AH, (ROW()-2)*$B22 + $B22+1)), "")</f>
        <v>341</v>
      </c>
      <c r="AI22">
        <f>IFERROR(AVERAGE(INDEX(neos_benchmark!AI:AI, (ROW()-2)*$B22+2):INDEX(neos_benchmark!AI:AI, (ROW()-2)*$B22 + $B22+1)), "")</f>
        <v>813258.8</v>
      </c>
      <c r="AJ22">
        <f>IFERROR(AVERAGE(INDEX(neos_benchmark!AJ:AJ, (ROW()-2)*$B22+2):INDEX(neos_benchmark!AJ:AJ, (ROW()-2)*$B22 + $B22+1)), "")</f>
        <v>898532.4</v>
      </c>
      <c r="AK22" cm="1">
        <f t="array" ref="AK22">IFERROR(AVERAGE(INDEX(neos_benchmark!W:W, (ROW()-2)*$B22+2):INDEX(neos_benchmark!W:W, (ROW()-2)*$B22 + $B22+1) + INDEX(neos_benchmark!AA:AA, (ROW()-2)*$B22+2):INDEX(neos_benchmark!AA:AA, (ROW()-2)*$B22 + $B22+1)), "")</f>
        <v>0.11023769999999999</v>
      </c>
      <c r="AL22" cm="1">
        <f t="array" ref="AL22">IFERROR(MIN(INDEX(neos_benchmark!W:W, (ROW()-2)*$B22+2):INDEX(neos_benchmark!W:W, (ROW()-2)*$B22 + $B22+1) + INDEX(neos_benchmark!AA:AA, (ROW()-2)*$B22+2):INDEX(neos_benchmark!AA:AA, (ROW()-2)*$B22 + $B22+1)), "")</f>
        <v>9.3435000000000004E-2</v>
      </c>
      <c r="AM22" cm="1">
        <f t="array" ref="AM22">IFERROR(MAX(INDEX(neos_benchmark!W:W, (ROW()-2)*$B22+2):INDEX(neos_benchmark!W:W, (ROW()-2)*$B22 + $B22+1) + INDEX(neos_benchmark!AA:AA, (ROW()-2)*$B22+2):INDEX(neos_benchmark!AA:AA, (ROW()-2)*$B22 + $B22+1)), "")</f>
        <v>0.12802000000000002</v>
      </c>
      <c r="AN22" cm="1">
        <f t="array" ref="AN22">IFERROR(AVERAGE((INDEX(neos_benchmark!AJ:AJ, (ROW()-2)*$B22+2):INDEX(neos_benchmark!AJ:AJ, (ROW()-2)*$B22 + $B22+1) - INDEX(neos_benchmark!AI:AI, (ROW()-2)*$B22+2):INDEX(neos_benchmark!AI:AI, (ROW()-2)*$B22 + $B22+1)) / 1000), "")</f>
        <v>85.273600000000002</v>
      </c>
      <c r="AO22" cm="1">
        <f t="array" ref="AO22">IFERROR(MIN((INDEX(neos_benchmark!AJ:AJ, (ROW()-2)*$B22+2):INDEX(neos_benchmark!AJ:AJ, (ROW()-2)*$B22 + $B22+1) - INDEX(neos_benchmark!AI:AI, (ROW()-2)*$B22+2):INDEX(neos_benchmark!AI:AI, (ROW()-2)*$B22 + $B22+1)) / 1000), "")</f>
        <v>3.8570000000000002</v>
      </c>
      <c r="AP22" cm="1">
        <f t="array" ref="AP22">IFERROR(MAX((INDEX(neos_benchmark!AJ:AJ, (ROW()-2)*$B22+2):INDEX(neos_benchmark!AJ:AJ, (ROW()-2)*$B22 + $B22+1) - INDEX(neos_benchmark!AI:AI, (ROW()-2)*$B22+2):INDEX(neos_benchmark!AI:AI, (ROW()-2)*$B22 + $B22+1)) / 1000), "")</f>
        <v>208.42599999999999</v>
      </c>
    </row>
    <row r="23" spans="1:42" x14ac:dyDescent="0.25">
      <c r="A23" t="str" cm="1">
        <f t="array" ref="A23">INDEX(neos_benchmark!A:A, (ROW()-2)*$B23+2)</f>
        <v>kinematic-car-snopt</v>
      </c>
      <c r="B23">
        <f>COUNTIF(neos_benchmark!A:A, neos_benchmark!A23)</f>
        <v>10</v>
      </c>
      <c r="C23" t="str" cm="1">
        <f t="array" ref="C23">INDEX(neos_benchmark!C:C, (ROW()-2)*$B23+2)</f>
        <v>SNOPT</v>
      </c>
      <c r="D23" t="str" cm="1">
        <f t="array" ref="D23">INDEX(neos_benchmark!D:D, (ROW()-2)*$B23+2)</f>
        <v>7.6.1</v>
      </c>
      <c r="E23" t="str" cm="1">
        <f t="array" ref="E23">INDEX(neos_benchmark!E:E, (ROW()-2)*$B23+2)</f>
        <v>infeasible</v>
      </c>
      <c r="F23">
        <f>IFERROR(AVERAGE(INDEX(neos_benchmark!F:F, (ROW()-2)*$B23+2):INDEX(neos_benchmark!F:F, (ROW()-2)*$B23 + $B23+1)), "")</f>
        <v>204</v>
      </c>
      <c r="G23">
        <f>IFERROR(AVERAGE(INDEX(neos_benchmark!G:G, (ROW()-2)*$B23+2):INDEX(neos_benchmark!G:G, (ROW()-2)*$B23 + $B23+1)), "")</f>
        <v>0</v>
      </c>
      <c r="H23" t="str">
        <f>IFERROR(AVERAGE(INDEX(neos_benchmark!H:H, (ROW()-2)*$B23+2):INDEX(neos_benchmark!H:H, (ROW()-2)*$B23 + $B23+1)), "")</f>
        <v/>
      </c>
      <c r="I23" t="str">
        <f>IFERROR(AVERAGE(INDEX(neos_benchmark!I:I, (ROW()-2)*$B23+2):INDEX(neos_benchmark!I:I, (ROW()-2)*$B23 + $B23+1)), "")</f>
        <v/>
      </c>
      <c r="J23" t="str">
        <f>IFERROR(AVERAGE(INDEX(neos_benchmark!J:J, (ROW()-2)*$B23+2):INDEX(neos_benchmark!J:J, (ROW()-2)*$B23 + $B23+1)), "")</f>
        <v/>
      </c>
      <c r="K23" t="str">
        <f>IFERROR(AVERAGE(INDEX(neos_benchmark!K:K, (ROW()-2)*$B23+2):INDEX(neos_benchmark!K:K, (ROW()-2)*$B23 + $B23+1)), "")</f>
        <v/>
      </c>
      <c r="L23" t="str">
        <f>IFERROR(AVERAGE(INDEX(neos_benchmark!L:L, (ROW()-2)*$B23+2):INDEX(neos_benchmark!L:L, (ROW()-2)*$B23 + $B23+1)), "")</f>
        <v/>
      </c>
      <c r="M23" t="str">
        <f>IFERROR(AVERAGE(INDEX(neos_benchmark!M:M, (ROW()-2)*$B23+2):INDEX(neos_benchmark!M:M, (ROW()-2)*$B23 + $B23+1)), "")</f>
        <v/>
      </c>
      <c r="N23" t="str">
        <f>IFERROR(AVERAGE(INDEX(neos_benchmark!N:N, (ROW()-2)*$B23+2):INDEX(neos_benchmark!N:N, (ROW()-2)*$B23 + $B23+1)), "")</f>
        <v/>
      </c>
      <c r="O23" t="str">
        <f>IFERROR(AVERAGE(INDEX(neos_benchmark!O:O, (ROW()-2)*$B23+2):INDEX(neos_benchmark!O:O, (ROW()-2)*$B23 + $B23+1)), "")</f>
        <v/>
      </c>
      <c r="P23" t="str">
        <f>IFERROR(AVERAGE(INDEX(neos_benchmark!P:P, (ROW()-2)*$B23+2):INDEX(neos_benchmark!P:P, (ROW()-2)*$B23 + $B23+1)), "")</f>
        <v/>
      </c>
      <c r="Q23" t="str">
        <f>IFERROR(AVERAGE(INDEX(neos_benchmark!Q:Q, (ROW()-2)*$B23+2):INDEX(neos_benchmark!Q:Q, (ROW()-2)*$B23 + $B23+1)), "")</f>
        <v/>
      </c>
      <c r="R23" t="str">
        <f>IFERROR(AVERAGE(INDEX(neos_benchmark!R:R, (ROW()-2)*$B23+2):INDEX(neos_benchmark!R:R, (ROW()-2)*$B23 + $B23+1)), "")</f>
        <v/>
      </c>
      <c r="S23" t="str">
        <f>IFERROR(AVERAGE(INDEX(neos_benchmark!S:S, (ROW()-2)*$B23+2):INDEX(neos_benchmark!S:S, (ROW()-2)*$B23 + $B23+1)), "")</f>
        <v/>
      </c>
      <c r="T23" t="str">
        <f>IFERROR(AVERAGE(INDEX(neos_benchmark!T:T, (ROW()-2)*$B23+2):INDEX(neos_benchmark!T:T, (ROW()-2)*$B23 + $B23+1)), "")</f>
        <v/>
      </c>
      <c r="U23" t="str">
        <f>IFERROR(AVERAGE(INDEX(neos_benchmark!U:U, (ROW()-2)*$B23+2):INDEX(neos_benchmark!U:U, (ROW()-2)*$B23 + $B23+1)), "")</f>
        <v/>
      </c>
      <c r="V23" t="str">
        <f>IFERROR(AVERAGE(INDEX(neos_benchmark!V:V, (ROW()-2)*$B23+2):INDEX(neos_benchmark!V:V, (ROW()-2)*$B23 + $B23+1)), "")</f>
        <v/>
      </c>
      <c r="W23">
        <f>IFERROR(AVERAGE(INDEX(neos_benchmark!W:W, (ROW()-2)*$B23+2):INDEX(neos_benchmark!W:W, (ROW()-2)*$B23 + $B23+1)), "")</f>
        <v>9.8597300000000013E-2</v>
      </c>
      <c r="X23">
        <f>IFERROR(AVERAGE(INDEX(neos_benchmark!X:X, (ROW()-2)*$B23+2):INDEX(neos_benchmark!X:X, (ROW()-2)*$B23 + $B23+1)), "")</f>
        <v>2.8984299999999998E-2</v>
      </c>
      <c r="Y23">
        <f>IFERROR(AVERAGE(INDEX(neos_benchmark!Y:Y, (ROW()-2)*$B23+2):INDEX(neos_benchmark!Y:Y, (ROW()-2)*$B23 + $B23+1)), "")</f>
        <v>7.4055399999999993E-2</v>
      </c>
      <c r="Z23">
        <f>IFERROR(AVERAGE(INDEX(neos_benchmark!Z:Z, (ROW()-2)*$B23+2):INDEX(neos_benchmark!Z:Z, (ROW()-2)*$B23 + $B23+1)), "")</f>
        <v>0.1030397</v>
      </c>
      <c r="AA23">
        <f>IFERROR(AVERAGE(INDEX(neos_benchmark!AA:AA, (ROW()-2)*$B23+2):INDEX(neos_benchmark!AA:AA, (ROW()-2)*$B23 + $B23+1)), "")</f>
        <v>9.5908999999999977E-3</v>
      </c>
      <c r="AB23">
        <f>IFERROR(AVERAGE(INDEX(neos_benchmark!AB:AB, (ROW()-2)*$B23+2):INDEX(neos_benchmark!AB:AB, (ROW()-2)*$B23 + $B23+1)), "")</f>
        <v>3.2580999999999999E-3</v>
      </c>
      <c r="AC23">
        <f>IFERROR(AVERAGE(INDEX(neos_benchmark!AC:AC, (ROW()-2)*$B23+2):INDEX(neos_benchmark!AC:AC, (ROW()-2)*$B23 + $B23+1)), "")</f>
        <v>3.4797000000000001E-3</v>
      </c>
      <c r="AD23">
        <f>IFERROR(AVERAGE(INDEX(neos_benchmark!AD:AD, (ROW()-2)*$B23+2):INDEX(neos_benchmark!AD:AD, (ROW()-2)*$B23 + $B23+1)), "")</f>
        <v>6.7377999999999995E-3</v>
      </c>
      <c r="AE23">
        <f>IFERROR(AVERAGE(INDEX(neos_benchmark!AE:AE, (ROW()-2)*$B23+2):INDEX(neos_benchmark!AE:AE, (ROW()-2)*$B23 + $B23+1)), "")</f>
        <v>16623</v>
      </c>
      <c r="AF23">
        <f>IFERROR(AVERAGE(INDEX(neos_benchmark!AF:AF, (ROW()-2)*$B23+2):INDEX(neos_benchmark!AF:AF, (ROW()-2)*$B23 + $B23+1)), "")</f>
        <v>391</v>
      </c>
      <c r="AG23">
        <f>IFERROR(AVERAGE(INDEX(neos_benchmark!AG:AG, (ROW()-2)*$B23+2):INDEX(neos_benchmark!AG:AG, (ROW()-2)*$B23 + $B23+1)), "")</f>
        <v>16624</v>
      </c>
      <c r="AH23">
        <f>IFERROR(AVERAGE(INDEX(neos_benchmark!AH:AH, (ROW()-2)*$B23+2):INDEX(neos_benchmark!AH:AH, (ROW()-2)*$B23 + $B23+1)), "")</f>
        <v>341</v>
      </c>
      <c r="AI23">
        <f>IFERROR(AVERAGE(INDEX(neos_benchmark!AI:AI, (ROW()-2)*$B23+2):INDEX(neos_benchmark!AI:AI, (ROW()-2)*$B23 + $B23+1)), "")</f>
        <v>481811.6</v>
      </c>
      <c r="AJ23">
        <f>IFERROR(AVERAGE(INDEX(neos_benchmark!AJ:AJ, (ROW()-2)*$B23+2):INDEX(neos_benchmark!AJ:AJ, (ROW()-2)*$B23 + $B23+1)), "")</f>
        <v>489944</v>
      </c>
      <c r="AK23" cm="1">
        <f t="array" ref="AK23">IFERROR(AVERAGE(INDEX(neos_benchmark!W:W, (ROW()-2)*$B23+2):INDEX(neos_benchmark!W:W, (ROW()-2)*$B23 + $B23+1) + INDEX(neos_benchmark!AA:AA, (ROW()-2)*$B23+2):INDEX(neos_benchmark!AA:AA, (ROW()-2)*$B23 + $B23+1)), "")</f>
        <v>0.1081882</v>
      </c>
      <c r="AL23" cm="1">
        <f t="array" ref="AL23">IFERROR(MIN(INDEX(neos_benchmark!W:W, (ROW()-2)*$B23+2):INDEX(neos_benchmark!W:W, (ROW()-2)*$B23 + $B23+1) + INDEX(neos_benchmark!AA:AA, (ROW()-2)*$B23+2):INDEX(neos_benchmark!AA:AA, (ROW()-2)*$B23 + $B23+1)), "")</f>
        <v>7.5719999999999996E-2</v>
      </c>
      <c r="AM23" cm="1">
        <f t="array" ref="AM23">IFERROR(MAX(INDEX(neos_benchmark!W:W, (ROW()-2)*$B23+2):INDEX(neos_benchmark!W:W, (ROW()-2)*$B23 + $B23+1) + INDEX(neos_benchmark!AA:AA, (ROW()-2)*$B23+2):INDEX(neos_benchmark!AA:AA, (ROW()-2)*$B23 + $B23+1)), "")</f>
        <v>0.135187</v>
      </c>
      <c r="AN23" cm="1">
        <f t="array" ref="AN23">IFERROR(AVERAGE((INDEX(neos_benchmark!AJ:AJ, (ROW()-2)*$B23+2):INDEX(neos_benchmark!AJ:AJ, (ROW()-2)*$B23 + $B23+1) - INDEX(neos_benchmark!AI:AI, (ROW()-2)*$B23+2):INDEX(neos_benchmark!AI:AI, (ROW()-2)*$B23 + $B23+1)) / 1000), "")</f>
        <v>8.1323999999999987</v>
      </c>
      <c r="AO23" cm="1">
        <f t="array" ref="AO23">IFERROR(MIN((INDEX(neos_benchmark!AJ:AJ, (ROW()-2)*$B23+2):INDEX(neos_benchmark!AJ:AJ, (ROW()-2)*$B23 + $B23+1) - INDEX(neos_benchmark!AI:AI, (ROW()-2)*$B23+2):INDEX(neos_benchmark!AI:AI, (ROW()-2)*$B23 + $B23+1)) / 1000), "")</f>
        <v>4.3639999999999999</v>
      </c>
      <c r="AP23" cm="1">
        <f t="array" ref="AP23">IFERROR(MAX((INDEX(neos_benchmark!AJ:AJ, (ROW()-2)*$B23+2):INDEX(neos_benchmark!AJ:AJ, (ROW()-2)*$B23 + $B23+1) - INDEX(neos_benchmark!AI:AI, (ROW()-2)*$B23+2):INDEX(neos_benchmark!AI:AI, (ROW()-2)*$B23 + $B23+1)) / 1000), "")</f>
        <v>14.143000000000001</v>
      </c>
    </row>
    <row r="24" spans="1:42" x14ac:dyDescent="0.25">
      <c r="A24" t="str" cm="1">
        <f t="array" ref="A24">INDEX(neos_benchmark!A:A, (ROW()-2)*$B24+2)</f>
        <v>moving-block</v>
      </c>
      <c r="B24">
        <f>COUNTIF(neos_benchmark!A:A, neos_benchmark!A24)</f>
        <v>10</v>
      </c>
      <c r="C24" t="str" cm="1">
        <f t="array" ref="C24">INDEX(neos_benchmark!C:C, (ROW()-2)*$B24+2)</f>
        <v>Ipopt</v>
      </c>
      <c r="D24" t="str" cm="1">
        <f t="array" ref="D24">INDEX(neos_benchmark!D:D, (ROW()-2)*$B24+2)</f>
        <v>3.14.12</v>
      </c>
      <c r="E24" t="str" cm="1">
        <f t="array" ref="E24">INDEX(neos_benchmark!E:E, (ROW()-2)*$B24+2)</f>
        <v>solved</v>
      </c>
      <c r="F24">
        <f>IFERROR(AVERAGE(INDEX(neos_benchmark!F:F, (ROW()-2)*$B24+2):INDEX(neos_benchmark!F:F, (ROW()-2)*$B24 + $B24+1)), "")</f>
        <v>0</v>
      </c>
      <c r="G24">
        <f>IFERROR(AVERAGE(INDEX(neos_benchmark!G:G, (ROW()-2)*$B24+2):INDEX(neos_benchmark!G:G, (ROW()-2)*$B24 + $B24+1)), "")</f>
        <v>12.055857637172497</v>
      </c>
      <c r="H24" t="str">
        <f>IFERROR(AVERAGE(INDEX(neos_benchmark!H:H, (ROW()-2)*$B24+2):INDEX(neos_benchmark!H:H, (ROW()-2)*$B24 + $B24+1)), "")</f>
        <v/>
      </c>
      <c r="I24">
        <f>IFERROR(AVERAGE(INDEX(neos_benchmark!I:I, (ROW()-2)*$B24+2):INDEX(neos_benchmark!I:I, (ROW()-2)*$B24 + $B24+1)), "")</f>
        <v>7</v>
      </c>
      <c r="J24">
        <f>IFERROR(AVERAGE(INDEX(neos_benchmark!J:J, (ROW()-2)*$B24+2):INDEX(neos_benchmark!J:J, (ROW()-2)*$B24 + $B24+1)), "")</f>
        <v>8</v>
      </c>
      <c r="K24">
        <f>IFERROR(AVERAGE(INDEX(neos_benchmark!K:K, (ROW()-2)*$B24+2):INDEX(neos_benchmark!K:K, (ROW()-2)*$B24 + $B24+1)), "")</f>
        <v>8</v>
      </c>
      <c r="L24">
        <f>IFERROR(AVERAGE(INDEX(neos_benchmark!L:L, (ROW()-2)*$B24+2):INDEX(neos_benchmark!L:L, (ROW()-2)*$B24 + $B24+1)), "")</f>
        <v>8</v>
      </c>
      <c r="M24">
        <f>IFERROR(AVERAGE(INDEX(neos_benchmark!M:M, (ROW()-2)*$B24+2):INDEX(neos_benchmark!M:M, (ROW()-2)*$B24 + $B24+1)), "")</f>
        <v>0</v>
      </c>
      <c r="N24">
        <f>IFERROR(AVERAGE(INDEX(neos_benchmark!N:N, (ROW()-2)*$B24+2):INDEX(neos_benchmark!N:N, (ROW()-2)*$B24 + $B24+1)), "")</f>
        <v>8</v>
      </c>
      <c r="O24">
        <f>IFERROR(AVERAGE(INDEX(neos_benchmark!O:O, (ROW()-2)*$B24+2):INDEX(neos_benchmark!O:O, (ROW()-2)*$B24 + $B24+1)), "")</f>
        <v>0</v>
      </c>
      <c r="P24">
        <f>IFERROR(AVERAGE(INDEX(neos_benchmark!P:P, (ROW()-2)*$B24+2):INDEX(neos_benchmark!P:P, (ROW()-2)*$B24 + $B24+1)), "")</f>
        <v>7</v>
      </c>
      <c r="Q24">
        <f>IFERROR(AVERAGE(INDEX(neos_benchmark!Q:Q, (ROW()-2)*$B24+2):INDEX(neos_benchmark!Q:Q, (ROW()-2)*$B24 + $B24+1)), "")</f>
        <v>1.8735013540549517E-16</v>
      </c>
      <c r="R24">
        <f>IFERROR(AVERAGE(INDEX(neos_benchmark!R:R, (ROW()-2)*$B24+2):INDEX(neos_benchmark!R:R, (ROW()-2)*$B24 + $B24+1)), "")</f>
        <v>7.3000000000000009E-3</v>
      </c>
      <c r="S24">
        <f>IFERROR(AVERAGE(INDEX(neos_benchmark!S:S, (ROW()-2)*$B24+2):INDEX(neos_benchmark!S:S, (ROW()-2)*$B24 + $B24+1)), "")</f>
        <v>0</v>
      </c>
      <c r="T24">
        <f>IFERROR(AVERAGE(INDEX(neos_benchmark!T:T, (ROW()-2)*$B24+2):INDEX(neos_benchmark!T:T, (ROW()-2)*$B24 + $B24+1)), "")</f>
        <v>116</v>
      </c>
      <c r="U24">
        <f>IFERROR(AVERAGE(INDEX(neos_benchmark!U:U, (ROW()-2)*$B24+2):INDEX(neos_benchmark!U:U, (ROW()-2)*$B24 + $B24+1)), "")</f>
        <v>88</v>
      </c>
      <c r="V24">
        <f>IFERROR(AVERAGE(INDEX(neos_benchmark!V:V, (ROW()-2)*$B24+2):INDEX(neos_benchmark!V:V, (ROW()-2)*$B24 + $B24+1)), "")</f>
        <v>0</v>
      </c>
      <c r="W24">
        <f>IFERROR(AVERAGE(INDEX(neos_benchmark!W:W, (ROW()-2)*$B24+2):INDEX(neos_benchmark!W:W, (ROW()-2)*$B24 + $B24+1)), "")</f>
        <v>1.38403E-2</v>
      </c>
      <c r="X24">
        <f>IFERROR(AVERAGE(INDEX(neos_benchmark!X:X, (ROW()-2)*$B24+2):INDEX(neos_benchmark!X:X, (ROW()-2)*$B24 + $B24+1)), "")</f>
        <v>6.1078999999999994E-3</v>
      </c>
      <c r="Y24">
        <f>IFERROR(AVERAGE(INDEX(neos_benchmark!Y:Y, (ROW()-2)*$B24+2):INDEX(neos_benchmark!Y:Y, (ROW()-2)*$B24 + $B24+1)), "")</f>
        <v>1.1002999999999999E-2</v>
      </c>
      <c r="Z24">
        <f>IFERROR(AVERAGE(INDEX(neos_benchmark!Z:Z, (ROW()-2)*$B24+2):INDEX(neos_benchmark!Z:Z, (ROW()-2)*$B24 + $B24+1)), "")</f>
        <v>1.7110899999999998E-2</v>
      </c>
      <c r="AA24">
        <f>IFERROR(AVERAGE(INDEX(neos_benchmark!AA:AA, (ROW()-2)*$B24+2):INDEX(neos_benchmark!AA:AA, (ROW()-2)*$B24 + $B24+1)), "")</f>
        <v>1.2252200000000001E-2</v>
      </c>
      <c r="AB24">
        <f>IFERROR(AVERAGE(INDEX(neos_benchmark!AB:AB, (ROW()-2)*$B24+2):INDEX(neos_benchmark!AB:AB, (ROW()-2)*$B24 + $B24+1)), "")</f>
        <v>2.5294000000000002E-3</v>
      </c>
      <c r="AC24">
        <f>IFERROR(AVERAGE(INDEX(neos_benchmark!AC:AC, (ROW()-2)*$B24+2):INDEX(neos_benchmark!AC:AC, (ROW()-2)*$B24 + $B24+1)), "")</f>
        <v>9.3980999999999978E-3</v>
      </c>
      <c r="AD24">
        <f>IFERROR(AVERAGE(INDEX(neos_benchmark!AD:AD, (ROW()-2)*$B24+2):INDEX(neos_benchmark!AD:AD, (ROW()-2)*$B24 + $B24+1)), "")</f>
        <v>1.1927500000000001E-2</v>
      </c>
      <c r="AE24">
        <f>IFERROR(AVERAGE(INDEX(neos_benchmark!AE:AE, (ROW()-2)*$B24+2):INDEX(neos_benchmark!AE:AE, (ROW()-2)*$B24 + $B24+1)), "")</f>
        <v>6689</v>
      </c>
      <c r="AF24">
        <f>IFERROR(AVERAGE(INDEX(neos_benchmark!AF:AF, (ROW()-2)*$B24+2):INDEX(neos_benchmark!AF:AF, (ROW()-2)*$B24 + $B24+1)), "")</f>
        <v>116</v>
      </c>
      <c r="AG24">
        <f>IFERROR(AVERAGE(INDEX(neos_benchmark!AG:AG, (ROW()-2)*$B24+2):INDEX(neos_benchmark!AG:AG, (ROW()-2)*$B24 + $B24+1)), "")</f>
        <v>6722</v>
      </c>
      <c r="AH24">
        <f>IFERROR(AVERAGE(INDEX(neos_benchmark!AH:AH, (ROW()-2)*$B24+2):INDEX(neos_benchmark!AH:AH, (ROW()-2)*$B24 + $B24+1)), "")</f>
        <v>88</v>
      </c>
      <c r="AI24">
        <f>IFERROR(AVERAGE(INDEX(neos_benchmark!AI:AI, (ROW()-2)*$B24+2):INDEX(neos_benchmark!AI:AI, (ROW()-2)*$B24 + $B24+1)), "")</f>
        <v>580777.1</v>
      </c>
      <c r="AJ24">
        <f>IFERROR(AVERAGE(INDEX(neos_benchmark!AJ:AJ, (ROW()-2)*$B24+2):INDEX(neos_benchmark!AJ:AJ, (ROW()-2)*$B24 + $B24+1)), "")</f>
        <v>589121.1</v>
      </c>
      <c r="AK24" cm="1">
        <f t="array" ref="AK24">IFERROR(AVERAGE(INDEX(neos_benchmark!W:W, (ROW()-2)*$B24+2):INDEX(neos_benchmark!W:W, (ROW()-2)*$B24 + $B24+1) + INDEX(neos_benchmark!AA:AA, (ROW()-2)*$B24+2):INDEX(neos_benchmark!AA:AA, (ROW()-2)*$B24 + $B24+1)), "")</f>
        <v>2.6092499999999998E-2</v>
      </c>
      <c r="AL24" cm="1">
        <f t="array" ref="AL24">IFERROR(MIN(INDEX(neos_benchmark!W:W, (ROW()-2)*$B24+2):INDEX(neos_benchmark!W:W, (ROW()-2)*$B24 + $B24+1) + INDEX(neos_benchmark!AA:AA, (ROW()-2)*$B24+2):INDEX(neos_benchmark!AA:AA, (ROW()-2)*$B24 + $B24+1)), "")</f>
        <v>2.1906999999999999E-2</v>
      </c>
      <c r="AM24" cm="1">
        <f t="array" ref="AM24">IFERROR(MAX(INDEX(neos_benchmark!W:W, (ROW()-2)*$B24+2):INDEX(neos_benchmark!W:W, (ROW()-2)*$B24 + $B24+1) + INDEX(neos_benchmark!AA:AA, (ROW()-2)*$B24+2):INDEX(neos_benchmark!AA:AA, (ROW()-2)*$B24 + $B24+1)), "")</f>
        <v>3.7754000000000003E-2</v>
      </c>
      <c r="AN24" cm="1">
        <f t="array" ref="AN24">IFERROR(AVERAGE((INDEX(neos_benchmark!AJ:AJ, (ROW()-2)*$B24+2):INDEX(neos_benchmark!AJ:AJ, (ROW()-2)*$B24 + $B24+1) - INDEX(neos_benchmark!AI:AI, (ROW()-2)*$B24+2):INDEX(neos_benchmark!AI:AI, (ROW()-2)*$B24 + $B24+1)) / 1000), "")</f>
        <v>8.3439999999999994</v>
      </c>
      <c r="AO24" cm="1">
        <f t="array" ref="AO24">IFERROR(MIN((INDEX(neos_benchmark!AJ:AJ, (ROW()-2)*$B24+2):INDEX(neos_benchmark!AJ:AJ, (ROW()-2)*$B24 + $B24+1) - INDEX(neos_benchmark!AI:AI, (ROW()-2)*$B24+2):INDEX(neos_benchmark!AI:AI, (ROW()-2)*$B24 + $B24+1)) / 1000), "")</f>
        <v>4.9119999999999999</v>
      </c>
      <c r="AP24" cm="1">
        <f t="array" ref="AP24">IFERROR(MAX((INDEX(neos_benchmark!AJ:AJ, (ROW()-2)*$B24+2):INDEX(neos_benchmark!AJ:AJ, (ROW()-2)*$B24 + $B24+1) - INDEX(neos_benchmark!AI:AI, (ROW()-2)*$B24+2):INDEX(neos_benchmark!AI:AI, (ROW()-2)*$B24 + $B24+1)) / 1000), "")</f>
        <v>19.28</v>
      </c>
    </row>
    <row r="25" spans="1:42" x14ac:dyDescent="0.25">
      <c r="A25" t="str" cm="1">
        <f t="array" ref="A25">INDEX(neos_benchmark!A:A, (ROW()-2)*$B25+2)</f>
        <v>spot-col3</v>
      </c>
      <c r="B25">
        <f>COUNTIF(neos_benchmark!A:A, neos_benchmark!A25)</f>
        <v>10</v>
      </c>
      <c r="C25" t="str" cm="1">
        <f t="array" ref="C25">INDEX(neos_benchmark!C:C, (ROW()-2)*$B25+2)</f>
        <v>Ipopt</v>
      </c>
      <c r="D25" t="str" cm="1">
        <f t="array" ref="D25">INDEX(neos_benchmark!D:D, (ROW()-2)*$B25+2)</f>
        <v>3.14.12</v>
      </c>
      <c r="E25" t="str" cm="1">
        <f t="array" ref="E25">INDEX(neos_benchmark!E:E, (ROW()-2)*$B25+2)</f>
        <v>solved</v>
      </c>
      <c r="F25">
        <f>IFERROR(AVERAGE(INDEX(neos_benchmark!F:F, (ROW()-2)*$B25+2):INDEX(neos_benchmark!F:F, (ROW()-2)*$B25 + $B25+1)), "")</f>
        <v>0</v>
      </c>
      <c r="G25">
        <f>IFERROR(AVERAGE(INDEX(neos_benchmark!G:G, (ROW()-2)*$B25+2):INDEX(neos_benchmark!G:G, (ROW()-2)*$B25 + $B25+1)), "")</f>
        <v>52268.37174893538</v>
      </c>
      <c r="H25">
        <f>IFERROR(AVERAGE(INDEX(neos_benchmark!H:H, (ROW()-2)*$B25+2):INDEX(neos_benchmark!H:H, (ROW()-2)*$B25 + $B25+1)), "")</f>
        <v>13234.97947317002</v>
      </c>
      <c r="I25">
        <f>IFERROR(AVERAGE(INDEX(neos_benchmark!I:I, (ROW()-2)*$B25+2):INDEX(neos_benchmark!I:I, (ROW()-2)*$B25 + $B25+1)), "")</f>
        <v>144</v>
      </c>
      <c r="J25">
        <f>IFERROR(AVERAGE(INDEX(neos_benchmark!J:J, (ROW()-2)*$B25+2):INDEX(neos_benchmark!J:J, (ROW()-2)*$B25 + $B25+1)), "")</f>
        <v>156</v>
      </c>
      <c r="K25">
        <f>IFERROR(AVERAGE(INDEX(neos_benchmark!K:K, (ROW()-2)*$B25+2):INDEX(neos_benchmark!K:K, (ROW()-2)*$B25 + $B25+1)), "")</f>
        <v>143</v>
      </c>
      <c r="L25">
        <f>IFERROR(AVERAGE(INDEX(neos_benchmark!L:L, (ROW()-2)*$B25+2):INDEX(neos_benchmark!L:L, (ROW()-2)*$B25 + $B25+1)), "")</f>
        <v>156</v>
      </c>
      <c r="M25">
        <f>IFERROR(AVERAGE(INDEX(neos_benchmark!M:M, (ROW()-2)*$B25+2):INDEX(neos_benchmark!M:M, (ROW()-2)*$B25 + $B25+1)), "")</f>
        <v>156</v>
      </c>
      <c r="N25">
        <f>IFERROR(AVERAGE(INDEX(neos_benchmark!N:N, (ROW()-2)*$B25+2):INDEX(neos_benchmark!N:N, (ROW()-2)*$B25 + $B25+1)), "")</f>
        <v>147</v>
      </c>
      <c r="O25">
        <f>IFERROR(AVERAGE(INDEX(neos_benchmark!O:O, (ROW()-2)*$B25+2):INDEX(neos_benchmark!O:O, (ROW()-2)*$B25 + $B25+1)), "")</f>
        <v>147</v>
      </c>
      <c r="P25">
        <f>IFERROR(AVERAGE(INDEX(neos_benchmark!P:P, (ROW()-2)*$B25+2):INDEX(neos_benchmark!P:P, (ROW()-2)*$B25 + $B25+1)), "")</f>
        <v>144</v>
      </c>
      <c r="Q25">
        <f>IFERROR(AVERAGE(INDEX(neos_benchmark!Q:Q, (ROW()-2)*$B25+2):INDEX(neos_benchmark!Q:Q, (ROW()-2)*$B25 + $B25+1)), "")</f>
        <v>6.5291771988995606E-11</v>
      </c>
      <c r="R25">
        <f>IFERROR(AVERAGE(INDEX(neos_benchmark!R:R, (ROW()-2)*$B25+2):INDEX(neos_benchmark!R:R, (ROW()-2)*$B25 + $B25+1)), "")</f>
        <v>26.862874999999999</v>
      </c>
      <c r="S25">
        <f>IFERROR(AVERAGE(INDEX(neos_benchmark!S:S, (ROW()-2)*$B25+2):INDEX(neos_benchmark!S:S, (ROW()-2)*$B25 + $B25+1)), "")</f>
        <v>236.57275000000001</v>
      </c>
      <c r="T25">
        <f>IFERROR(AVERAGE(INDEX(neos_benchmark!T:T, (ROW()-2)*$B25+2):INDEX(neos_benchmark!T:T, (ROW()-2)*$B25 + $B25+1)), "")</f>
        <v>14854</v>
      </c>
      <c r="U25">
        <f>IFERROR(AVERAGE(INDEX(neos_benchmark!U:U, (ROW()-2)*$B25+2):INDEX(neos_benchmark!U:U, (ROW()-2)*$B25 + $B25+1)), "")</f>
        <v>14228</v>
      </c>
      <c r="V25">
        <f>IFERROR(AVERAGE(INDEX(neos_benchmark!V:V, (ROW()-2)*$B25+2):INDEX(neos_benchmark!V:V, (ROW()-2)*$B25 + $B25+1)), "")</f>
        <v>480</v>
      </c>
      <c r="W25">
        <f>IFERROR(AVERAGE(INDEX(neos_benchmark!W:W, (ROW()-2)*$B25+2):INDEX(neos_benchmark!W:W, (ROW()-2)*$B25 + $B25+1)), "")</f>
        <v>23.829014874999995</v>
      </c>
      <c r="X25">
        <f>IFERROR(AVERAGE(INDEX(neos_benchmark!X:X, (ROW()-2)*$B25+2):INDEX(neos_benchmark!X:X, (ROW()-2)*$B25 + $B25+1)), "")</f>
        <v>2.5308174999999999</v>
      </c>
      <c r="Y25">
        <f>IFERROR(AVERAGE(INDEX(neos_benchmark!Y:Y, (ROW()-2)*$B25+2):INDEX(neos_benchmark!Y:Y, (ROW()-2)*$B25 + $B25+1)), "")</f>
        <v>21.301272625000003</v>
      </c>
      <c r="Z25">
        <f>IFERROR(AVERAGE(INDEX(neos_benchmark!Z:Z, (ROW()-2)*$B25+2):INDEX(neos_benchmark!Z:Z, (ROW()-2)*$B25 + $B25+1)), "")</f>
        <v>23.832090125000001</v>
      </c>
      <c r="AA25">
        <f>IFERROR(AVERAGE(INDEX(neos_benchmark!AA:AA, (ROW()-2)*$B25+2):INDEX(neos_benchmark!AA:AA, (ROW()-2)*$B25 + $B25+1)), "")</f>
        <v>265.25248212500003</v>
      </c>
      <c r="AB25">
        <f>IFERROR(AVERAGE(INDEX(neos_benchmark!AB:AB, (ROW()-2)*$B25+2):INDEX(neos_benchmark!AB:AB, (ROW()-2)*$B25 + $B25+1)), "")</f>
        <v>1.1624147499999999</v>
      </c>
      <c r="AC25">
        <f>IFERROR(AVERAGE(INDEX(neos_benchmark!AC:AC, (ROW()-2)*$B25+2):INDEX(neos_benchmark!AC:AC, (ROW()-2)*$B25 + $B25+1)), "")</f>
        <v>263.31476137500005</v>
      </c>
      <c r="AD25">
        <f>IFERROR(AVERAGE(INDEX(neos_benchmark!AD:AD, (ROW()-2)*$B25+2):INDEX(neos_benchmark!AD:AD, (ROW()-2)*$B25 + $B25+1)), "")</f>
        <v>264.47717612500003</v>
      </c>
      <c r="AE25">
        <f>IFERROR(AVERAGE(INDEX(neos_benchmark!AE:AE, (ROW()-2)*$B25+2):INDEX(neos_benchmark!AE:AE, (ROW()-2)*$B25 + $B25+1)), "")</f>
        <v>2460541</v>
      </c>
      <c r="AF25">
        <f>IFERROR(AVERAGE(INDEX(neos_benchmark!AF:AF, (ROW()-2)*$B25+2):INDEX(neos_benchmark!AF:AF, (ROW()-2)*$B25 + $B25+1)), "")</f>
        <v>14854</v>
      </c>
      <c r="AG25">
        <f>IFERROR(AVERAGE(INDEX(neos_benchmark!AG:AG, (ROW()-2)*$B25+2):INDEX(neos_benchmark!AG:AG, (ROW()-2)*$B25 + $B25+1)), "")</f>
        <v>2467453</v>
      </c>
      <c r="AH25">
        <f>IFERROR(AVERAGE(INDEX(neos_benchmark!AH:AH, (ROW()-2)*$B25+2):INDEX(neos_benchmark!AH:AH, (ROW()-2)*$B25 + $B25+1)), "")</f>
        <v>14708</v>
      </c>
      <c r="AI25">
        <f>IFERROR(AVERAGE(INDEX(neos_benchmark!AI:AI, (ROW()-2)*$B25+2):INDEX(neos_benchmark!AI:AI, (ROW()-2)*$B25 + $B25+1)), "")</f>
        <v>696465.1</v>
      </c>
      <c r="AJ25">
        <f>IFERROR(AVERAGE(INDEX(neos_benchmark!AJ:AJ, (ROW()-2)*$B25+2):INDEX(neos_benchmark!AJ:AJ, (ROW()-2)*$B25 + $B25+1)), "")</f>
        <v>986636.4</v>
      </c>
      <c r="AK25" cm="1">
        <f t="array" ref="AK25">IFERROR(AVERAGE(INDEX(neos_benchmark!W:W, (ROW()-2)*$B25+2):INDEX(neos_benchmark!W:W, (ROW()-2)*$B25 + $B25+1) + INDEX(neos_benchmark!AA:AA, (ROW()-2)*$B25+2):INDEX(neos_benchmark!AA:AA, (ROW()-2)*$B25 + $B25+1)), "")</f>
        <v>231.26519759999996</v>
      </c>
      <c r="AL25" cm="1">
        <f t="array" ref="AL25">IFERROR(MIN(INDEX(neos_benchmark!W:W, (ROW()-2)*$B25+2):INDEX(neos_benchmark!W:W, (ROW()-2)*$B25 + $B25+1) + INDEX(neos_benchmark!AA:AA, (ROW()-2)*$B25+2):INDEX(neos_benchmark!AA:AA, (ROW()-2)*$B25 + $B25+1)), "")</f>
        <v>0</v>
      </c>
      <c r="AM25" cm="1">
        <f t="array" ref="AM25">IFERROR(MAX(INDEX(neos_benchmark!W:W, (ROW()-2)*$B25+2):INDEX(neos_benchmark!W:W, (ROW()-2)*$B25 + $B25+1) + INDEX(neos_benchmark!AA:AA, (ROW()-2)*$B25+2):INDEX(neos_benchmark!AA:AA, (ROW()-2)*$B25 + $B25+1)), "")</f>
        <v>316.70137299999999</v>
      </c>
      <c r="AN25" cm="1">
        <f t="array" ref="AN25">IFERROR(AVERAGE((INDEX(neos_benchmark!AJ:AJ, (ROW()-2)*$B25+2):INDEX(neos_benchmark!AJ:AJ, (ROW()-2)*$B25 + $B25+1) - INDEX(neos_benchmark!AI:AI, (ROW()-2)*$B25+2):INDEX(neos_benchmark!AI:AI, (ROW()-2)*$B25 + $B25+1)) / 1000), "")</f>
        <v>290.17129999999997</v>
      </c>
      <c r="AO25" cm="1">
        <f t="array" ref="AO25">IFERROR(MIN((INDEX(neos_benchmark!AJ:AJ, (ROW()-2)*$B25+2):INDEX(neos_benchmark!AJ:AJ, (ROW()-2)*$B25 + $B25+1) - INDEX(neos_benchmark!AI:AI, (ROW()-2)*$B25+2):INDEX(neos_benchmark!AI:AI, (ROW()-2)*$B25 + $B25+1)) / 1000), "")</f>
        <v>60.420999999999999</v>
      </c>
      <c r="AP25" cm="1">
        <f t="array" ref="AP25">IFERROR(MAX((INDEX(neos_benchmark!AJ:AJ, (ROW()-2)*$B25+2):INDEX(neos_benchmark!AJ:AJ, (ROW()-2)*$B25 + $B25+1) - INDEX(neos_benchmark!AI:AI, (ROW()-2)*$B25+2):INDEX(neos_benchmark!AI:AI, (ROW()-2)*$B25 + $B25+1)) / 1000), "")</f>
        <v>427.702</v>
      </c>
    </row>
    <row r="26" spans="1:42" x14ac:dyDescent="0.25">
      <c r="A26" t="str" cm="1">
        <f t="array" ref="A26">INDEX(neos_benchmark!A:A, (ROW()-2)*$B26+2)</f>
        <v>spot-rk1</v>
      </c>
      <c r="B26">
        <f>COUNTIF(neos_benchmark!A:A, neos_benchmark!A26)</f>
        <v>10</v>
      </c>
      <c r="C26" t="str" cm="1">
        <f t="array" ref="C26">INDEX(neos_benchmark!C:C, (ROW()-2)*$B26+2)</f>
        <v>Ipopt</v>
      </c>
      <c r="D26" t="str" cm="1">
        <f t="array" ref="D26">INDEX(neos_benchmark!D:D, (ROW()-2)*$B26+2)</f>
        <v>3.14.12</v>
      </c>
      <c r="E26" t="str" cm="1">
        <f t="array" ref="E26">INDEX(neos_benchmark!E:E, (ROW()-2)*$B26+2)</f>
        <v>solved</v>
      </c>
      <c r="F26">
        <f>IFERROR(AVERAGE(INDEX(neos_benchmark!F:F, (ROW()-2)*$B26+2):INDEX(neos_benchmark!F:F, (ROW()-2)*$B26 + $B26+1)), "")</f>
        <v>0</v>
      </c>
      <c r="G26">
        <f>IFERROR(AVERAGE(INDEX(neos_benchmark!G:G, (ROW()-2)*$B26+2):INDEX(neos_benchmark!G:G, (ROW()-2)*$B26 + $B26+1)), "")</f>
        <v>13283.06553077303</v>
      </c>
      <c r="H26">
        <f>IFERROR(AVERAGE(INDEX(neos_benchmark!H:H, (ROW()-2)*$B26+2):INDEX(neos_benchmark!H:H, (ROW()-2)*$B26 + $B26+1)), "")</f>
        <v>13041.065530773034</v>
      </c>
      <c r="I26">
        <f>IFERROR(AVERAGE(INDEX(neos_benchmark!I:I, (ROW()-2)*$B26+2):INDEX(neos_benchmark!I:I, (ROW()-2)*$B26 + $B26+1)), "")</f>
        <v>209</v>
      </c>
      <c r="J26">
        <f>IFERROR(AVERAGE(INDEX(neos_benchmark!J:J, (ROW()-2)*$B26+2):INDEX(neos_benchmark!J:J, (ROW()-2)*$B26 + $B26+1)), "")</f>
        <v>227</v>
      </c>
      <c r="K26">
        <f>IFERROR(AVERAGE(INDEX(neos_benchmark!K:K, (ROW()-2)*$B26+2):INDEX(neos_benchmark!K:K, (ROW()-2)*$B26 + $B26+1)), "")</f>
        <v>209</v>
      </c>
      <c r="L26">
        <f>IFERROR(AVERAGE(INDEX(neos_benchmark!L:L, (ROW()-2)*$B26+2):INDEX(neos_benchmark!L:L, (ROW()-2)*$B26 + $B26+1)), "")</f>
        <v>227</v>
      </c>
      <c r="M26">
        <f>IFERROR(AVERAGE(INDEX(neos_benchmark!M:M, (ROW()-2)*$B26+2):INDEX(neos_benchmark!M:M, (ROW()-2)*$B26 + $B26+1)), "")</f>
        <v>227</v>
      </c>
      <c r="N26">
        <f>IFERROR(AVERAGE(INDEX(neos_benchmark!N:N, (ROW()-2)*$B26+2):INDEX(neos_benchmark!N:N, (ROW()-2)*$B26 + $B26+1)), "")</f>
        <v>215</v>
      </c>
      <c r="O26">
        <f>IFERROR(AVERAGE(INDEX(neos_benchmark!O:O, (ROW()-2)*$B26+2):INDEX(neos_benchmark!O:O, (ROW()-2)*$B26 + $B26+1)), "")</f>
        <v>215</v>
      </c>
      <c r="P26">
        <f>IFERROR(AVERAGE(INDEX(neos_benchmark!P:P, (ROW()-2)*$B26+2):INDEX(neos_benchmark!P:P, (ROW()-2)*$B26 + $B26+1)), "")</f>
        <v>209</v>
      </c>
      <c r="Q26">
        <f>IFERROR(AVERAGE(INDEX(neos_benchmark!Q:Q, (ROW()-2)*$B26+2):INDEX(neos_benchmark!Q:Q, (ROW()-2)*$B26 + $B26+1)), "")</f>
        <v>7.9753981196972745E-11</v>
      </c>
      <c r="R26">
        <f>IFERROR(AVERAGE(INDEX(neos_benchmark!R:R, (ROW()-2)*$B26+2):INDEX(neos_benchmark!R:R, (ROW()-2)*$B26 + $B26+1)), "")</f>
        <v>30.183899999999994</v>
      </c>
      <c r="S26">
        <f>IFERROR(AVERAGE(INDEX(neos_benchmark!S:S, (ROW()-2)*$B26+2):INDEX(neos_benchmark!S:S, (ROW()-2)*$B26 + $B26+1)), "")</f>
        <v>344.31659999999999</v>
      </c>
      <c r="T26">
        <f>IFERROR(AVERAGE(INDEX(neos_benchmark!T:T, (ROW()-2)*$B26+2):INDEX(neos_benchmark!T:T, (ROW()-2)*$B26 + $B26+1)), "")</f>
        <v>3706</v>
      </c>
      <c r="U26">
        <f>IFERROR(AVERAGE(INDEX(neos_benchmark!U:U, (ROW()-2)*$B26+2):INDEX(neos_benchmark!U:U, (ROW()-2)*$B26 + $B26+1)), "")</f>
        <v>3080</v>
      </c>
      <c r="V26">
        <f>IFERROR(AVERAGE(INDEX(neos_benchmark!V:V, (ROW()-2)*$B26+2):INDEX(neos_benchmark!V:V, (ROW()-2)*$B26 + $B26+1)), "")</f>
        <v>480</v>
      </c>
      <c r="W26">
        <f>IFERROR(AVERAGE(INDEX(neos_benchmark!W:W, (ROW()-2)*$B26+2):INDEX(neos_benchmark!W:W, (ROW()-2)*$B26 + $B26+1)), "")</f>
        <v>5.9258920999999933</v>
      </c>
      <c r="X26">
        <f>IFERROR(AVERAGE(INDEX(neos_benchmark!X:X, (ROW()-2)*$B26+2):INDEX(neos_benchmark!X:X, (ROW()-2)*$B26 + $B26+1)), "")</f>
        <v>0.67230699999999999</v>
      </c>
      <c r="Y26">
        <f>IFERROR(AVERAGE(INDEX(neos_benchmark!Y:Y, (ROW()-2)*$B26+2):INDEX(neos_benchmark!Y:Y, (ROW()-2)*$B26 + $B26+1)), "")</f>
        <v>5.2074018999999998</v>
      </c>
      <c r="Z26">
        <f>IFERROR(AVERAGE(INDEX(neos_benchmark!Z:Z, (ROW()-2)*$B26+2):INDEX(neos_benchmark!Z:Z, (ROW()-2)*$B26 + $B26+1)), "")</f>
        <v>5.8797088999999998</v>
      </c>
      <c r="AA26">
        <f>IFERROR(AVERAGE(INDEX(neos_benchmark!AA:AA, (ROW()-2)*$B26+2):INDEX(neos_benchmark!AA:AA, (ROW()-2)*$B26 + $B26+1)), "")</f>
        <v>376.40336360000003</v>
      </c>
      <c r="AB26">
        <f>IFERROR(AVERAGE(INDEX(neos_benchmark!AB:AB, (ROW()-2)*$B26+2):INDEX(neos_benchmark!AB:AB, (ROW()-2)*$B26 + $B26+1)), "")</f>
        <v>1.0914335000000002</v>
      </c>
      <c r="AC26">
        <f>IFERROR(AVERAGE(INDEX(neos_benchmark!AC:AC, (ROW()-2)*$B26+2):INDEX(neos_benchmark!AC:AC, (ROW()-2)*$B26 + $B26+1)), "")</f>
        <v>373.08688250000006</v>
      </c>
      <c r="AD26">
        <f>IFERROR(AVERAGE(INDEX(neos_benchmark!AD:AD, (ROW()-2)*$B26+2):INDEX(neos_benchmark!AD:AD, (ROW()-2)*$B26 + $B26+1)), "")</f>
        <v>374.178316</v>
      </c>
      <c r="AE26">
        <f>IFERROR(AVERAGE(INDEX(neos_benchmark!AE:AE, (ROW()-2)*$B26+2):INDEX(neos_benchmark!AE:AE, (ROW()-2)*$B26 + $B26+1)), "")</f>
        <v>624391</v>
      </c>
      <c r="AF26">
        <f>IFERROR(AVERAGE(INDEX(neos_benchmark!AF:AF, (ROW()-2)*$B26+2):INDEX(neos_benchmark!AF:AF, (ROW()-2)*$B26 + $B26+1)), "")</f>
        <v>3706</v>
      </c>
      <c r="AG26">
        <f>IFERROR(AVERAGE(INDEX(neos_benchmark!AG:AG, (ROW()-2)*$B26+2):INDEX(neos_benchmark!AG:AG, (ROW()-2)*$B26 + $B26+1)), "")</f>
        <v>627703</v>
      </c>
      <c r="AH26">
        <f>IFERROR(AVERAGE(INDEX(neos_benchmark!AH:AH, (ROW()-2)*$B26+2):INDEX(neos_benchmark!AH:AH, (ROW()-2)*$B26 + $B26+1)), "")</f>
        <v>3560</v>
      </c>
      <c r="AI26">
        <f>IFERROR(AVERAGE(INDEX(neos_benchmark!AI:AI, (ROW()-2)*$B26+2):INDEX(neos_benchmark!AI:AI, (ROW()-2)*$B26 + $B26+1)), "")</f>
        <v>548250.6</v>
      </c>
      <c r="AJ26">
        <f>IFERROR(AVERAGE(INDEX(neos_benchmark!AJ:AJ, (ROW()-2)*$B26+2):INDEX(neos_benchmark!AJ:AJ, (ROW()-2)*$B26 + $B26+1)), "")</f>
        <v>982099.4</v>
      </c>
      <c r="AK26" cm="1">
        <f t="array" ref="AK26">IFERROR(AVERAGE(INDEX(neos_benchmark!W:W, (ROW()-2)*$B26+2):INDEX(neos_benchmark!W:W, (ROW()-2)*$B26 + $B26+1) + INDEX(neos_benchmark!AA:AA, (ROW()-2)*$B26+2):INDEX(neos_benchmark!AA:AA, (ROW()-2)*$B26 + $B26+1)), "")</f>
        <v>382.32925569999998</v>
      </c>
      <c r="AL26" cm="1">
        <f t="array" ref="AL26">IFERROR(MIN(INDEX(neos_benchmark!W:W, (ROW()-2)*$B26+2):INDEX(neos_benchmark!W:W, (ROW()-2)*$B26 + $B26+1) + INDEX(neos_benchmark!AA:AA, (ROW()-2)*$B26+2):INDEX(neos_benchmark!AA:AA, (ROW()-2)*$B26 + $B26+1)), "")</f>
        <v>327.357438</v>
      </c>
      <c r="AM26" cm="1">
        <f t="array" ref="AM26">IFERROR(MAX(INDEX(neos_benchmark!W:W, (ROW()-2)*$B26+2):INDEX(neos_benchmark!W:W, (ROW()-2)*$B26 + $B26+1) + INDEX(neos_benchmark!AA:AA, (ROW()-2)*$B26+2):INDEX(neos_benchmark!AA:AA, (ROW()-2)*$B26 + $B26+1)), "")</f>
        <v>528.58329900000001</v>
      </c>
      <c r="AN26" cm="1">
        <f t="array" ref="AN26">IFERROR(AVERAGE((INDEX(neos_benchmark!AJ:AJ, (ROW()-2)*$B26+2):INDEX(neos_benchmark!AJ:AJ, (ROW()-2)*$B26 + $B26+1) - INDEX(neos_benchmark!AI:AI, (ROW()-2)*$B26+2):INDEX(neos_benchmark!AI:AI, (ROW()-2)*$B26 + $B26+1)) / 1000), "")</f>
        <v>433.84880000000004</v>
      </c>
      <c r="AO26" cm="1">
        <f t="array" ref="AO26">IFERROR(MIN((INDEX(neos_benchmark!AJ:AJ, (ROW()-2)*$B26+2):INDEX(neos_benchmark!AJ:AJ, (ROW()-2)*$B26 + $B26+1) - INDEX(neos_benchmark!AI:AI, (ROW()-2)*$B26+2):INDEX(neos_benchmark!AI:AI, (ROW()-2)*$B26 + $B26+1)) / 1000), "")</f>
        <v>330.63200000000001</v>
      </c>
      <c r="AP26" cm="1">
        <f t="array" ref="AP26">IFERROR(MAX((INDEX(neos_benchmark!AJ:AJ, (ROW()-2)*$B26+2):INDEX(neos_benchmark!AJ:AJ, (ROW()-2)*$B26 + $B26+1) - INDEX(neos_benchmark!AI:AI, (ROW()-2)*$B26+2):INDEX(neos_benchmark!AI:AI, (ROW()-2)*$B26 + $B26+1)) / 1000), "")</f>
        <v>614.25199999999995</v>
      </c>
    </row>
    <row r="27" spans="1:42" x14ac:dyDescent="0.25">
      <c r="A27" t="str" cm="1">
        <f t="array" ref="A27">INDEX(neos_benchmark!A:A, (ROW()-2)*$B27+2)</f>
        <v>spot-rk4</v>
      </c>
      <c r="B27">
        <f>COUNTIF(neos_benchmark!A:A, neos_benchmark!A27)</f>
        <v>10</v>
      </c>
      <c r="C27" t="str" cm="1">
        <f t="array" ref="C27">INDEX(neos_benchmark!C:C, (ROW()-2)*$B27+2)</f>
        <v/>
      </c>
      <c r="D27" t="str" cm="1">
        <f t="array" ref="D27">INDEX(neos_benchmark!D:D, (ROW()-2)*$B27+2)</f>
        <v/>
      </c>
      <c r="E27" t="str" cm="1">
        <f t="array" ref="E27">INDEX(neos_benchmark!E:E, (ROW()-2)*$B27+2)</f>
        <v/>
      </c>
      <c r="F27">
        <f>IFERROR(AVERAGE(INDEX(neos_benchmark!F:F, (ROW()-2)*$B27+2):INDEX(neos_benchmark!F:F, (ROW()-2)*$B27 + $B27+1)), "")</f>
        <v>0</v>
      </c>
      <c r="G27">
        <f>IFERROR(AVERAGE(INDEX(neos_benchmark!G:G, (ROW()-2)*$B27+2):INDEX(neos_benchmark!G:G, (ROW()-2)*$B27 + $B27+1)), "")</f>
        <v>56053.465372977429</v>
      </c>
      <c r="H27">
        <f>IFERROR(AVERAGE(INDEX(neos_benchmark!H:H, (ROW()-2)*$B27+2):INDEX(neos_benchmark!H:H, (ROW()-2)*$B27 + $B27+1)), "")</f>
        <v>14278.832313465784</v>
      </c>
      <c r="I27">
        <f>IFERROR(AVERAGE(INDEX(neos_benchmark!I:I, (ROW()-2)*$B27+2):INDEX(neos_benchmark!I:I, (ROW()-2)*$B27 + $B27+1)), "")</f>
        <v>81</v>
      </c>
      <c r="J27">
        <f>IFERROR(AVERAGE(INDEX(neos_benchmark!J:J, (ROW()-2)*$B27+2):INDEX(neos_benchmark!J:J, (ROW()-2)*$B27 + $B27+1)), "")</f>
        <v>88</v>
      </c>
      <c r="K27">
        <f>IFERROR(AVERAGE(INDEX(neos_benchmark!K:K, (ROW()-2)*$B27+2):INDEX(neos_benchmark!K:K, (ROW()-2)*$B27 + $B27+1)), "")</f>
        <v>80</v>
      </c>
      <c r="L27">
        <f>IFERROR(AVERAGE(INDEX(neos_benchmark!L:L, (ROW()-2)*$B27+2):INDEX(neos_benchmark!L:L, (ROW()-2)*$B27 + $B27+1)), "")</f>
        <v>88</v>
      </c>
      <c r="M27">
        <f>IFERROR(AVERAGE(INDEX(neos_benchmark!M:M, (ROW()-2)*$B27+2):INDEX(neos_benchmark!M:M, (ROW()-2)*$B27 + $B27+1)), "")</f>
        <v>88</v>
      </c>
      <c r="N27">
        <f>IFERROR(AVERAGE(INDEX(neos_benchmark!N:N, (ROW()-2)*$B27+2):INDEX(neos_benchmark!N:N, (ROW()-2)*$B27 + $B27+1)), "")</f>
        <v>83</v>
      </c>
      <c r="O27">
        <f>IFERROR(AVERAGE(INDEX(neos_benchmark!O:O, (ROW()-2)*$B27+2):INDEX(neos_benchmark!O:O, (ROW()-2)*$B27 + $B27+1)), "")</f>
        <v>83</v>
      </c>
      <c r="P27">
        <f>IFERROR(AVERAGE(INDEX(neos_benchmark!P:P, (ROW()-2)*$B27+2):INDEX(neos_benchmark!P:P, (ROW()-2)*$B27 + $B27+1)), "")</f>
        <v>81</v>
      </c>
      <c r="Q27">
        <f>IFERROR(AVERAGE(INDEX(neos_benchmark!Q:Q, (ROW()-2)*$B27+2):INDEX(neos_benchmark!Q:Q, (ROW()-2)*$B27 + $B27+1)), "")</f>
        <v>8.1107898175503124E-11</v>
      </c>
      <c r="R27">
        <f>IFERROR(AVERAGE(INDEX(neos_benchmark!R:R, (ROW()-2)*$B27+2):INDEX(neos_benchmark!R:R, (ROW()-2)*$B27 + $B27+1)), "")</f>
        <v>16.036000000000001</v>
      </c>
      <c r="S27">
        <f>IFERROR(AVERAGE(INDEX(neos_benchmark!S:S, (ROW()-2)*$B27+2):INDEX(neos_benchmark!S:S, (ROW()-2)*$B27 + $B27+1)), "")</f>
        <v>132.0168888888889</v>
      </c>
      <c r="T27">
        <f>IFERROR(AVERAGE(INDEX(neos_benchmark!T:T, (ROW()-2)*$B27+2):INDEX(neos_benchmark!T:T, (ROW()-2)*$B27 + $B27+1)), "")</f>
        <v>14836</v>
      </c>
      <c r="U27">
        <f>IFERROR(AVERAGE(INDEX(neos_benchmark!U:U, (ROW()-2)*$B27+2):INDEX(neos_benchmark!U:U, (ROW()-2)*$B27 + $B27+1)), "")</f>
        <v>14210</v>
      </c>
      <c r="V27">
        <f>IFERROR(AVERAGE(INDEX(neos_benchmark!V:V, (ROW()-2)*$B27+2):INDEX(neos_benchmark!V:V, (ROW()-2)*$B27 + $B27+1)), "")</f>
        <v>480</v>
      </c>
      <c r="W27">
        <f>IFERROR(AVERAGE(INDEX(neos_benchmark!W:W, (ROW()-2)*$B27+2):INDEX(neos_benchmark!W:W, (ROW()-2)*$B27 + $B27+1)), "")</f>
        <v>24.641051999999995</v>
      </c>
      <c r="X27">
        <f>IFERROR(AVERAGE(INDEX(neos_benchmark!X:X, (ROW()-2)*$B27+2):INDEX(neos_benchmark!X:X, (ROW()-2)*$B27 + $B27+1)), "")</f>
        <v>2.7516156666666665</v>
      </c>
      <c r="Y27">
        <f>IFERROR(AVERAGE(INDEX(neos_benchmark!Y:Y, (ROW()-2)*$B27+2):INDEX(neos_benchmark!Y:Y, (ROW()-2)*$B27 + $B27+1)), "")</f>
        <v>21.872099333333335</v>
      </c>
      <c r="Z27">
        <f>IFERROR(AVERAGE(INDEX(neos_benchmark!Z:Z, (ROW()-2)*$B27+2):INDEX(neos_benchmark!Z:Z, (ROW()-2)*$B27 + $B27+1)), "")</f>
        <v>24.623715000000001</v>
      </c>
      <c r="AA27">
        <f>IFERROR(AVERAGE(INDEX(neos_benchmark!AA:AA, (ROW()-2)*$B27+2):INDEX(neos_benchmark!AA:AA, (ROW()-2)*$B27 + $B27+1)), "")</f>
        <v>149.88978077777782</v>
      </c>
      <c r="AB27">
        <f>IFERROR(AVERAGE(INDEX(neos_benchmark!AB:AB, (ROW()-2)*$B27+2):INDEX(neos_benchmark!AB:AB, (ROW()-2)*$B27 + $B27+1)), "")</f>
        <v>0.88026088888888887</v>
      </c>
      <c r="AC27">
        <f>IFERROR(AVERAGE(INDEX(neos_benchmark!AC:AC, (ROW()-2)*$B27+2):INDEX(neos_benchmark!AC:AC, (ROW()-2)*$B27 + $B27+1)), "")</f>
        <v>148.5283612222222</v>
      </c>
      <c r="AD27">
        <f>IFERROR(AVERAGE(INDEX(neos_benchmark!AD:AD, (ROW()-2)*$B27+2):INDEX(neos_benchmark!AD:AD, (ROW()-2)*$B27 + $B27+1)), "")</f>
        <v>149.4086221111111</v>
      </c>
      <c r="AE27">
        <f>IFERROR(AVERAGE(INDEX(neos_benchmark!AE:AE, (ROW()-2)*$B27+2):INDEX(neos_benchmark!AE:AE, (ROW()-2)*$B27 + $B27+1)), "")</f>
        <v>2460541</v>
      </c>
      <c r="AF27">
        <f>IFERROR(AVERAGE(INDEX(neos_benchmark!AF:AF, (ROW()-2)*$B27+2):INDEX(neos_benchmark!AF:AF, (ROW()-2)*$B27 + $B27+1)), "")</f>
        <v>14836</v>
      </c>
      <c r="AG27">
        <f>IFERROR(AVERAGE(INDEX(neos_benchmark!AG:AG, (ROW()-2)*$B27+2):INDEX(neos_benchmark!AG:AG, (ROW()-2)*$B27 + $B27+1)), "")</f>
        <v>2467453</v>
      </c>
      <c r="AH27">
        <f>IFERROR(AVERAGE(INDEX(neos_benchmark!AH:AH, (ROW()-2)*$B27+2):INDEX(neos_benchmark!AH:AH, (ROW()-2)*$B27 + $B27+1)), "")</f>
        <v>14690</v>
      </c>
      <c r="AI27">
        <f>IFERROR(AVERAGE(INDEX(neos_benchmark!AI:AI, (ROW()-2)*$B27+2):INDEX(neos_benchmark!AI:AI, (ROW()-2)*$B27 + $B27+1)), "")</f>
        <v>855876.2</v>
      </c>
      <c r="AJ27">
        <f>IFERROR(AVERAGE(INDEX(neos_benchmark!AJ:AJ, (ROW()-2)*$B27+2):INDEX(neos_benchmark!AJ:AJ, (ROW()-2)*$B27 + $B27+1)), "")</f>
        <v>1123869.3999999999</v>
      </c>
      <c r="AK27" cm="1">
        <f t="array" ref="AK27">IFERROR(AVERAGE(INDEX(neos_benchmark!W:W, (ROW()-2)*$B27+2):INDEX(neos_benchmark!W:W, (ROW()-2)*$B27 + $B27+1) + INDEX(neos_benchmark!AA:AA, (ROW()-2)*$B27+2):INDEX(neos_benchmark!AA:AA, (ROW()-2)*$B27 + $B27+1)), "")</f>
        <v>157.07774950000001</v>
      </c>
      <c r="AL27" cm="1">
        <f t="array" ref="AL27">IFERROR(MIN(INDEX(neos_benchmark!W:W, (ROW()-2)*$B27+2):INDEX(neos_benchmark!W:W, (ROW()-2)*$B27 + $B27+1) + INDEX(neos_benchmark!AA:AA, (ROW()-2)*$B27+2):INDEX(neos_benchmark!AA:AA, (ROW()-2)*$B27 + $B27+1)), "")</f>
        <v>0</v>
      </c>
      <c r="AM27" cm="1">
        <f t="array" ref="AM27">IFERROR(MAX(INDEX(neos_benchmark!W:W, (ROW()-2)*$B27+2):INDEX(neos_benchmark!W:W, (ROW()-2)*$B27 + $B27+1) + INDEX(neos_benchmark!AA:AA, (ROW()-2)*$B27+2):INDEX(neos_benchmark!AA:AA, (ROW()-2)*$B27 + $B27+1)), "")</f>
        <v>198.23728</v>
      </c>
      <c r="AN27" cm="1">
        <f t="array" ref="AN27">IFERROR(AVERAGE((INDEX(neos_benchmark!AJ:AJ, (ROW()-2)*$B27+2):INDEX(neos_benchmark!AJ:AJ, (ROW()-2)*$B27 + $B27+1) - INDEX(neos_benchmark!AI:AI, (ROW()-2)*$B27+2):INDEX(neos_benchmark!AI:AI, (ROW()-2)*$B27 + $B27+1)) / 1000), "")</f>
        <v>267.9932</v>
      </c>
      <c r="AO27" cm="1">
        <f t="array" ref="AO27">IFERROR(MIN((INDEX(neos_benchmark!AJ:AJ, (ROW()-2)*$B27+2):INDEX(neos_benchmark!AJ:AJ, (ROW()-2)*$B27 + $B27+1) - INDEX(neos_benchmark!AI:AI, (ROW()-2)*$B27+2):INDEX(neos_benchmark!AI:AI, (ROW()-2)*$B27 + $B27+1)) / 1000), "")</f>
        <v>74.103999999999999</v>
      </c>
      <c r="AP27" cm="1">
        <f t="array" ref="AP27">IFERROR(MAX((INDEX(neos_benchmark!AJ:AJ, (ROW()-2)*$B27+2):INDEX(neos_benchmark!AJ:AJ, (ROW()-2)*$B27 + $B27+1) - INDEX(neos_benchmark!AI:AI, (ROW()-2)*$B27+2):INDEX(neos_benchmark!AI:AI, (ROW()-2)*$B27 + $B27+1)) / 1000), "")</f>
        <v>441.57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4B61-C83F-4BC2-B27E-4D0685BBE321}">
  <dimension ref="A1:AL27"/>
  <sheetViews>
    <sheetView topLeftCell="N1" zoomScale="120" zoomScaleNormal="120" workbookViewId="0">
      <selection activeCell="AL2" sqref="AL2"/>
    </sheetView>
  </sheetViews>
  <sheetFormatPr defaultRowHeight="15" x14ac:dyDescent="0.25"/>
  <cols>
    <col min="1" max="1" width="21.5703125" bestFit="1" customWidth="1"/>
    <col min="2" max="2" width="4" bestFit="1" customWidth="1"/>
    <col min="3" max="3" width="8.85546875" bestFit="1" customWidth="1"/>
    <col min="4" max="4" width="9.7109375" bestFit="1" customWidth="1"/>
    <col min="5" max="5" width="16.7109375" bestFit="1" customWidth="1"/>
    <col min="6" max="6" width="9.140625" bestFit="1" customWidth="1"/>
    <col min="7" max="16" width="12.85546875" bestFit="1" customWidth="1"/>
    <col min="17" max="17" width="28.140625" bestFit="1" customWidth="1"/>
    <col min="18" max="21" width="12.85546875" bestFit="1" customWidth="1"/>
    <col min="22" max="22" width="9.7109375" bestFit="1" customWidth="1"/>
    <col min="23" max="23" width="18.42578125" bestFit="1" customWidth="1"/>
    <col min="24" max="24" width="17.5703125" bestFit="1" customWidth="1"/>
    <col min="25" max="25" width="15.140625" bestFit="1" customWidth="1"/>
    <col min="26" max="26" width="12.85546875" bestFit="1" customWidth="1"/>
    <col min="27" max="27" width="18.42578125" bestFit="1" customWidth="1"/>
    <col min="28" max="28" width="17.5703125" bestFit="1" customWidth="1"/>
    <col min="29" max="29" width="15.140625" bestFit="1" customWidth="1"/>
    <col min="30" max="36" width="12.85546875" bestFit="1" customWidth="1"/>
    <col min="37" max="37" width="16.85546875" bestFit="1" customWidth="1"/>
    <col min="38" max="38" width="12.85546875" bestFit="1" customWidth="1"/>
    <col min="39" max="39" width="11" bestFit="1" customWidth="1"/>
  </cols>
  <sheetData>
    <row r="1" spans="1:38" x14ac:dyDescent="0.25">
      <c r="A1" t="str">
        <f>neos_benchmark!A1</f>
        <v>model</v>
      </c>
      <c r="B1" t="str">
        <f>neos_benchmark!B1</f>
        <v>run</v>
      </c>
      <c r="C1" t="str">
        <f>neos_benchmark!C1</f>
        <v>solver</v>
      </c>
      <c r="D1" t="str">
        <f>neos_benchmark!D1</f>
        <v>version</v>
      </c>
      <c r="E1" t="str">
        <f>neos_benchmark!E1</f>
        <v>exit_status</v>
      </c>
      <c r="F1" t="str">
        <f>neos_benchmark!F1</f>
        <v>exit_code</v>
      </c>
      <c r="G1" t="str">
        <f>neos_benchmark!G1</f>
        <v>obj1</v>
      </c>
      <c r="H1" t="str">
        <f>neos_benchmark!H1</f>
        <v>obj2</v>
      </c>
      <c r="I1" t="str">
        <f>neos_benchmark!I1</f>
        <v>iterations</v>
      </c>
      <c r="J1" t="str">
        <f>neos_benchmark!J1</f>
        <v>obj_eval</v>
      </c>
      <c r="K1" t="str">
        <f>neos_benchmark!K1</f>
        <v>grad_eval</v>
      </c>
      <c r="L1" t="str">
        <f>neos_benchmark!L1</f>
        <v>eq_eval</v>
      </c>
      <c r="M1" t="str">
        <f>neos_benchmark!M1</f>
        <v>ineq_eval</v>
      </c>
      <c r="N1" t="str">
        <f>neos_benchmark!N1</f>
        <v>eq_jac</v>
      </c>
      <c r="O1" t="str">
        <f>neos_benchmark!O1</f>
        <v>ineq_jac</v>
      </c>
      <c r="P1" t="str">
        <f>neos_benchmark!P1</f>
        <v>hess_eval</v>
      </c>
      <c r="Q1" t="str">
        <f>neos_benchmark!Q1</f>
        <v>constraint_violation_unscaled</v>
      </c>
      <c r="R1" t="str">
        <f>neos_benchmark!R1</f>
        <v>cpu_ipopt</v>
      </c>
      <c r="S1" t="str">
        <f>neos_benchmark!S1</f>
        <v>cpu_nlp</v>
      </c>
      <c r="T1" t="str">
        <f>neos_benchmark!T1</f>
        <v>total_vars</v>
      </c>
      <c r="U1" t="str">
        <f>neos_benchmark!U1</f>
        <v>total_eq</v>
      </c>
      <c r="V1" t="str">
        <f>neos_benchmark!V1</f>
        <v>total_ineq</v>
      </c>
      <c r="W1" t="str">
        <f>neos_benchmark!W1</f>
        <v>ampl_elapsed_time</v>
      </c>
      <c r="X1" t="str">
        <f>neos_benchmark!X1</f>
        <v>ampl_system_time</v>
      </c>
      <c r="Y1" t="str">
        <f>neos_benchmark!Y1</f>
        <v>ampl_user_time</v>
      </c>
      <c r="Z1" t="str">
        <f>neos_benchmark!Z1</f>
        <v>ampl_time</v>
      </c>
      <c r="AA1" t="str">
        <f>neos_benchmark!AA1</f>
        <v>solve_elapsed_time</v>
      </c>
      <c r="AB1" t="str">
        <f>neos_benchmark!AB1</f>
        <v>solve_system_time</v>
      </c>
      <c r="AC1" t="str">
        <f>neos_benchmark!AC1</f>
        <v>solve_user_time</v>
      </c>
      <c r="AD1" t="str">
        <f>neos_benchmark!AD1</f>
        <v>solve_time</v>
      </c>
      <c r="AE1" t="str">
        <f>neos_benchmark!AE1</f>
        <v>nvars</v>
      </c>
      <c r="AF1" t="str">
        <f>neos_benchmark!AF1</f>
        <v>snvars</v>
      </c>
      <c r="AG1" t="str">
        <f>neos_benchmark!AG1</f>
        <v>ncons</v>
      </c>
      <c r="AH1" t="str">
        <f>neos_benchmark!AH1</f>
        <v>sncons</v>
      </c>
      <c r="AI1" t="str">
        <f>neos_benchmark!AI1</f>
        <v>tic</v>
      </c>
      <c r="AJ1" t="str">
        <f>neos_benchmark!AJ1</f>
        <v>toc</v>
      </c>
      <c r="AK1" s="1" t="s">
        <v>47</v>
      </c>
      <c r="AL1" s="1" t="s">
        <v>50</v>
      </c>
    </row>
    <row r="2" spans="1:38" x14ac:dyDescent="0.25">
      <c r="A2" t="str" cm="1">
        <f t="array" ref="A2">INDEX(neos_benchmark!A:A, (ROW()-2)*$B2+2)</f>
        <v>acrobot</v>
      </c>
      <c r="B2">
        <f>COUNTIF(neos_benchmark!A:A, neos_benchmark!A2)</f>
        <v>10</v>
      </c>
      <c r="C2" t="str" cm="1">
        <f t="array" ref="C2">INDEX(neos_benchmark!C:C, (ROW()-2)*$B2+2)</f>
        <v>Ipopt</v>
      </c>
      <c r="D2" t="str" cm="1">
        <f t="array" ref="D2">INDEX(neos_benchmark!D:D, (ROW()-2)*$B2+2)</f>
        <v>3.14.12</v>
      </c>
      <c r="E2" t="str" cm="1">
        <f t="array" ref="E2">INDEX(neos_benchmark!E:E, (ROW()-2)*$B2+2)</f>
        <v>solved</v>
      </c>
      <c r="F2">
        <f>IFERROR(_xlfn.STDEV.S(INDEX(neos_benchmark!F:F, (ROW()-2)*averages!$B2+2):INDEX(neos_benchmark!F:F, (ROW()-2)*averages!$B2+averages!$B2+1)), "")</f>
        <v>0</v>
      </c>
      <c r="G2">
        <f>IFERROR(_xlfn.STDEV.S(INDEX(neos_benchmark!G:G, (ROW()-2)*averages!$B2+2):INDEX(neos_benchmark!G:G, (ROW()-2)*averages!$B2+averages!$B2+1)), "")</f>
        <v>0</v>
      </c>
      <c r="H2" t="str">
        <f>IFERROR(_xlfn.STDEV.S(INDEX(neos_benchmark!H:H, (ROW()-2)*averages!$B2+2):INDEX(neos_benchmark!H:H, (ROW()-2)*averages!$B2+averages!$B2+1)), "")</f>
        <v/>
      </c>
      <c r="I2">
        <f>IFERROR(_xlfn.STDEV.S(INDEX(neos_benchmark!I:I, (ROW()-2)*averages!$B2+2):INDEX(neos_benchmark!I:I, (ROW()-2)*averages!$B2+averages!$B2+1)), "")</f>
        <v>0</v>
      </c>
      <c r="J2">
        <f>IFERROR(_xlfn.STDEV.S(INDEX(neos_benchmark!J:J, (ROW()-2)*averages!$B2+2):INDEX(neos_benchmark!J:J, (ROW()-2)*averages!$B2+averages!$B2+1)), "")</f>
        <v>0</v>
      </c>
      <c r="K2">
        <f>IFERROR(_xlfn.STDEV.S(INDEX(neos_benchmark!K:K, (ROW()-2)*averages!$B2+2):INDEX(neos_benchmark!K:K, (ROW()-2)*averages!$B2+averages!$B2+1)), "")</f>
        <v>0</v>
      </c>
      <c r="L2">
        <f>IFERROR(_xlfn.STDEV.S(INDEX(neos_benchmark!L:L, (ROW()-2)*averages!$B2+2):INDEX(neos_benchmark!L:L, (ROW()-2)*averages!$B2+averages!$B2+1)), "")</f>
        <v>0</v>
      </c>
      <c r="M2">
        <f>IFERROR(_xlfn.STDEV.S(INDEX(neos_benchmark!M:M, (ROW()-2)*averages!$B2+2):INDEX(neos_benchmark!M:M, (ROW()-2)*averages!$B2+averages!$B2+1)), "")</f>
        <v>0</v>
      </c>
      <c r="N2">
        <f>IFERROR(_xlfn.STDEV.S(INDEX(neos_benchmark!N:N, (ROW()-2)*averages!$B2+2):INDEX(neos_benchmark!N:N, (ROW()-2)*averages!$B2+averages!$B2+1)), "")</f>
        <v>0</v>
      </c>
      <c r="O2">
        <f>IFERROR(_xlfn.STDEV.S(INDEX(neos_benchmark!O:O, (ROW()-2)*averages!$B2+2):INDEX(neos_benchmark!O:O, (ROW()-2)*averages!$B2+averages!$B2+1)), "")</f>
        <v>0</v>
      </c>
      <c r="P2">
        <f>IFERROR(_xlfn.STDEV.S(INDEX(neos_benchmark!P:P, (ROW()-2)*averages!$B2+2):INDEX(neos_benchmark!P:P, (ROW()-2)*averages!$B2+averages!$B2+1)), "")</f>
        <v>0</v>
      </c>
      <c r="Q2">
        <f>IFERROR(_xlfn.STDEV.S(INDEX(neos_benchmark!Q:Q, (ROW()-2)*averages!$B2+2):INDEX(neos_benchmark!Q:Q, (ROW()-2)*averages!$B2+averages!$B2+1)), "")</f>
        <v>0</v>
      </c>
      <c r="R2">
        <f>IFERROR(_xlfn.STDEV.S(INDEX(neos_benchmark!R:R, (ROW()-2)*averages!$B2+2):INDEX(neos_benchmark!R:R, (ROW()-2)*averages!$B2+averages!$B2+1)), "")</f>
        <v>5.9898061552756355E-3</v>
      </c>
      <c r="S2">
        <f>IFERROR(_xlfn.STDEV.S(INDEX(neos_benchmark!S:S, (ROW()-2)*averages!$B2+2):INDEX(neos_benchmark!S:S, (ROW()-2)*averages!$B2+averages!$B2+1)), "")</f>
        <v>1.8529256146249725E-3</v>
      </c>
      <c r="T2">
        <f>IFERROR(_xlfn.STDEV.S(INDEX(neos_benchmark!T:T, (ROW()-2)*averages!$B2+2):INDEX(neos_benchmark!T:T, (ROW()-2)*averages!$B2+averages!$B2+1)), "")</f>
        <v>0</v>
      </c>
      <c r="U2">
        <f>IFERROR(_xlfn.STDEV.S(INDEX(neos_benchmark!U:U, (ROW()-2)*averages!$B2+2):INDEX(neos_benchmark!U:U, (ROW()-2)*averages!$B2+averages!$B2+1)), "")</f>
        <v>0</v>
      </c>
      <c r="V2">
        <f>IFERROR(_xlfn.STDEV.S(INDEX(neos_benchmark!V:V, (ROW()-2)*averages!$B2+2):INDEX(neos_benchmark!V:V, (ROW()-2)*averages!$B2+averages!$B2+1)), "")</f>
        <v>0</v>
      </c>
      <c r="W2">
        <f>IFERROR(_xlfn.STDEV.S(INDEX(neos_benchmark!W:W, (ROW()-2)*averages!$B2+2):INDEX(neos_benchmark!W:W, (ROW()-2)*averages!$B2+averages!$B2+1)), "")</f>
        <v>7.2249137019068238E-3</v>
      </c>
      <c r="X2">
        <f>IFERROR(_xlfn.STDEV.S(INDEX(neos_benchmark!X:X, (ROW()-2)*averages!$B2+2):INDEX(neos_benchmark!X:X, (ROW()-2)*averages!$B2+averages!$B2+1)), "")</f>
        <v>1.1436724667102519E-3</v>
      </c>
      <c r="Y2">
        <f>IFERROR(_xlfn.STDEV.S(INDEX(neos_benchmark!Y:Y, (ROW()-2)*averages!$B2+2):INDEX(neos_benchmark!Y:Y, (ROW()-2)*averages!$B2+averages!$B2+1)), "")</f>
        <v>8.2907838719334312E-3</v>
      </c>
      <c r="Z2">
        <f>IFERROR(_xlfn.STDEV.S(INDEX(neos_benchmark!Z:Z, (ROW()-2)*averages!$B2+2):INDEX(neos_benchmark!Z:Z, (ROW()-2)*averages!$B2+averages!$B2+1)), "")</f>
        <v>7.7282620735699345E-3</v>
      </c>
      <c r="AA2">
        <f>IFERROR(_xlfn.STDEV.S(INDEX(neos_benchmark!AA:AA, (ROW()-2)*averages!$B2+2):INDEX(neos_benchmark!AA:AA, (ROW()-2)*averages!$B2+averages!$B2+1)), "")</f>
        <v>8.9935615216911978E-3</v>
      </c>
      <c r="AB2">
        <f>IFERROR(_xlfn.STDEV.S(INDEX(neos_benchmark!AB:AB, (ROW()-2)*averages!$B2+2):INDEX(neos_benchmark!AB:AB, (ROW()-2)*averages!$B2+averages!$B2+1)), "")</f>
        <v>2.2371185733239779E-3</v>
      </c>
      <c r="AC2">
        <f>IFERROR(_xlfn.STDEV.S(INDEX(neos_benchmark!AC:AC, (ROW()-2)*averages!$B2+2):INDEX(neos_benchmark!AC:AC, (ROW()-2)*averages!$B2+averages!$B2+1)), "")</f>
        <v>7.9337991046744653E-3</v>
      </c>
      <c r="AD2">
        <f>IFERROR(_xlfn.STDEV.S(INDEX(neos_benchmark!AD:AD, (ROW()-2)*averages!$B2+2):INDEX(neos_benchmark!AD:AD, (ROW()-2)*averages!$B2+averages!$B2+1)), "")</f>
        <v>8.8385475082479528E-3</v>
      </c>
      <c r="AE2">
        <f>IFERROR(_xlfn.STDEV.S(INDEX(neos_benchmark!AE:AE, (ROW()-2)*averages!$B2+2):INDEX(neos_benchmark!AE:AE, (ROW()-2)*averages!$B2+averages!$B2+1)), "")</f>
        <v>0</v>
      </c>
      <c r="AF2">
        <f>IFERROR(_xlfn.STDEV.S(INDEX(neos_benchmark!AF:AF, (ROW()-2)*averages!$B2+2):INDEX(neos_benchmark!AF:AF, (ROW()-2)*averages!$B2+averages!$B2+1)), "")</f>
        <v>0</v>
      </c>
      <c r="AG2">
        <f>IFERROR(_xlfn.STDEV.S(INDEX(neos_benchmark!AG:AG, (ROW()-2)*averages!$B2+2):INDEX(neos_benchmark!AG:AG, (ROW()-2)*averages!$B2+averages!$B2+1)), "")</f>
        <v>0</v>
      </c>
      <c r="AH2">
        <f>IFERROR(_xlfn.STDEV.S(INDEX(neos_benchmark!AH:AH, (ROW()-2)*averages!$B2+2):INDEX(neos_benchmark!AH:AH, (ROW()-2)*averages!$B2+averages!$B2+1)), "")</f>
        <v>0</v>
      </c>
      <c r="AI2">
        <f>IFERROR(_xlfn.STDEV.S(INDEX(neos_benchmark!AI:AI, (ROW()-2)*averages!$B2+2):INDEX(neos_benchmark!AI:AI, (ROW()-2)*averages!$B2+averages!$B2+1)), "")</f>
        <v>461448.92355619022</v>
      </c>
      <c r="AJ2">
        <f>IFERROR(_xlfn.STDEV.S(INDEX(neos_benchmark!AJ:AJ, (ROW()-2)*averages!$B2+2):INDEX(neos_benchmark!AJ:AJ, (ROW()-2)*averages!$B2+averages!$B2+1)), "")</f>
        <v>430805.58819481183</v>
      </c>
      <c r="AK2" cm="1">
        <f t="array" ref="AK2">IFERROR(_xlfn.STDEV.S(INDEX(neos_benchmark!W:W, (ROW()-2)*averages!$B2+2):INDEX(neos_benchmark!W:W, (ROW()-2)*averages!$B2+averages!$B2+1) + INDEX(neos_benchmark!AA:AA, (ROW()-2)*averages!$B2+2):INDEX(neos_benchmark!AA:AA, (ROW()-2)*averages!$B2+averages!$B2+1)), "")</f>
        <v>1.6089849814919618E-2</v>
      </c>
      <c r="AL2" cm="1">
        <f t="array" ref="AL2">IFERROR(_xlfn.STDEV.S((INDEX(neos_benchmark!AJ:AJ, (ROW()-2)*averages!$B2+2):INDEX(neos_benchmark!AJ:AJ, (ROW()-2)*averages!$B2+averages!$B2+1) - INDEX(neos_benchmark!AI:AI, (ROW()-2)*averages!$B2+2):INDEX(neos_benchmark!AI:AI, (ROW()-2)*averages!$B2+averages!$B2+1)) / 1000), "")</f>
        <v>101.3091148144573</v>
      </c>
    </row>
    <row r="3" spans="1:38" x14ac:dyDescent="0.25">
      <c r="A3" t="str" cm="1">
        <f t="array" ref="A3">INDEX(neos_benchmark!A:A, (ROW()-2)*$B3+2)</f>
        <v>cart-pendulum-time</v>
      </c>
      <c r="B3">
        <f>COUNTIF(neos_benchmark!A:A, neos_benchmark!A3)</f>
        <v>10</v>
      </c>
      <c r="C3" t="str" cm="1">
        <f t="array" ref="C3">INDEX(neos_benchmark!C:C, (ROW()-2)*$B3+2)</f>
        <v>Ipopt</v>
      </c>
      <c r="D3" t="str" cm="1">
        <f t="array" ref="D3">INDEX(neos_benchmark!D:D, (ROW()-2)*$B3+2)</f>
        <v>3.14.12</v>
      </c>
      <c r="E3" t="str" cm="1">
        <f t="array" ref="E3">INDEX(neos_benchmark!E:E, (ROW()-2)*$B3+2)</f>
        <v>solved</v>
      </c>
      <c r="F3">
        <f>IFERROR(_xlfn.STDEV.S(INDEX(neos_benchmark!F:F, (ROW()-2)*averages!$B3+2):INDEX(neos_benchmark!F:F, (ROW()-2)*averages!$B3+averages!$B3+1)), "")</f>
        <v>0</v>
      </c>
      <c r="G3">
        <f>IFERROR(_xlfn.STDEV.S(INDEX(neos_benchmark!G:G, (ROW()-2)*averages!$B3+2):INDEX(neos_benchmark!G:G, (ROW()-2)*averages!$B3+averages!$B3+1)), "")</f>
        <v>2.3405556457178008E-16</v>
      </c>
      <c r="H3" t="str">
        <f>IFERROR(_xlfn.STDEV.S(INDEX(neos_benchmark!H:H, (ROW()-2)*averages!$B3+2):INDEX(neos_benchmark!H:H, (ROW()-2)*averages!$B3+averages!$B3+1)), "")</f>
        <v/>
      </c>
      <c r="I3">
        <f>IFERROR(_xlfn.STDEV.S(INDEX(neos_benchmark!I:I, (ROW()-2)*averages!$B3+2):INDEX(neos_benchmark!I:I, (ROW()-2)*averages!$B3+averages!$B3+1)), "")</f>
        <v>0</v>
      </c>
      <c r="J3">
        <f>IFERROR(_xlfn.STDEV.S(INDEX(neos_benchmark!J:J, (ROW()-2)*averages!$B3+2):INDEX(neos_benchmark!J:J, (ROW()-2)*averages!$B3+averages!$B3+1)), "")</f>
        <v>0</v>
      </c>
      <c r="K3">
        <f>IFERROR(_xlfn.STDEV.S(INDEX(neos_benchmark!K:K, (ROW()-2)*averages!$B3+2):INDEX(neos_benchmark!K:K, (ROW()-2)*averages!$B3+averages!$B3+1)), "")</f>
        <v>0</v>
      </c>
      <c r="L3">
        <f>IFERROR(_xlfn.STDEV.S(INDEX(neos_benchmark!L:L, (ROW()-2)*averages!$B3+2):INDEX(neos_benchmark!L:L, (ROW()-2)*averages!$B3+averages!$B3+1)), "")</f>
        <v>0</v>
      </c>
      <c r="M3">
        <f>IFERROR(_xlfn.STDEV.S(INDEX(neos_benchmark!M:M, (ROW()-2)*averages!$B3+2):INDEX(neos_benchmark!M:M, (ROW()-2)*averages!$B3+averages!$B3+1)), "")</f>
        <v>0</v>
      </c>
      <c r="N3">
        <f>IFERROR(_xlfn.STDEV.S(INDEX(neos_benchmark!N:N, (ROW()-2)*averages!$B3+2):INDEX(neos_benchmark!N:N, (ROW()-2)*averages!$B3+averages!$B3+1)), "")</f>
        <v>0</v>
      </c>
      <c r="O3">
        <f>IFERROR(_xlfn.STDEV.S(INDEX(neos_benchmark!O:O, (ROW()-2)*averages!$B3+2):INDEX(neos_benchmark!O:O, (ROW()-2)*averages!$B3+averages!$B3+1)), "")</f>
        <v>0</v>
      </c>
      <c r="P3">
        <f>IFERROR(_xlfn.STDEV.S(INDEX(neos_benchmark!P:P, (ROW()-2)*averages!$B3+2):INDEX(neos_benchmark!P:P, (ROW()-2)*averages!$B3+averages!$B3+1)), "")</f>
        <v>0</v>
      </c>
      <c r="Q3">
        <f>IFERROR(_xlfn.STDEV.S(INDEX(neos_benchmark!Q:Q, (ROW()-2)*averages!$B3+2):INDEX(neos_benchmark!Q:Q, (ROW()-2)*averages!$B3+averages!$B3+1)), "")</f>
        <v>0</v>
      </c>
      <c r="R3">
        <f>IFERROR(_xlfn.STDEV.S(INDEX(neos_benchmark!R:R, (ROW()-2)*averages!$B3+2):INDEX(neos_benchmark!R:R, (ROW()-2)*averages!$B3+averages!$B3+1)), "")</f>
        <v>5.1434964329292142E-3</v>
      </c>
      <c r="S3">
        <f>IFERROR(_xlfn.STDEV.S(INDEX(neos_benchmark!S:S, (ROW()-2)*averages!$B3+2):INDEX(neos_benchmark!S:S, (ROW()-2)*averages!$B3+averages!$B3+1)), "")</f>
        <v>4.2163702135578394E-4</v>
      </c>
      <c r="T3">
        <f>IFERROR(_xlfn.STDEV.S(INDEX(neos_benchmark!T:T, (ROW()-2)*averages!$B3+2):INDEX(neos_benchmark!T:T, (ROW()-2)*averages!$B3+averages!$B3+1)), "")</f>
        <v>0</v>
      </c>
      <c r="U3">
        <f>IFERROR(_xlfn.STDEV.S(INDEX(neos_benchmark!U:U, (ROW()-2)*averages!$B3+2):INDEX(neos_benchmark!U:U, (ROW()-2)*averages!$B3+averages!$B3+1)), "")</f>
        <v>0</v>
      </c>
      <c r="V3">
        <f>IFERROR(_xlfn.STDEV.S(INDEX(neos_benchmark!V:V, (ROW()-2)*averages!$B3+2):INDEX(neos_benchmark!V:V, (ROW()-2)*averages!$B3+averages!$B3+1)), "")</f>
        <v>0</v>
      </c>
      <c r="W3">
        <f>IFERROR(_xlfn.STDEV.S(INDEX(neos_benchmark!W:W, (ROW()-2)*averages!$B3+2):INDEX(neos_benchmark!W:W, (ROW()-2)*averages!$B3+averages!$B3+1)), "")</f>
        <v>1.7703234136419563E-3</v>
      </c>
      <c r="X3">
        <f>IFERROR(_xlfn.STDEV.S(INDEX(neos_benchmark!X:X, (ROW()-2)*averages!$B3+2):INDEX(neos_benchmark!X:X, (ROW()-2)*averages!$B3+averages!$B3+1)), "")</f>
        <v>2.5435182654478159E-3</v>
      </c>
      <c r="Y3">
        <f>IFERROR(_xlfn.STDEV.S(INDEX(neos_benchmark!Y:Y, (ROW()-2)*averages!$B3+2):INDEX(neos_benchmark!Y:Y, (ROW()-2)*averages!$B3+averages!$B3+1)), "")</f>
        <v>2.728290569813511E-3</v>
      </c>
      <c r="Z3">
        <f>IFERROR(_xlfn.STDEV.S(INDEX(neos_benchmark!Z:Z, (ROW()-2)*averages!$B3+2):INDEX(neos_benchmark!Z:Z, (ROW()-2)*averages!$B3+averages!$B3+1)), "")</f>
        <v>2.0945586222930646E-3</v>
      </c>
      <c r="AA3">
        <f>IFERROR(_xlfn.STDEV.S(INDEX(neos_benchmark!AA:AA, (ROW()-2)*averages!$B3+2):INDEX(neos_benchmark!AA:AA, (ROW()-2)*averages!$B3+averages!$B3+1)), "")</f>
        <v>6.2274050677451299E-3</v>
      </c>
      <c r="AB3">
        <f>IFERROR(_xlfn.STDEV.S(INDEX(neos_benchmark!AB:AB, (ROW()-2)*averages!$B3+2):INDEX(neos_benchmark!AB:AB, (ROW()-2)*averages!$B3+averages!$B3+1)), "")</f>
        <v>3.0837421278555573E-3</v>
      </c>
      <c r="AC3">
        <f>IFERROR(_xlfn.STDEV.S(INDEX(neos_benchmark!AC:AC, (ROW()-2)*averages!$B3+2):INDEX(neos_benchmark!AC:AC, (ROW()-2)*averages!$B3+averages!$B3+1)), "")</f>
        <v>4.804434734932115E-3</v>
      </c>
      <c r="AD3">
        <f>IFERROR(_xlfn.STDEV.S(INDEX(neos_benchmark!AD:AD, (ROW()-2)*averages!$B3+2):INDEX(neos_benchmark!AD:AD, (ROW()-2)*averages!$B3+averages!$B3+1)), "")</f>
        <v>6.2027057079955053E-3</v>
      </c>
      <c r="AE3">
        <f>IFERROR(_xlfn.STDEV.S(INDEX(neos_benchmark!AE:AE, (ROW()-2)*averages!$B3+2):INDEX(neos_benchmark!AE:AE, (ROW()-2)*averages!$B3+averages!$B3+1)), "")</f>
        <v>0</v>
      </c>
      <c r="AF3">
        <f>IFERROR(_xlfn.STDEV.S(INDEX(neos_benchmark!AF:AF, (ROW()-2)*averages!$B3+2):INDEX(neos_benchmark!AF:AF, (ROW()-2)*averages!$B3+averages!$B3+1)), "")</f>
        <v>0</v>
      </c>
      <c r="AG3">
        <f>IFERROR(_xlfn.STDEV.S(INDEX(neos_benchmark!AG:AG, (ROW()-2)*averages!$B3+2):INDEX(neos_benchmark!AG:AG, (ROW()-2)*averages!$B3+averages!$B3+1)), "")</f>
        <v>0</v>
      </c>
      <c r="AH3">
        <f>IFERROR(_xlfn.STDEV.S(INDEX(neos_benchmark!AH:AH, (ROW()-2)*averages!$B3+2):INDEX(neos_benchmark!AH:AH, (ROW()-2)*averages!$B3+averages!$B3+1)), "")</f>
        <v>0</v>
      </c>
      <c r="AI3">
        <f>IFERROR(_xlfn.STDEV.S(INDEX(neos_benchmark!AI:AI, (ROW()-2)*averages!$B3+2):INDEX(neos_benchmark!AI:AI, (ROW()-2)*averages!$B3+averages!$B3+1)), "")</f>
        <v>362434.16328793042</v>
      </c>
      <c r="AJ3">
        <f>IFERROR(_xlfn.STDEV.S(INDEX(neos_benchmark!AJ:AJ, (ROW()-2)*averages!$B3+2):INDEX(neos_benchmark!AJ:AJ, (ROW()-2)*averages!$B3+averages!$B3+1)), "")</f>
        <v>384119.48958300869</v>
      </c>
      <c r="AK3" cm="1">
        <f t="array" ref="AK3">IFERROR(_xlfn.STDEV.S(INDEX(neos_benchmark!W:W, (ROW()-2)*averages!$B3+2):INDEX(neos_benchmark!W:W, (ROW()-2)*averages!$B3+averages!$B3+1) + INDEX(neos_benchmark!AA:AA, (ROW()-2)*averages!$B3+2):INDEX(neos_benchmark!AA:AA, (ROW()-2)*averages!$B3+averages!$B3+1)), "")</f>
        <v>7.9203880376321652E-3</v>
      </c>
      <c r="AL3" cm="1">
        <f t="array" ref="AL3">IFERROR(_xlfn.STDEV.S((INDEX(neos_benchmark!AJ:AJ, (ROW()-2)*averages!$B3+2):INDEX(neos_benchmark!AJ:AJ, (ROW()-2)*averages!$B3+averages!$B3+1) - INDEX(neos_benchmark!AI:AI, (ROW()-2)*averages!$B3+2):INDEX(neos_benchmark!AI:AI, (ROW()-2)*averages!$B3+averages!$B3+1)) / 1000), "")</f>
        <v>36.953492184396083</v>
      </c>
    </row>
    <row r="4" spans="1:38" x14ac:dyDescent="0.25">
      <c r="A4" t="str" cm="1">
        <f t="array" ref="A4">INDEX(neos_benchmark!A:A, (ROW()-2)*$B4+2)</f>
        <v>cart-pendulum-utot</v>
      </c>
      <c r="B4">
        <f>COUNTIF(neos_benchmark!A:A, neos_benchmark!A4)</f>
        <v>10</v>
      </c>
      <c r="C4" t="str" cm="1">
        <f t="array" ref="C4">INDEX(neos_benchmark!C:C, (ROW()-2)*$B4+2)</f>
        <v>Ipopt</v>
      </c>
      <c r="D4" t="str" cm="1">
        <f t="array" ref="D4">INDEX(neos_benchmark!D:D, (ROW()-2)*$B4+2)</f>
        <v>3.14.12</v>
      </c>
      <c r="E4" t="str" cm="1">
        <f t="array" ref="E4">INDEX(neos_benchmark!E:E, (ROW()-2)*$B4+2)</f>
        <v>solved</v>
      </c>
      <c r="F4">
        <f>IFERROR(_xlfn.STDEV.S(INDEX(neos_benchmark!F:F, (ROW()-2)*averages!$B4+2):INDEX(neos_benchmark!F:F, (ROW()-2)*averages!$B4+averages!$B4+1)), "")</f>
        <v>0</v>
      </c>
      <c r="G4">
        <f>IFERROR(_xlfn.STDEV.S(INDEX(neos_benchmark!G:G, (ROW()-2)*averages!$B4+2):INDEX(neos_benchmark!G:G, (ROW()-2)*averages!$B4+averages!$B4+1)), "")</f>
        <v>4.0194366942304644E-14</v>
      </c>
      <c r="H4" t="str">
        <f>IFERROR(_xlfn.STDEV.S(INDEX(neos_benchmark!H:H, (ROW()-2)*averages!$B4+2):INDEX(neos_benchmark!H:H, (ROW()-2)*averages!$B4+averages!$B4+1)), "")</f>
        <v/>
      </c>
      <c r="I4">
        <f>IFERROR(_xlfn.STDEV.S(INDEX(neos_benchmark!I:I, (ROW()-2)*averages!$B4+2):INDEX(neos_benchmark!I:I, (ROW()-2)*averages!$B4+averages!$B4+1)), "")</f>
        <v>0</v>
      </c>
      <c r="J4">
        <f>IFERROR(_xlfn.STDEV.S(INDEX(neos_benchmark!J:J, (ROW()-2)*averages!$B4+2):INDEX(neos_benchmark!J:J, (ROW()-2)*averages!$B4+averages!$B4+1)), "")</f>
        <v>0</v>
      </c>
      <c r="K4">
        <f>IFERROR(_xlfn.STDEV.S(INDEX(neos_benchmark!K:K, (ROW()-2)*averages!$B4+2):INDEX(neos_benchmark!K:K, (ROW()-2)*averages!$B4+averages!$B4+1)), "")</f>
        <v>0</v>
      </c>
      <c r="L4">
        <f>IFERROR(_xlfn.STDEV.S(INDEX(neos_benchmark!L:L, (ROW()-2)*averages!$B4+2):INDEX(neos_benchmark!L:L, (ROW()-2)*averages!$B4+averages!$B4+1)), "")</f>
        <v>0</v>
      </c>
      <c r="M4">
        <f>IFERROR(_xlfn.STDEV.S(INDEX(neos_benchmark!M:M, (ROW()-2)*averages!$B4+2):INDEX(neos_benchmark!M:M, (ROW()-2)*averages!$B4+averages!$B4+1)), "")</f>
        <v>0</v>
      </c>
      <c r="N4">
        <f>IFERROR(_xlfn.STDEV.S(INDEX(neos_benchmark!N:N, (ROW()-2)*averages!$B4+2):INDEX(neos_benchmark!N:N, (ROW()-2)*averages!$B4+averages!$B4+1)), "")</f>
        <v>0</v>
      </c>
      <c r="O4">
        <f>IFERROR(_xlfn.STDEV.S(INDEX(neos_benchmark!O:O, (ROW()-2)*averages!$B4+2):INDEX(neos_benchmark!O:O, (ROW()-2)*averages!$B4+averages!$B4+1)), "")</f>
        <v>0</v>
      </c>
      <c r="P4">
        <f>IFERROR(_xlfn.STDEV.S(INDEX(neos_benchmark!P:P, (ROW()-2)*averages!$B4+2):INDEX(neos_benchmark!P:P, (ROW()-2)*averages!$B4+averages!$B4+1)), "")</f>
        <v>0</v>
      </c>
      <c r="Q4">
        <f>IFERROR(_xlfn.STDEV.S(INDEX(neos_benchmark!Q:Q, (ROW()-2)*averages!$B4+2):INDEX(neos_benchmark!Q:Q, (ROW()-2)*averages!$B4+averages!$B4+1)), "")</f>
        <v>0</v>
      </c>
      <c r="R4">
        <f>IFERROR(_xlfn.STDEV.S(INDEX(neos_benchmark!R:R, (ROW()-2)*averages!$B4+2):INDEX(neos_benchmark!R:R, (ROW()-2)*averages!$B4+averages!$B4+1)), "")</f>
        <v>6.6533199732664878E-3</v>
      </c>
      <c r="S4">
        <f>IFERROR(_xlfn.STDEV.S(INDEX(neos_benchmark!S:S, (ROW()-2)*averages!$B4+2):INDEX(neos_benchmark!S:S, (ROW()-2)*averages!$B4+averages!$B4+1)), "")</f>
        <v>1.3165611772087667E-3</v>
      </c>
      <c r="T4">
        <f>IFERROR(_xlfn.STDEV.S(INDEX(neos_benchmark!T:T, (ROW()-2)*averages!$B4+2):INDEX(neos_benchmark!T:T, (ROW()-2)*averages!$B4+averages!$B4+1)), "")</f>
        <v>0</v>
      </c>
      <c r="U4">
        <f>IFERROR(_xlfn.STDEV.S(INDEX(neos_benchmark!U:U, (ROW()-2)*averages!$B4+2):INDEX(neos_benchmark!U:U, (ROW()-2)*averages!$B4+averages!$B4+1)), "")</f>
        <v>0</v>
      </c>
      <c r="V4">
        <f>IFERROR(_xlfn.STDEV.S(INDEX(neos_benchmark!V:V, (ROW()-2)*averages!$B4+2):INDEX(neos_benchmark!V:V, (ROW()-2)*averages!$B4+averages!$B4+1)), "")</f>
        <v>0</v>
      </c>
      <c r="W4">
        <f>IFERROR(_xlfn.STDEV.S(INDEX(neos_benchmark!W:W, (ROW()-2)*averages!$B4+2):INDEX(neos_benchmark!W:W, (ROW()-2)*averages!$B4+averages!$B4+1)), "")</f>
        <v>1.1628114921268284E-2</v>
      </c>
      <c r="X4">
        <f>IFERROR(_xlfn.STDEV.S(INDEX(neos_benchmark!X:X, (ROW()-2)*averages!$B4+2):INDEX(neos_benchmark!X:X, (ROW()-2)*averages!$B4+averages!$B4+1)), "")</f>
        <v>3.9104661785180211E-3</v>
      </c>
      <c r="Y4">
        <f>IFERROR(_xlfn.STDEV.S(INDEX(neos_benchmark!Y:Y, (ROW()-2)*averages!$B4+2):INDEX(neos_benchmark!Y:Y, (ROW()-2)*averages!$B4+averages!$B4+1)), "")</f>
        <v>1.2694427229212732E-2</v>
      </c>
      <c r="Z4">
        <f>IFERROR(_xlfn.STDEV.S(INDEX(neos_benchmark!Z:Z, (ROW()-2)*averages!$B4+2):INDEX(neos_benchmark!Z:Z, (ROW()-2)*averages!$B4+averages!$B4+1)), "")</f>
        <v>1.2432475979823584E-2</v>
      </c>
      <c r="AA4">
        <f>IFERROR(_xlfn.STDEV.S(INDEX(neos_benchmark!AA:AA, (ROW()-2)*averages!$B4+2):INDEX(neos_benchmark!AA:AA, (ROW()-2)*averages!$B4+averages!$B4+1)), "")</f>
        <v>9.4758449807919535E-3</v>
      </c>
      <c r="AB4">
        <f>IFERROR(_xlfn.STDEV.S(INDEX(neos_benchmark!AB:AB, (ROW()-2)*averages!$B4+2):INDEX(neos_benchmark!AB:AB, (ROW()-2)*averages!$B4+averages!$B4+1)), "")</f>
        <v>2.2203242230709381E-3</v>
      </c>
      <c r="AC4">
        <f>IFERROR(_xlfn.STDEV.S(INDEX(neos_benchmark!AC:AC, (ROW()-2)*averages!$B4+2):INDEX(neos_benchmark!AC:AC, (ROW()-2)*averages!$B4+averages!$B4+1)), "")</f>
        <v>8.2707397929219391E-3</v>
      </c>
      <c r="AD4">
        <f>IFERROR(_xlfn.STDEV.S(INDEX(neos_benchmark!AD:AD, (ROW()-2)*averages!$B4+2):INDEX(neos_benchmark!AD:AD, (ROW()-2)*averages!$B4+averages!$B4+1)), "")</f>
        <v>9.2981215689573911E-3</v>
      </c>
      <c r="AE4">
        <f>IFERROR(_xlfn.STDEV.S(INDEX(neos_benchmark!AE:AE, (ROW()-2)*averages!$B4+2):INDEX(neos_benchmark!AE:AE, (ROW()-2)*averages!$B4+averages!$B4+1)), "")</f>
        <v>0</v>
      </c>
      <c r="AF4">
        <f>IFERROR(_xlfn.STDEV.S(INDEX(neos_benchmark!AF:AF, (ROW()-2)*averages!$B4+2):INDEX(neos_benchmark!AF:AF, (ROW()-2)*averages!$B4+averages!$B4+1)), "")</f>
        <v>0</v>
      </c>
      <c r="AG4">
        <f>IFERROR(_xlfn.STDEV.S(INDEX(neos_benchmark!AG:AG, (ROW()-2)*averages!$B4+2):INDEX(neos_benchmark!AG:AG, (ROW()-2)*averages!$B4+averages!$B4+1)), "")</f>
        <v>0</v>
      </c>
      <c r="AH4">
        <f>IFERROR(_xlfn.STDEV.S(INDEX(neos_benchmark!AH:AH, (ROW()-2)*averages!$B4+2):INDEX(neos_benchmark!AH:AH, (ROW()-2)*averages!$B4+averages!$B4+1)), "")</f>
        <v>0</v>
      </c>
      <c r="AI4">
        <f>IFERROR(_xlfn.STDEV.S(INDEX(neos_benchmark!AI:AI, (ROW()-2)*averages!$B4+2):INDEX(neos_benchmark!AI:AI, (ROW()-2)*averages!$B4+averages!$B4+1)), "")</f>
        <v>419677.29553165805</v>
      </c>
      <c r="AJ4">
        <f>IFERROR(_xlfn.STDEV.S(INDEX(neos_benchmark!AJ:AJ, (ROW()-2)*averages!$B4+2):INDEX(neos_benchmark!AJ:AJ, (ROW()-2)*averages!$B4+averages!$B4+1)), "")</f>
        <v>425196.99068529793</v>
      </c>
      <c r="AK4" cm="1">
        <f t="array" ref="AK4">IFERROR(_xlfn.STDEV.S(INDEX(neos_benchmark!W:W, (ROW()-2)*averages!$B4+2):INDEX(neos_benchmark!W:W, (ROW()-2)*averages!$B4+averages!$B4+1) + INDEX(neos_benchmark!AA:AA, (ROW()-2)*averages!$B4+2):INDEX(neos_benchmark!AA:AA, (ROW()-2)*averages!$B4+averages!$B4+1)), "")</f>
        <v>2.0842899574621949E-2</v>
      </c>
      <c r="AL4" cm="1">
        <f t="array" ref="AL4">IFERROR(_xlfn.STDEV.S((INDEX(neos_benchmark!AJ:AJ, (ROW()-2)*averages!$B4+2):INDEX(neos_benchmark!AJ:AJ, (ROW()-2)*averages!$B4+averages!$B4+1) - INDEX(neos_benchmark!AI:AI, (ROW()-2)*averages!$B4+2):INDEX(neos_benchmark!AI:AI, (ROW()-2)*averages!$B4+averages!$B4+1)) / 1000), "")</f>
        <v>40.323931811160364</v>
      </c>
    </row>
    <row r="5" spans="1:38" x14ac:dyDescent="0.25">
      <c r="A5" t="str" cm="1">
        <f t="array" ref="A5">INDEX(neos_benchmark!A:A, (ROW()-2)*$B5+2)</f>
        <v>five-link-mc-kelly</v>
      </c>
      <c r="B5">
        <f>COUNTIF(neos_benchmark!A:A, neos_benchmark!A5)</f>
        <v>10</v>
      </c>
      <c r="C5" t="str" cm="1">
        <f t="array" ref="C5">INDEX(neos_benchmark!C:C, (ROW()-2)*$B5+2)</f>
        <v>Ipopt</v>
      </c>
      <c r="D5" t="str" cm="1">
        <f t="array" ref="D5">INDEX(neos_benchmark!D:D, (ROW()-2)*$B5+2)</f>
        <v>3.14.12</v>
      </c>
      <c r="E5" t="str" cm="1">
        <f t="array" ref="E5">INDEX(neos_benchmark!E:E, (ROW()-2)*$B5+2)</f>
        <v>solved</v>
      </c>
      <c r="F5">
        <f>IFERROR(_xlfn.STDEV.S(INDEX(neos_benchmark!F:F, (ROW()-2)*averages!$B5+2):INDEX(neos_benchmark!F:F, (ROW()-2)*averages!$B5+averages!$B5+1)), "")</f>
        <v>0</v>
      </c>
      <c r="G5">
        <f>IFERROR(_xlfn.STDEV.S(INDEX(neos_benchmark!G:G, (ROW()-2)*averages!$B5+2):INDEX(neos_benchmark!G:G, (ROW()-2)*averages!$B5+averages!$B5+1)), "")</f>
        <v>5.9918224530375701E-14</v>
      </c>
      <c r="H5" t="str">
        <f>IFERROR(_xlfn.STDEV.S(INDEX(neos_benchmark!H:H, (ROW()-2)*averages!$B5+2):INDEX(neos_benchmark!H:H, (ROW()-2)*averages!$B5+averages!$B5+1)), "")</f>
        <v/>
      </c>
      <c r="I5">
        <f>IFERROR(_xlfn.STDEV.S(INDEX(neos_benchmark!I:I, (ROW()-2)*averages!$B5+2):INDEX(neos_benchmark!I:I, (ROW()-2)*averages!$B5+averages!$B5+1)), "")</f>
        <v>0</v>
      </c>
      <c r="J5">
        <f>IFERROR(_xlfn.STDEV.S(INDEX(neos_benchmark!J:J, (ROW()-2)*averages!$B5+2):INDEX(neos_benchmark!J:J, (ROW()-2)*averages!$B5+averages!$B5+1)), "")</f>
        <v>0</v>
      </c>
      <c r="K5">
        <f>IFERROR(_xlfn.STDEV.S(INDEX(neos_benchmark!K:K, (ROW()-2)*averages!$B5+2):INDEX(neos_benchmark!K:K, (ROW()-2)*averages!$B5+averages!$B5+1)), "")</f>
        <v>0</v>
      </c>
      <c r="L5">
        <f>IFERROR(_xlfn.STDEV.S(INDEX(neos_benchmark!L:L, (ROW()-2)*averages!$B5+2):INDEX(neos_benchmark!L:L, (ROW()-2)*averages!$B5+averages!$B5+1)), "")</f>
        <v>0</v>
      </c>
      <c r="M5">
        <f>IFERROR(_xlfn.STDEV.S(INDEX(neos_benchmark!M:M, (ROW()-2)*averages!$B5+2):INDEX(neos_benchmark!M:M, (ROW()-2)*averages!$B5+averages!$B5+1)), "")</f>
        <v>0</v>
      </c>
      <c r="N5">
        <f>IFERROR(_xlfn.STDEV.S(INDEX(neos_benchmark!N:N, (ROW()-2)*averages!$B5+2):INDEX(neos_benchmark!N:N, (ROW()-2)*averages!$B5+averages!$B5+1)), "")</f>
        <v>0</v>
      </c>
      <c r="O5">
        <f>IFERROR(_xlfn.STDEV.S(INDEX(neos_benchmark!O:O, (ROW()-2)*averages!$B5+2):INDEX(neos_benchmark!O:O, (ROW()-2)*averages!$B5+averages!$B5+1)), "")</f>
        <v>0</v>
      </c>
      <c r="P5">
        <f>IFERROR(_xlfn.STDEV.S(INDEX(neos_benchmark!P:P, (ROW()-2)*averages!$B5+2):INDEX(neos_benchmark!P:P, (ROW()-2)*averages!$B5+averages!$B5+1)), "")</f>
        <v>0</v>
      </c>
      <c r="Q5">
        <f>IFERROR(_xlfn.STDEV.S(INDEX(neos_benchmark!Q:Q, (ROW()-2)*averages!$B5+2):INDEX(neos_benchmark!Q:Q, (ROW()-2)*averages!$B5+averages!$B5+1)), "")</f>
        <v>2.3849974913851885E-14</v>
      </c>
      <c r="R5">
        <f>IFERROR(_xlfn.STDEV.S(INDEX(neos_benchmark!R:R, (ROW()-2)*averages!$B5+2):INDEX(neos_benchmark!R:R, (ROW()-2)*averages!$B5+averages!$B5+1)), "")</f>
        <v>1.258261587358616E-2</v>
      </c>
      <c r="S5">
        <f>IFERROR(_xlfn.STDEV.S(INDEX(neos_benchmark!S:S, (ROW()-2)*averages!$B5+2):INDEX(neos_benchmark!S:S, (ROW()-2)*averages!$B5+averages!$B5+1)), "")</f>
        <v>3.1364523483281795E-2</v>
      </c>
      <c r="T5">
        <f>IFERROR(_xlfn.STDEV.S(INDEX(neos_benchmark!T:T, (ROW()-2)*averages!$B5+2):INDEX(neos_benchmark!T:T, (ROW()-2)*averages!$B5+averages!$B5+1)), "")</f>
        <v>0</v>
      </c>
      <c r="U5">
        <f>IFERROR(_xlfn.STDEV.S(INDEX(neos_benchmark!U:U, (ROW()-2)*averages!$B5+2):INDEX(neos_benchmark!U:U, (ROW()-2)*averages!$B5+averages!$B5+1)), "")</f>
        <v>0</v>
      </c>
      <c r="V5">
        <f>IFERROR(_xlfn.STDEV.S(INDEX(neos_benchmark!V:V, (ROW()-2)*averages!$B5+2):INDEX(neos_benchmark!V:V, (ROW()-2)*averages!$B5+averages!$B5+1)), "")</f>
        <v>0</v>
      </c>
      <c r="W5">
        <f>IFERROR(_xlfn.STDEV.S(INDEX(neos_benchmark!W:W, (ROW()-2)*averages!$B5+2):INDEX(neos_benchmark!W:W, (ROW()-2)*averages!$B5+averages!$B5+1)), "")</f>
        <v>0.12402368115722498</v>
      </c>
      <c r="X5">
        <f>IFERROR(_xlfn.STDEV.S(INDEX(neos_benchmark!X:X, (ROW()-2)*averages!$B5+2):INDEX(neos_benchmark!X:X, (ROW()-2)*averages!$B5+averages!$B5+1)), "")</f>
        <v>1.2617780010762527E-2</v>
      </c>
      <c r="Y5">
        <f>IFERROR(_xlfn.STDEV.S(INDEX(neos_benchmark!Y:Y, (ROW()-2)*averages!$B5+2):INDEX(neos_benchmark!Y:Y, (ROW()-2)*averages!$B5+averages!$B5+1)), "")</f>
        <v>0.11504876866505148</v>
      </c>
      <c r="Z5">
        <f>IFERROR(_xlfn.STDEV.S(INDEX(neos_benchmark!Z:Z, (ROW()-2)*averages!$B5+2):INDEX(neos_benchmark!Z:Z, (ROW()-2)*averages!$B5+averages!$B5+1)), "")</f>
        <v>0.12420653095930366</v>
      </c>
      <c r="AA5">
        <f>IFERROR(_xlfn.STDEV.S(INDEX(neos_benchmark!AA:AA, (ROW()-2)*averages!$B5+2):INDEX(neos_benchmark!AA:AA, (ROW()-2)*averages!$B5+averages!$B5+1)), "")</f>
        <v>5.1841762115970635E-2</v>
      </c>
      <c r="AB5">
        <f>IFERROR(_xlfn.STDEV.S(INDEX(neos_benchmark!AB:AB, (ROW()-2)*averages!$B5+2):INDEX(neos_benchmark!AB:AB, (ROW()-2)*averages!$B5+averages!$B5+1)), "")</f>
        <v>4.7129847926293562E-3</v>
      </c>
      <c r="AC5">
        <f>IFERROR(_xlfn.STDEV.S(INDEX(neos_benchmark!AC:AC, (ROW()-2)*averages!$B5+2):INDEX(neos_benchmark!AC:AC, (ROW()-2)*averages!$B5+averages!$B5+1)), "")</f>
        <v>4.851313769657311E-2</v>
      </c>
      <c r="AD5">
        <f>IFERROR(_xlfn.STDEV.S(INDEX(neos_benchmark!AD:AD, (ROW()-2)*averages!$B5+2):INDEX(neos_benchmark!AD:AD, (ROW()-2)*averages!$B5+averages!$B5+1)), "")</f>
        <v>5.1614659576089017E-2</v>
      </c>
      <c r="AE5">
        <f>IFERROR(_xlfn.STDEV.S(INDEX(neos_benchmark!AE:AE, (ROW()-2)*averages!$B5+2):INDEX(neos_benchmark!AE:AE, (ROW()-2)*averages!$B5+averages!$B5+1)), "")</f>
        <v>0</v>
      </c>
      <c r="AF5">
        <f>IFERROR(_xlfn.STDEV.S(INDEX(neos_benchmark!AF:AF, (ROW()-2)*averages!$B5+2):INDEX(neos_benchmark!AF:AF, (ROW()-2)*averages!$B5+averages!$B5+1)), "")</f>
        <v>0</v>
      </c>
      <c r="AG5">
        <f>IFERROR(_xlfn.STDEV.S(INDEX(neos_benchmark!AG:AG, (ROW()-2)*averages!$B5+2):INDEX(neos_benchmark!AG:AG, (ROW()-2)*averages!$B5+averages!$B5+1)), "")</f>
        <v>0</v>
      </c>
      <c r="AH5">
        <f>IFERROR(_xlfn.STDEV.S(INDEX(neos_benchmark!AH:AH, (ROW()-2)*averages!$B5+2):INDEX(neos_benchmark!AH:AH, (ROW()-2)*averages!$B5+averages!$B5+1)), "")</f>
        <v>0</v>
      </c>
      <c r="AI5">
        <f>IFERROR(_xlfn.STDEV.S(INDEX(neos_benchmark!AI:AI, (ROW()-2)*averages!$B5+2):INDEX(neos_benchmark!AI:AI, (ROW()-2)*averages!$B5+averages!$B5+1)), "")</f>
        <v>414272.62933415396</v>
      </c>
      <c r="AJ5">
        <f>IFERROR(_xlfn.STDEV.S(INDEX(neos_benchmark!AJ:AJ, (ROW()-2)*averages!$B5+2):INDEX(neos_benchmark!AJ:AJ, (ROW()-2)*averages!$B5+averages!$B5+1)), "")</f>
        <v>414584.77912947233</v>
      </c>
      <c r="AK5" cm="1">
        <f t="array" ref="AK5">IFERROR(_xlfn.STDEV.S(INDEX(neos_benchmark!W:W, (ROW()-2)*averages!$B5+2):INDEX(neos_benchmark!W:W, (ROW()-2)*averages!$B5+averages!$B5+1) + INDEX(neos_benchmark!AA:AA, (ROW()-2)*averages!$B5+2):INDEX(neos_benchmark!AA:AA, (ROW()-2)*averages!$B5+averages!$B5+1)), "")</f>
        <v>0.17562395114970297</v>
      </c>
      <c r="AL5" cm="1">
        <f t="array" ref="AL5">IFERROR(_xlfn.STDEV.S((INDEX(neos_benchmark!AJ:AJ, (ROW()-2)*averages!$B5+2):INDEX(neos_benchmark!AJ:AJ, (ROW()-2)*averages!$B5+averages!$B5+1) - INDEX(neos_benchmark!AI:AI, (ROW()-2)*averages!$B5+2):INDEX(neos_benchmark!AI:AI, (ROW()-2)*averages!$B5+averages!$B5+1)) / 1000), "")</f>
        <v>5.4740386106704726</v>
      </c>
    </row>
    <row r="6" spans="1:38" x14ac:dyDescent="0.25">
      <c r="A6" t="str" cm="1">
        <f t="array" ref="A6">INDEX(neos_benchmark!A:A, (ROW()-2)*$B6+2)</f>
        <v>five-link-phc-kelly</v>
      </c>
      <c r="B6">
        <f>COUNTIF(neos_benchmark!A:A, neos_benchmark!A6)</f>
        <v>10</v>
      </c>
      <c r="C6" t="str" cm="1">
        <f t="array" ref="C6">INDEX(neos_benchmark!C:C, (ROW()-2)*$B6+2)</f>
        <v>Ipopt</v>
      </c>
      <c r="D6" t="str" cm="1">
        <f t="array" ref="D6">INDEX(neos_benchmark!D:D, (ROW()-2)*$B6+2)</f>
        <v>3.14.12</v>
      </c>
      <c r="E6" t="str" cm="1">
        <f t="array" ref="E6">INDEX(neos_benchmark!E:E, (ROW()-2)*$B6+2)</f>
        <v>solved</v>
      </c>
      <c r="F6">
        <f>IFERROR(_xlfn.STDEV.S(INDEX(neos_benchmark!F:F, (ROW()-2)*averages!$B6+2):INDEX(neos_benchmark!F:F, (ROW()-2)*averages!$B6+averages!$B6+1)), "")</f>
        <v>0</v>
      </c>
      <c r="G6">
        <f>IFERROR(_xlfn.STDEV.S(INDEX(neos_benchmark!G:G, (ROW()-2)*averages!$B6+2):INDEX(neos_benchmark!G:G, (ROW()-2)*averages!$B6+averages!$B6+1)), "")</f>
        <v>0</v>
      </c>
      <c r="H6" t="str">
        <f>IFERROR(_xlfn.STDEV.S(INDEX(neos_benchmark!H:H, (ROW()-2)*averages!$B6+2):INDEX(neos_benchmark!H:H, (ROW()-2)*averages!$B6+averages!$B6+1)), "")</f>
        <v/>
      </c>
      <c r="I6">
        <f>IFERROR(_xlfn.STDEV.S(INDEX(neos_benchmark!I:I, (ROW()-2)*averages!$B6+2):INDEX(neos_benchmark!I:I, (ROW()-2)*averages!$B6+averages!$B6+1)), "")</f>
        <v>0</v>
      </c>
      <c r="J6">
        <f>IFERROR(_xlfn.STDEV.S(INDEX(neos_benchmark!J:J, (ROW()-2)*averages!$B6+2):INDEX(neos_benchmark!J:J, (ROW()-2)*averages!$B6+averages!$B6+1)), "")</f>
        <v>0</v>
      </c>
      <c r="K6">
        <f>IFERROR(_xlfn.STDEV.S(INDEX(neos_benchmark!K:K, (ROW()-2)*averages!$B6+2):INDEX(neos_benchmark!K:K, (ROW()-2)*averages!$B6+averages!$B6+1)), "")</f>
        <v>0</v>
      </c>
      <c r="L6">
        <f>IFERROR(_xlfn.STDEV.S(INDEX(neos_benchmark!L:L, (ROW()-2)*averages!$B6+2):INDEX(neos_benchmark!L:L, (ROW()-2)*averages!$B6+averages!$B6+1)), "")</f>
        <v>0</v>
      </c>
      <c r="M6">
        <f>IFERROR(_xlfn.STDEV.S(INDEX(neos_benchmark!M:M, (ROW()-2)*averages!$B6+2):INDEX(neos_benchmark!M:M, (ROW()-2)*averages!$B6+averages!$B6+1)), "")</f>
        <v>0</v>
      </c>
      <c r="N6">
        <f>IFERROR(_xlfn.STDEV.S(INDEX(neos_benchmark!N:N, (ROW()-2)*averages!$B6+2):INDEX(neos_benchmark!N:N, (ROW()-2)*averages!$B6+averages!$B6+1)), "")</f>
        <v>0</v>
      </c>
      <c r="O6">
        <f>IFERROR(_xlfn.STDEV.S(INDEX(neos_benchmark!O:O, (ROW()-2)*averages!$B6+2):INDEX(neos_benchmark!O:O, (ROW()-2)*averages!$B6+averages!$B6+1)), "")</f>
        <v>0</v>
      </c>
      <c r="P6">
        <f>IFERROR(_xlfn.STDEV.S(INDEX(neos_benchmark!P:P, (ROW()-2)*averages!$B6+2):INDEX(neos_benchmark!P:P, (ROW()-2)*averages!$B6+averages!$B6+1)), "")</f>
        <v>0</v>
      </c>
      <c r="Q6">
        <f>IFERROR(_xlfn.STDEV.S(INDEX(neos_benchmark!Q:Q, (ROW()-2)*averages!$B6+2):INDEX(neos_benchmark!Q:Q, (ROW()-2)*averages!$B6+averages!$B6+1)), "")</f>
        <v>0</v>
      </c>
      <c r="R6">
        <f>IFERROR(_xlfn.STDEV.S(INDEX(neos_benchmark!R:R, (ROW()-2)*averages!$B6+2):INDEX(neos_benchmark!R:R, (ROW()-2)*averages!$B6+averages!$B6+1)), "")</f>
        <v>3.0668297058109414E-2</v>
      </c>
      <c r="S6">
        <f>IFERROR(_xlfn.STDEV.S(INDEX(neos_benchmark!S:S, (ROW()-2)*averages!$B6+2):INDEX(neos_benchmark!S:S, (ROW()-2)*averages!$B6+averages!$B6+1)), "")</f>
        <v>6.4292387660679587E-2</v>
      </c>
      <c r="T6">
        <f>IFERROR(_xlfn.STDEV.S(INDEX(neos_benchmark!T:T, (ROW()-2)*averages!$B6+2):INDEX(neos_benchmark!T:T, (ROW()-2)*averages!$B6+averages!$B6+1)), "")</f>
        <v>0</v>
      </c>
      <c r="U6">
        <f>IFERROR(_xlfn.STDEV.S(INDEX(neos_benchmark!U:U, (ROW()-2)*averages!$B6+2):INDEX(neos_benchmark!U:U, (ROW()-2)*averages!$B6+averages!$B6+1)), "")</f>
        <v>0</v>
      </c>
      <c r="V6">
        <f>IFERROR(_xlfn.STDEV.S(INDEX(neos_benchmark!V:V, (ROW()-2)*averages!$B6+2):INDEX(neos_benchmark!V:V, (ROW()-2)*averages!$B6+averages!$B6+1)), "")</f>
        <v>0</v>
      </c>
      <c r="W6">
        <f>IFERROR(_xlfn.STDEV.S(INDEX(neos_benchmark!W:W, (ROW()-2)*averages!$B6+2):INDEX(neos_benchmark!W:W, (ROW()-2)*averages!$B6+averages!$B6+1)), "")</f>
        <v>8.0650526677621834E-2</v>
      </c>
      <c r="X6">
        <f>IFERROR(_xlfn.STDEV.S(INDEX(neos_benchmark!X:X, (ROW()-2)*averages!$B6+2):INDEX(neos_benchmark!X:X, (ROW()-2)*averages!$B6+averages!$B6+1)), "")</f>
        <v>6.8858688639205972E-3</v>
      </c>
      <c r="Y6">
        <f>IFERROR(_xlfn.STDEV.S(INDEX(neos_benchmark!Y:Y, (ROW()-2)*averages!$B6+2):INDEX(neos_benchmark!Y:Y, (ROW()-2)*averages!$B6+averages!$B6+1)), "")</f>
        <v>8.0474709348203277E-2</v>
      </c>
      <c r="Z6">
        <f>IFERROR(_xlfn.STDEV.S(INDEX(neos_benchmark!Z:Z, (ROW()-2)*averages!$B6+2):INDEX(neos_benchmark!Z:Z, (ROW()-2)*averages!$B6+averages!$B6+1)), "")</f>
        <v>8.0792143920887113E-2</v>
      </c>
      <c r="AA6">
        <f>IFERROR(_xlfn.STDEV.S(INDEX(neos_benchmark!AA:AA, (ROW()-2)*averages!$B6+2):INDEX(neos_benchmark!AA:AA, (ROW()-2)*averages!$B6+averages!$B6+1)), "")</f>
        <v>0.10755837903023238</v>
      </c>
      <c r="AB6">
        <f>IFERROR(_xlfn.STDEV.S(INDEX(neos_benchmark!AB:AB, (ROW()-2)*averages!$B6+2):INDEX(neos_benchmark!AB:AB, (ROW()-2)*averages!$B6+averages!$B6+1)), "")</f>
        <v>4.0343392698736257E-3</v>
      </c>
      <c r="AC6">
        <f>IFERROR(_xlfn.STDEV.S(INDEX(neos_benchmark!AC:AC, (ROW()-2)*averages!$B6+2):INDEX(neos_benchmark!AC:AC, (ROW()-2)*averages!$B6+averages!$B6+1)), "")</f>
        <v>0.10184269960723197</v>
      </c>
      <c r="AD6">
        <f>IFERROR(_xlfn.STDEV.S(INDEX(neos_benchmark!AD:AD, (ROW()-2)*averages!$B6+2):INDEX(neos_benchmark!AD:AD, (ROW()-2)*averages!$B6+averages!$B6+1)), "")</f>
        <v>0.10323851884430872</v>
      </c>
      <c r="AE6">
        <f>IFERROR(_xlfn.STDEV.S(INDEX(neos_benchmark!AE:AE, (ROW()-2)*averages!$B6+2):INDEX(neos_benchmark!AE:AE, (ROW()-2)*averages!$B6+averages!$B6+1)), "")</f>
        <v>0</v>
      </c>
      <c r="AF6">
        <f>IFERROR(_xlfn.STDEV.S(INDEX(neos_benchmark!AF:AF, (ROW()-2)*averages!$B6+2):INDEX(neos_benchmark!AF:AF, (ROW()-2)*averages!$B6+averages!$B6+1)), "")</f>
        <v>0</v>
      </c>
      <c r="AG6">
        <f>IFERROR(_xlfn.STDEV.S(INDEX(neos_benchmark!AG:AG, (ROW()-2)*averages!$B6+2):INDEX(neos_benchmark!AG:AG, (ROW()-2)*averages!$B6+averages!$B6+1)), "")</f>
        <v>0</v>
      </c>
      <c r="AH6">
        <f>IFERROR(_xlfn.STDEV.S(INDEX(neos_benchmark!AH:AH, (ROW()-2)*averages!$B6+2):INDEX(neos_benchmark!AH:AH, (ROW()-2)*averages!$B6+averages!$B6+1)), "")</f>
        <v>0</v>
      </c>
      <c r="AI6">
        <f>IFERROR(_xlfn.STDEV.S(INDEX(neos_benchmark!AI:AI, (ROW()-2)*averages!$B6+2):INDEX(neos_benchmark!AI:AI, (ROW()-2)*averages!$B6+averages!$B6+1)), "")</f>
        <v>410227.11234447791</v>
      </c>
      <c r="AJ6">
        <f>IFERROR(_xlfn.STDEV.S(INDEX(neos_benchmark!AJ:AJ, (ROW()-2)*averages!$B6+2):INDEX(neos_benchmark!AJ:AJ, (ROW()-2)*averages!$B6+averages!$B6+1)), "")</f>
        <v>411805.55970032746</v>
      </c>
      <c r="AK6" cm="1">
        <f t="array" ref="AK6">IFERROR(_xlfn.STDEV.S(INDEX(neos_benchmark!W:W, (ROW()-2)*averages!$B6+2):INDEX(neos_benchmark!W:W, (ROW()-2)*averages!$B6+averages!$B6+1) + INDEX(neos_benchmark!AA:AA, (ROW()-2)*averages!$B6+2):INDEX(neos_benchmark!AA:AA, (ROW()-2)*averages!$B6+averages!$B6+1)), "")</f>
        <v>0.18601780028472167</v>
      </c>
      <c r="AL6" cm="1">
        <f t="array" ref="AL6">IFERROR(_xlfn.STDEV.S((INDEX(neos_benchmark!AJ:AJ, (ROW()-2)*averages!$B6+2):INDEX(neos_benchmark!AJ:AJ, (ROW()-2)*averages!$B6+averages!$B6+1) - INDEX(neos_benchmark!AI:AI, (ROW()-2)*averages!$B6+2):INDEX(neos_benchmark!AI:AI, (ROW()-2)*averages!$B6+averages!$B6+1)) / 1000), "")</f>
        <v>4.4748948355116607</v>
      </c>
    </row>
    <row r="7" spans="1:38" x14ac:dyDescent="0.25">
      <c r="A7" t="str" cm="1">
        <f t="array" ref="A7">INDEX(neos_benchmark!A:A, (ROW()-2)*$B7+2)</f>
        <v>five-link-tropic</v>
      </c>
      <c r="B7">
        <f>COUNTIF(neos_benchmark!A:A, neos_benchmark!A7)</f>
        <v>10</v>
      </c>
      <c r="C7" t="str" cm="1">
        <f t="array" ref="C7">INDEX(neos_benchmark!C:C, (ROW()-2)*$B7+2)</f>
        <v>Ipopt</v>
      </c>
      <c r="D7" t="str" cm="1">
        <f t="array" ref="D7">INDEX(neos_benchmark!D:D, (ROW()-2)*$B7+2)</f>
        <v>3.14.12</v>
      </c>
      <c r="E7" t="str" cm="1">
        <f t="array" ref="E7">INDEX(neos_benchmark!E:E, (ROW()-2)*$B7+2)</f>
        <v>solved</v>
      </c>
      <c r="F7">
        <f>IFERROR(_xlfn.STDEV.S(INDEX(neos_benchmark!F:F, (ROW()-2)*averages!$B7+2):INDEX(neos_benchmark!F:F, (ROW()-2)*averages!$B7+averages!$B7+1)), "")</f>
        <v>0</v>
      </c>
      <c r="G7">
        <f>IFERROR(_xlfn.STDEV.S(INDEX(neos_benchmark!G:G, (ROW()-2)*averages!$B7+2):INDEX(neos_benchmark!G:G, (ROW()-2)*averages!$B7+averages!$B7+1)), "")</f>
        <v>9.3622225828712033E-16</v>
      </c>
      <c r="H7" t="str">
        <f>IFERROR(_xlfn.STDEV.S(INDEX(neos_benchmark!H:H, (ROW()-2)*averages!$B7+2):INDEX(neos_benchmark!H:H, (ROW()-2)*averages!$B7+averages!$B7+1)), "")</f>
        <v/>
      </c>
      <c r="I7">
        <f>IFERROR(_xlfn.STDEV.S(INDEX(neos_benchmark!I:I, (ROW()-2)*averages!$B7+2):INDEX(neos_benchmark!I:I, (ROW()-2)*averages!$B7+averages!$B7+1)), "")</f>
        <v>0</v>
      </c>
      <c r="J7">
        <f>IFERROR(_xlfn.STDEV.S(INDEX(neos_benchmark!J:J, (ROW()-2)*averages!$B7+2):INDEX(neos_benchmark!J:J, (ROW()-2)*averages!$B7+averages!$B7+1)), "")</f>
        <v>0</v>
      </c>
      <c r="K7">
        <f>IFERROR(_xlfn.STDEV.S(INDEX(neos_benchmark!K:K, (ROW()-2)*averages!$B7+2):INDEX(neos_benchmark!K:K, (ROW()-2)*averages!$B7+averages!$B7+1)), "")</f>
        <v>0</v>
      </c>
      <c r="L7">
        <f>IFERROR(_xlfn.STDEV.S(INDEX(neos_benchmark!L:L, (ROW()-2)*averages!$B7+2):INDEX(neos_benchmark!L:L, (ROW()-2)*averages!$B7+averages!$B7+1)), "")</f>
        <v>0</v>
      </c>
      <c r="M7">
        <f>IFERROR(_xlfn.STDEV.S(INDEX(neos_benchmark!M:M, (ROW()-2)*averages!$B7+2):INDEX(neos_benchmark!M:M, (ROW()-2)*averages!$B7+averages!$B7+1)), "")</f>
        <v>0</v>
      </c>
      <c r="N7">
        <f>IFERROR(_xlfn.STDEV.S(INDEX(neos_benchmark!N:N, (ROW()-2)*averages!$B7+2):INDEX(neos_benchmark!N:N, (ROW()-2)*averages!$B7+averages!$B7+1)), "")</f>
        <v>0</v>
      </c>
      <c r="O7">
        <f>IFERROR(_xlfn.STDEV.S(INDEX(neos_benchmark!O:O, (ROW()-2)*averages!$B7+2):INDEX(neos_benchmark!O:O, (ROW()-2)*averages!$B7+averages!$B7+1)), "")</f>
        <v>0</v>
      </c>
      <c r="P7">
        <f>IFERROR(_xlfn.STDEV.S(INDEX(neos_benchmark!P:P, (ROW()-2)*averages!$B7+2):INDEX(neos_benchmark!P:P, (ROW()-2)*averages!$B7+averages!$B7+1)), "")</f>
        <v>0</v>
      </c>
      <c r="Q7">
        <f>IFERROR(_xlfn.STDEV.S(INDEX(neos_benchmark!Q:Q, (ROW()-2)*averages!$B7+2):INDEX(neos_benchmark!Q:Q, (ROW()-2)*averages!$B7+averages!$B7+1)), "")</f>
        <v>0</v>
      </c>
      <c r="R7">
        <f>IFERROR(_xlfn.STDEV.S(INDEX(neos_benchmark!R:R, (ROW()-2)*averages!$B7+2):INDEX(neos_benchmark!R:R, (ROW()-2)*averages!$B7+averages!$B7+1)), "")</f>
        <v>2.7534906411882312</v>
      </c>
      <c r="S7">
        <f>IFERROR(_xlfn.STDEV.S(INDEX(neos_benchmark!S:S, (ROW()-2)*averages!$B7+2):INDEX(neos_benchmark!S:S, (ROW()-2)*averages!$B7+averages!$B7+1)), "")</f>
        <v>3.7499173042733616</v>
      </c>
      <c r="T7">
        <f>IFERROR(_xlfn.STDEV.S(INDEX(neos_benchmark!T:T, (ROW()-2)*averages!$B7+2):INDEX(neos_benchmark!T:T, (ROW()-2)*averages!$B7+averages!$B7+1)), "")</f>
        <v>0</v>
      </c>
      <c r="U7">
        <f>IFERROR(_xlfn.STDEV.S(INDEX(neos_benchmark!U:U, (ROW()-2)*averages!$B7+2):INDEX(neos_benchmark!U:U, (ROW()-2)*averages!$B7+averages!$B7+1)), "")</f>
        <v>0</v>
      </c>
      <c r="V7">
        <f>IFERROR(_xlfn.STDEV.S(INDEX(neos_benchmark!V:V, (ROW()-2)*averages!$B7+2):INDEX(neos_benchmark!V:V, (ROW()-2)*averages!$B7+averages!$B7+1)), "")</f>
        <v>0</v>
      </c>
      <c r="W7">
        <f>IFERROR(_xlfn.STDEV.S(INDEX(neos_benchmark!W:W, (ROW()-2)*averages!$B7+2):INDEX(neos_benchmark!W:W, (ROW()-2)*averages!$B7+averages!$B7+1)), "")</f>
        <v>0.3479469109149943</v>
      </c>
      <c r="X7">
        <f>IFERROR(_xlfn.STDEV.S(INDEX(neos_benchmark!X:X, (ROW()-2)*averages!$B7+2):INDEX(neos_benchmark!X:X, (ROW()-2)*averages!$B7+averages!$B7+1)), "")</f>
        <v>3.2011636803581982E-2</v>
      </c>
      <c r="Y7">
        <f>IFERROR(_xlfn.STDEV.S(INDEX(neos_benchmark!Y:Y, (ROW()-2)*averages!$B7+2):INDEX(neos_benchmark!Y:Y, (ROW()-2)*averages!$B7+averages!$B7+1)), "")</f>
        <v>0.32495039095853034</v>
      </c>
      <c r="Z7">
        <f>IFERROR(_xlfn.STDEV.S(INDEX(neos_benchmark!Z:Z, (ROW()-2)*averages!$B7+2):INDEX(neos_benchmark!Z:Z, (ROW()-2)*averages!$B7+averages!$B7+1)), "")</f>
        <v>0.34620489186718495</v>
      </c>
      <c r="AA7">
        <f>IFERROR(_xlfn.STDEV.S(INDEX(neos_benchmark!AA:AA, (ROW()-2)*averages!$B7+2):INDEX(neos_benchmark!AA:AA, (ROW()-2)*averages!$B7+averages!$B7+1)), "")</f>
        <v>6.3367618197435984</v>
      </c>
      <c r="AB7">
        <f>IFERROR(_xlfn.STDEV.S(INDEX(neos_benchmark!AB:AB, (ROW()-2)*averages!$B7+2):INDEX(neos_benchmark!AB:AB, (ROW()-2)*averages!$B7+averages!$B7+1)), "")</f>
        <v>9.7882625515346988E-3</v>
      </c>
      <c r="AC7">
        <f>IFERROR(_xlfn.STDEV.S(INDEX(neos_benchmark!AC:AC, (ROW()-2)*averages!$B7+2):INDEX(neos_benchmark!AC:AC, (ROW()-2)*averages!$B7+averages!$B7+1)), "")</f>
        <v>6.2936779975323285</v>
      </c>
      <c r="AD7">
        <f>IFERROR(_xlfn.STDEV.S(INDEX(neos_benchmark!AD:AD, (ROW()-2)*averages!$B7+2):INDEX(neos_benchmark!AD:AD, (ROW()-2)*averages!$B7+averages!$B7+1)), "")</f>
        <v>6.3014292631138797</v>
      </c>
      <c r="AE7">
        <f>IFERROR(_xlfn.STDEV.S(INDEX(neos_benchmark!AE:AE, (ROW()-2)*averages!$B7+2):INDEX(neos_benchmark!AE:AE, (ROW()-2)*averages!$B7+averages!$B7+1)), "")</f>
        <v>0</v>
      </c>
      <c r="AF7">
        <f>IFERROR(_xlfn.STDEV.S(INDEX(neos_benchmark!AF:AF, (ROW()-2)*averages!$B7+2):INDEX(neos_benchmark!AF:AF, (ROW()-2)*averages!$B7+averages!$B7+1)), "")</f>
        <v>0</v>
      </c>
      <c r="AG7">
        <f>IFERROR(_xlfn.STDEV.S(INDEX(neos_benchmark!AG:AG, (ROW()-2)*averages!$B7+2):INDEX(neos_benchmark!AG:AG, (ROW()-2)*averages!$B7+averages!$B7+1)), "")</f>
        <v>0</v>
      </c>
      <c r="AH7">
        <f>IFERROR(_xlfn.STDEV.S(INDEX(neos_benchmark!AH:AH, (ROW()-2)*averages!$B7+2):INDEX(neos_benchmark!AH:AH, (ROW()-2)*averages!$B7+averages!$B7+1)), "")</f>
        <v>0</v>
      </c>
      <c r="AI7">
        <f>IFERROR(_xlfn.STDEV.S(INDEX(neos_benchmark!AI:AI, (ROW()-2)*averages!$B7+2):INDEX(neos_benchmark!AI:AI, (ROW()-2)*averages!$B7+averages!$B7+1)), "")</f>
        <v>316593.47524644627</v>
      </c>
      <c r="AJ7">
        <f>IFERROR(_xlfn.STDEV.S(INDEX(neos_benchmark!AJ:AJ, (ROW()-2)*averages!$B7+2):INDEX(neos_benchmark!AJ:AJ, (ROW()-2)*averages!$B7+averages!$B7+1)), "")</f>
        <v>329072.85274844535</v>
      </c>
      <c r="AK7" cm="1">
        <f t="array" ref="AK7">IFERROR(_xlfn.STDEV.S(INDEX(neos_benchmark!W:W, (ROW()-2)*averages!$B7+2):INDEX(neos_benchmark!W:W, (ROW()-2)*averages!$B7+averages!$B7+1) + INDEX(neos_benchmark!AA:AA, (ROW()-2)*averages!$B7+2):INDEX(neos_benchmark!AA:AA, (ROW()-2)*averages!$B7+averages!$B7+1)), "")</f>
        <v>6.6626610761560823</v>
      </c>
      <c r="AL7" cm="1">
        <f t="array" ref="AL7">IFERROR(_xlfn.STDEV.S((INDEX(neos_benchmark!AJ:AJ, (ROW()-2)*averages!$B7+2):INDEX(neos_benchmark!AJ:AJ, (ROW()-2)*averages!$B7+averages!$B7+1) - INDEX(neos_benchmark!AI:AI, (ROW()-2)*averages!$B7+2):INDEX(neos_benchmark!AI:AI, (ROW()-2)*averages!$B7+averages!$B7+1)) / 1000), "")</f>
        <v>18.252633318693118</v>
      </c>
    </row>
    <row r="8" spans="1:38" x14ac:dyDescent="0.25">
      <c r="A8" t="str" cm="1">
        <f t="array" ref="A8">INDEX(neos_benchmark!A:A, (ROW()-2)*$B8+2)</f>
        <v>grasp-cbc</v>
      </c>
      <c r="B8">
        <f>COUNTIF(neos_benchmark!A:A, neos_benchmark!A8)</f>
        <v>10</v>
      </c>
      <c r="C8" t="str" cm="1">
        <f t="array" ref="C8">INDEX(neos_benchmark!C:C, (ROW()-2)*$B8+2)</f>
        <v>CBC</v>
      </c>
      <c r="D8" t="str" cm="1">
        <f t="array" ref="D8">INDEX(neos_benchmark!D:D, (ROW()-2)*$B8+2)</f>
        <v>2.10.10</v>
      </c>
      <c r="E8" t="str" cm="1">
        <f t="array" ref="E8">INDEX(neos_benchmark!E:E, (ROW()-2)*$B8+2)</f>
        <v/>
      </c>
      <c r="F8" t="str">
        <f>IFERROR(_xlfn.STDEV.S(INDEX(neos_benchmark!F:F, (ROW()-2)*averages!$B8+2):INDEX(neos_benchmark!F:F, (ROW()-2)*averages!$B8+averages!$B8+1)), "")</f>
        <v/>
      </c>
      <c r="G8" t="str">
        <f>IFERROR(_xlfn.STDEV.S(INDEX(neos_benchmark!G:G, (ROW()-2)*averages!$B8+2):INDEX(neos_benchmark!G:G, (ROW()-2)*averages!$B8+averages!$B8+1)), "")</f>
        <v/>
      </c>
      <c r="H8" t="str">
        <f>IFERROR(_xlfn.STDEV.S(INDEX(neos_benchmark!H:H, (ROW()-2)*averages!$B8+2):INDEX(neos_benchmark!H:H, (ROW()-2)*averages!$B8+averages!$B8+1)), "")</f>
        <v/>
      </c>
      <c r="I8" t="str">
        <f>IFERROR(_xlfn.STDEV.S(INDEX(neos_benchmark!I:I, (ROW()-2)*averages!$B8+2):INDEX(neos_benchmark!I:I, (ROW()-2)*averages!$B8+averages!$B8+1)), "")</f>
        <v/>
      </c>
      <c r="J8" t="str">
        <f>IFERROR(_xlfn.STDEV.S(INDEX(neos_benchmark!J:J, (ROW()-2)*averages!$B8+2):INDEX(neos_benchmark!J:J, (ROW()-2)*averages!$B8+averages!$B8+1)), "")</f>
        <v/>
      </c>
      <c r="K8" t="str">
        <f>IFERROR(_xlfn.STDEV.S(INDEX(neos_benchmark!K:K, (ROW()-2)*averages!$B8+2):INDEX(neos_benchmark!K:K, (ROW()-2)*averages!$B8+averages!$B8+1)), "")</f>
        <v/>
      </c>
      <c r="L8" t="str">
        <f>IFERROR(_xlfn.STDEV.S(INDEX(neos_benchmark!L:L, (ROW()-2)*averages!$B8+2):INDEX(neos_benchmark!L:L, (ROW()-2)*averages!$B8+averages!$B8+1)), "")</f>
        <v/>
      </c>
      <c r="M8" t="str">
        <f>IFERROR(_xlfn.STDEV.S(INDEX(neos_benchmark!M:M, (ROW()-2)*averages!$B8+2):INDEX(neos_benchmark!M:M, (ROW()-2)*averages!$B8+averages!$B8+1)), "")</f>
        <v/>
      </c>
      <c r="N8" t="str">
        <f>IFERROR(_xlfn.STDEV.S(INDEX(neos_benchmark!N:N, (ROW()-2)*averages!$B8+2):INDEX(neos_benchmark!N:N, (ROW()-2)*averages!$B8+averages!$B8+1)), "")</f>
        <v/>
      </c>
      <c r="O8" t="str">
        <f>IFERROR(_xlfn.STDEV.S(INDEX(neos_benchmark!O:O, (ROW()-2)*averages!$B8+2):INDEX(neos_benchmark!O:O, (ROW()-2)*averages!$B8+averages!$B8+1)), "")</f>
        <v/>
      </c>
      <c r="P8" t="str">
        <f>IFERROR(_xlfn.STDEV.S(INDEX(neos_benchmark!P:P, (ROW()-2)*averages!$B8+2):INDEX(neos_benchmark!P:P, (ROW()-2)*averages!$B8+averages!$B8+1)), "")</f>
        <v/>
      </c>
      <c r="Q8" t="str">
        <f>IFERROR(_xlfn.STDEV.S(INDEX(neos_benchmark!Q:Q, (ROW()-2)*averages!$B8+2):INDEX(neos_benchmark!Q:Q, (ROW()-2)*averages!$B8+averages!$B8+1)), "")</f>
        <v/>
      </c>
      <c r="R8" t="str">
        <f>IFERROR(_xlfn.STDEV.S(INDEX(neos_benchmark!R:R, (ROW()-2)*averages!$B8+2):INDEX(neos_benchmark!R:R, (ROW()-2)*averages!$B8+averages!$B8+1)), "")</f>
        <v/>
      </c>
      <c r="S8" t="str">
        <f>IFERROR(_xlfn.STDEV.S(INDEX(neos_benchmark!S:S, (ROW()-2)*averages!$B8+2):INDEX(neos_benchmark!S:S, (ROW()-2)*averages!$B8+averages!$B8+1)), "")</f>
        <v/>
      </c>
      <c r="T8" t="str">
        <f>IFERROR(_xlfn.STDEV.S(INDEX(neos_benchmark!T:T, (ROW()-2)*averages!$B8+2):INDEX(neos_benchmark!T:T, (ROW()-2)*averages!$B8+averages!$B8+1)), "")</f>
        <v/>
      </c>
      <c r="U8" t="str">
        <f>IFERROR(_xlfn.STDEV.S(INDEX(neos_benchmark!U:U, (ROW()-2)*averages!$B8+2):INDEX(neos_benchmark!U:U, (ROW()-2)*averages!$B8+averages!$B8+1)), "")</f>
        <v/>
      </c>
      <c r="V8" t="str">
        <f>IFERROR(_xlfn.STDEV.S(INDEX(neos_benchmark!V:V, (ROW()-2)*averages!$B8+2):INDEX(neos_benchmark!V:V, (ROW()-2)*averages!$B8+averages!$B8+1)), "")</f>
        <v/>
      </c>
      <c r="W8" t="str">
        <f>IFERROR(_xlfn.STDEV.S(INDEX(neos_benchmark!W:W, (ROW()-2)*averages!$B8+2):INDEX(neos_benchmark!W:W, (ROW()-2)*averages!$B8+averages!$B8+1)), "")</f>
        <v/>
      </c>
      <c r="X8" t="str">
        <f>IFERROR(_xlfn.STDEV.S(INDEX(neos_benchmark!X:X, (ROW()-2)*averages!$B8+2):INDEX(neos_benchmark!X:X, (ROW()-2)*averages!$B8+averages!$B8+1)), "")</f>
        <v/>
      </c>
      <c r="Y8" t="str">
        <f>IFERROR(_xlfn.STDEV.S(INDEX(neos_benchmark!Y:Y, (ROW()-2)*averages!$B8+2):INDEX(neos_benchmark!Y:Y, (ROW()-2)*averages!$B8+averages!$B8+1)), "")</f>
        <v/>
      </c>
      <c r="Z8" t="str">
        <f>IFERROR(_xlfn.STDEV.S(INDEX(neos_benchmark!Z:Z, (ROW()-2)*averages!$B8+2):INDEX(neos_benchmark!Z:Z, (ROW()-2)*averages!$B8+averages!$B8+1)), "")</f>
        <v/>
      </c>
      <c r="AA8" t="str">
        <f>IFERROR(_xlfn.STDEV.S(INDEX(neos_benchmark!AA:AA, (ROW()-2)*averages!$B8+2):INDEX(neos_benchmark!AA:AA, (ROW()-2)*averages!$B8+averages!$B8+1)), "")</f>
        <v/>
      </c>
      <c r="AB8" t="str">
        <f>IFERROR(_xlfn.STDEV.S(INDEX(neos_benchmark!AB:AB, (ROW()-2)*averages!$B8+2):INDEX(neos_benchmark!AB:AB, (ROW()-2)*averages!$B8+averages!$B8+1)), "")</f>
        <v/>
      </c>
      <c r="AC8" t="str">
        <f>IFERROR(_xlfn.STDEV.S(INDEX(neos_benchmark!AC:AC, (ROW()-2)*averages!$B8+2):INDEX(neos_benchmark!AC:AC, (ROW()-2)*averages!$B8+averages!$B8+1)), "")</f>
        <v/>
      </c>
      <c r="AD8" t="str">
        <f>IFERROR(_xlfn.STDEV.S(INDEX(neos_benchmark!AD:AD, (ROW()-2)*averages!$B8+2):INDEX(neos_benchmark!AD:AD, (ROW()-2)*averages!$B8+averages!$B8+1)), "")</f>
        <v/>
      </c>
      <c r="AE8" t="str">
        <f>IFERROR(_xlfn.STDEV.S(INDEX(neos_benchmark!AE:AE, (ROW()-2)*averages!$B8+2):INDEX(neos_benchmark!AE:AE, (ROW()-2)*averages!$B8+averages!$B8+1)), "")</f>
        <v/>
      </c>
      <c r="AF8" t="str">
        <f>IFERROR(_xlfn.STDEV.S(INDEX(neos_benchmark!AF:AF, (ROW()-2)*averages!$B8+2):INDEX(neos_benchmark!AF:AF, (ROW()-2)*averages!$B8+averages!$B8+1)), "")</f>
        <v/>
      </c>
      <c r="AG8" t="str">
        <f>IFERROR(_xlfn.STDEV.S(INDEX(neos_benchmark!AG:AG, (ROW()-2)*averages!$B8+2):INDEX(neos_benchmark!AG:AG, (ROW()-2)*averages!$B8+averages!$B8+1)), "")</f>
        <v/>
      </c>
      <c r="AH8" t="str">
        <f>IFERROR(_xlfn.STDEV.S(INDEX(neos_benchmark!AH:AH, (ROW()-2)*averages!$B8+2):INDEX(neos_benchmark!AH:AH, (ROW()-2)*averages!$B8+averages!$B8+1)), "")</f>
        <v/>
      </c>
      <c r="AI8">
        <f>IFERROR(_xlfn.STDEV.S(INDEX(neos_benchmark!AI:AI, (ROW()-2)*averages!$B8+2):INDEX(neos_benchmark!AI:AI, (ROW()-2)*averages!$B8+averages!$B8+1)), "")</f>
        <v>446462.06620108779</v>
      </c>
      <c r="AJ8">
        <f>IFERROR(_xlfn.STDEV.S(INDEX(neos_benchmark!AJ:AJ, (ROW()-2)*averages!$B8+2):INDEX(neos_benchmark!AJ:AJ, (ROW()-2)*averages!$B8+averages!$B8+1)), "")</f>
        <v>455708.46933124057</v>
      </c>
      <c r="AK8" cm="1">
        <f t="array" ref="AK8">IFERROR(_xlfn.STDEV.S(INDEX(neos_benchmark!W:W, (ROW()-2)*averages!$B8+2):INDEX(neos_benchmark!W:W, (ROW()-2)*averages!$B8+averages!$B8+1) + INDEX(neos_benchmark!AA:AA, (ROW()-2)*averages!$B8+2):INDEX(neos_benchmark!AA:AA, (ROW()-2)*averages!$B8+averages!$B8+1)), "")</f>
        <v>0</v>
      </c>
      <c r="AL8" cm="1">
        <f t="array" ref="AL8">IFERROR(_xlfn.STDEV.S((INDEX(neos_benchmark!AJ:AJ, (ROW()-2)*averages!$B8+2):INDEX(neos_benchmark!AJ:AJ, (ROW()-2)*averages!$B8+averages!$B8+1) - INDEX(neos_benchmark!AI:AI, (ROW()-2)*averages!$B8+2):INDEX(neos_benchmark!AI:AI, (ROW()-2)*averages!$B8+averages!$B8+1)) / 1000), "")</f>
        <v>17.042182903020386</v>
      </c>
    </row>
    <row r="9" spans="1:38" x14ac:dyDescent="0.25">
      <c r="A9" t="str" cm="1">
        <f t="array" ref="A9">INDEX(neos_benchmark!A:A, (ROW()-2)*$B9+2)</f>
        <v>grasp-conopt</v>
      </c>
      <c r="B9">
        <f>COUNTIF(neos_benchmark!A:A, neos_benchmark!A9)</f>
        <v>10</v>
      </c>
      <c r="C9" t="str" cm="1">
        <f t="array" ref="C9">INDEX(neos_benchmark!C:C, (ROW()-2)*$B9+2)</f>
        <v>CONOPT</v>
      </c>
      <c r="D9" t="str" cm="1">
        <f t="array" ref="D9">INDEX(neos_benchmark!D:D, (ROW()-2)*$B9+2)</f>
        <v>4.38.1</v>
      </c>
      <c r="E9" t="str" cm="1">
        <f t="array" ref="E9">INDEX(neos_benchmark!E:E, (ROW()-2)*$B9+2)</f>
        <v>solved?</v>
      </c>
      <c r="F9">
        <f>IFERROR(_xlfn.STDEV.S(INDEX(neos_benchmark!F:F, (ROW()-2)*averages!$B9+2):INDEX(neos_benchmark!F:F, (ROW()-2)*averages!$B9+averages!$B9+1)), "")</f>
        <v>0</v>
      </c>
      <c r="G9">
        <f>IFERROR(_xlfn.STDEV.S(INDEX(neos_benchmark!G:G, (ROW()-2)*averages!$B9+2):INDEX(neos_benchmark!G:G, (ROW()-2)*averages!$B9+averages!$B9+1)), "")</f>
        <v>0</v>
      </c>
      <c r="H9" t="str">
        <f>IFERROR(_xlfn.STDEV.S(INDEX(neos_benchmark!H:H, (ROW()-2)*averages!$B9+2):INDEX(neos_benchmark!H:H, (ROW()-2)*averages!$B9+averages!$B9+1)), "")</f>
        <v/>
      </c>
      <c r="I9" t="str">
        <f>IFERROR(_xlfn.STDEV.S(INDEX(neos_benchmark!I:I, (ROW()-2)*averages!$B9+2):INDEX(neos_benchmark!I:I, (ROW()-2)*averages!$B9+averages!$B9+1)), "")</f>
        <v/>
      </c>
      <c r="J9" t="str">
        <f>IFERROR(_xlfn.STDEV.S(INDEX(neos_benchmark!J:J, (ROW()-2)*averages!$B9+2):INDEX(neos_benchmark!J:J, (ROW()-2)*averages!$B9+averages!$B9+1)), "")</f>
        <v/>
      </c>
      <c r="K9" t="str">
        <f>IFERROR(_xlfn.STDEV.S(INDEX(neos_benchmark!K:K, (ROW()-2)*averages!$B9+2):INDEX(neos_benchmark!K:K, (ROW()-2)*averages!$B9+averages!$B9+1)), "")</f>
        <v/>
      </c>
      <c r="L9" t="str">
        <f>IFERROR(_xlfn.STDEV.S(INDEX(neos_benchmark!L:L, (ROW()-2)*averages!$B9+2):INDEX(neos_benchmark!L:L, (ROW()-2)*averages!$B9+averages!$B9+1)), "")</f>
        <v/>
      </c>
      <c r="M9" t="str">
        <f>IFERROR(_xlfn.STDEV.S(INDEX(neos_benchmark!M:M, (ROW()-2)*averages!$B9+2):INDEX(neos_benchmark!M:M, (ROW()-2)*averages!$B9+averages!$B9+1)), "")</f>
        <v/>
      </c>
      <c r="N9" t="str">
        <f>IFERROR(_xlfn.STDEV.S(INDEX(neos_benchmark!N:N, (ROW()-2)*averages!$B9+2):INDEX(neos_benchmark!N:N, (ROW()-2)*averages!$B9+averages!$B9+1)), "")</f>
        <v/>
      </c>
      <c r="O9" t="str">
        <f>IFERROR(_xlfn.STDEV.S(INDEX(neos_benchmark!O:O, (ROW()-2)*averages!$B9+2):INDEX(neos_benchmark!O:O, (ROW()-2)*averages!$B9+averages!$B9+1)), "")</f>
        <v/>
      </c>
      <c r="P9" t="str">
        <f>IFERROR(_xlfn.STDEV.S(INDEX(neos_benchmark!P:P, (ROW()-2)*averages!$B9+2):INDEX(neos_benchmark!P:P, (ROW()-2)*averages!$B9+averages!$B9+1)), "")</f>
        <v/>
      </c>
      <c r="Q9" t="str">
        <f>IFERROR(_xlfn.STDEV.S(INDEX(neos_benchmark!Q:Q, (ROW()-2)*averages!$B9+2):INDEX(neos_benchmark!Q:Q, (ROW()-2)*averages!$B9+averages!$B9+1)), "")</f>
        <v/>
      </c>
      <c r="R9" t="str">
        <f>IFERROR(_xlfn.STDEV.S(INDEX(neos_benchmark!R:R, (ROW()-2)*averages!$B9+2):INDEX(neos_benchmark!R:R, (ROW()-2)*averages!$B9+averages!$B9+1)), "")</f>
        <v/>
      </c>
      <c r="S9" t="str">
        <f>IFERROR(_xlfn.STDEV.S(INDEX(neos_benchmark!S:S, (ROW()-2)*averages!$B9+2):INDEX(neos_benchmark!S:S, (ROW()-2)*averages!$B9+averages!$B9+1)), "")</f>
        <v/>
      </c>
      <c r="T9" t="str">
        <f>IFERROR(_xlfn.STDEV.S(INDEX(neos_benchmark!T:T, (ROW()-2)*averages!$B9+2):INDEX(neos_benchmark!T:T, (ROW()-2)*averages!$B9+averages!$B9+1)), "")</f>
        <v/>
      </c>
      <c r="U9" t="str">
        <f>IFERROR(_xlfn.STDEV.S(INDEX(neos_benchmark!U:U, (ROW()-2)*averages!$B9+2):INDEX(neos_benchmark!U:U, (ROW()-2)*averages!$B9+averages!$B9+1)), "")</f>
        <v/>
      </c>
      <c r="V9" t="str">
        <f>IFERROR(_xlfn.STDEV.S(INDEX(neos_benchmark!V:V, (ROW()-2)*averages!$B9+2):INDEX(neos_benchmark!V:V, (ROW()-2)*averages!$B9+averages!$B9+1)), "")</f>
        <v/>
      </c>
      <c r="W9">
        <f>IFERROR(_xlfn.STDEV.S(INDEX(neos_benchmark!W:W, (ROW()-2)*averages!$B9+2):INDEX(neos_benchmark!W:W, (ROW()-2)*averages!$B9+averages!$B9+1)), "")</f>
        <v>3.7603912132324176E-2</v>
      </c>
      <c r="X9">
        <f>IFERROR(_xlfn.STDEV.S(INDEX(neos_benchmark!X:X, (ROW()-2)*averages!$B9+2):INDEX(neos_benchmark!X:X, (ROW()-2)*averages!$B9+averages!$B9+1)), "")</f>
        <v>6.1569651651154191E-3</v>
      </c>
      <c r="Y9">
        <f>IFERROR(_xlfn.STDEV.S(INDEX(neos_benchmark!Y:Y, (ROW()-2)*averages!$B9+2):INDEX(neos_benchmark!Y:Y, (ROW()-2)*averages!$B9+averages!$B9+1)), "")</f>
        <v>3.5677960341084579E-2</v>
      </c>
      <c r="Z9">
        <f>IFERROR(_xlfn.STDEV.S(INDEX(neos_benchmark!Z:Z, (ROW()-2)*averages!$B9+2):INDEX(neos_benchmark!Z:Z, (ROW()-2)*averages!$B9+averages!$B9+1)), "")</f>
        <v>3.8300257609374347E-2</v>
      </c>
      <c r="AA9">
        <f>IFERROR(_xlfn.STDEV.S(INDEX(neos_benchmark!AA:AA, (ROW()-2)*averages!$B9+2):INDEX(neos_benchmark!AA:AA, (ROW()-2)*averages!$B9+averages!$B9+1)), "")</f>
        <v>4.389513062199752E-2</v>
      </c>
      <c r="AB9">
        <f>IFERROR(_xlfn.STDEV.S(INDEX(neos_benchmark!AB:AB, (ROW()-2)*averages!$B9+2):INDEX(neos_benchmark!AB:AB, (ROW()-2)*averages!$B9+averages!$B9+1)), "")</f>
        <v>1.6200835540867086E-3</v>
      </c>
      <c r="AC9">
        <f>IFERROR(_xlfn.STDEV.S(INDEX(neos_benchmark!AC:AC, (ROW()-2)*averages!$B9+2):INDEX(neos_benchmark!AC:AC, (ROW()-2)*averages!$B9+averages!$B9+1)), "")</f>
        <v>1.2777654801340587E-3</v>
      </c>
      <c r="AD9">
        <f>IFERROR(_xlfn.STDEV.S(INDEX(neos_benchmark!AD:AD, (ROW()-2)*averages!$B9+2):INDEX(neos_benchmark!AD:AD, (ROW()-2)*averages!$B9+averages!$B9+1)), "")</f>
        <v>2.2884253222588574E-3</v>
      </c>
      <c r="AE9">
        <f>IFERROR(_xlfn.STDEV.S(INDEX(neos_benchmark!AE:AE, (ROW()-2)*averages!$B9+2):INDEX(neos_benchmark!AE:AE, (ROW()-2)*averages!$B9+averages!$B9+1)), "")</f>
        <v>0</v>
      </c>
      <c r="AF9">
        <f>IFERROR(_xlfn.STDEV.S(INDEX(neos_benchmark!AF:AF, (ROW()-2)*averages!$B9+2):INDEX(neos_benchmark!AF:AF, (ROW()-2)*averages!$B9+averages!$B9+1)), "")</f>
        <v>0</v>
      </c>
      <c r="AG9">
        <f>IFERROR(_xlfn.STDEV.S(INDEX(neos_benchmark!AG:AG, (ROW()-2)*averages!$B9+2):INDEX(neos_benchmark!AG:AG, (ROW()-2)*averages!$B9+averages!$B9+1)), "")</f>
        <v>0</v>
      </c>
      <c r="AH9">
        <f>IFERROR(_xlfn.STDEV.S(INDEX(neos_benchmark!AH:AH, (ROW()-2)*averages!$B9+2):INDEX(neos_benchmark!AH:AH, (ROW()-2)*averages!$B9+averages!$B9+1)), "")</f>
        <v>0</v>
      </c>
      <c r="AI9">
        <f>IFERROR(_xlfn.STDEV.S(INDEX(neos_benchmark!AI:AI, (ROW()-2)*averages!$B9+2):INDEX(neos_benchmark!AI:AI, (ROW()-2)*averages!$B9+averages!$B9+1)), "")</f>
        <v>168944.10028908637</v>
      </c>
      <c r="AJ9">
        <f>IFERROR(_xlfn.STDEV.S(INDEX(neos_benchmark!AJ:AJ, (ROW()-2)*averages!$B9+2):INDEX(neos_benchmark!AJ:AJ, (ROW()-2)*averages!$B9+averages!$B9+1)), "")</f>
        <v>167958.30014738781</v>
      </c>
      <c r="AK9" cm="1">
        <f t="array" ref="AK9">IFERROR(_xlfn.STDEV.S(INDEX(neos_benchmark!W:W, (ROW()-2)*averages!$B9+2):INDEX(neos_benchmark!W:W, (ROW()-2)*averages!$B9+averages!$B9+1) + INDEX(neos_benchmark!AA:AA, (ROW()-2)*averages!$B9+2):INDEX(neos_benchmark!AA:AA, (ROW()-2)*averages!$B9+averages!$B9+1)), "")</f>
        <v>7.3694674061743917E-2</v>
      </c>
      <c r="AL9" cm="1">
        <f t="array" ref="AL9">IFERROR(_xlfn.STDEV.S((INDEX(neos_benchmark!AJ:AJ, (ROW()-2)*averages!$B9+2):INDEX(neos_benchmark!AJ:AJ, (ROW()-2)*averages!$B9+averages!$B9+1) - INDEX(neos_benchmark!AI:AI, (ROW()-2)*averages!$B9+2):INDEX(neos_benchmark!AI:AI, (ROW()-2)*averages!$B9+averages!$B9+1)) / 1000), "")</f>
        <v>11.899176692341173</v>
      </c>
    </row>
    <row r="10" spans="1:38" x14ac:dyDescent="0.25">
      <c r="A10" t="str" cm="1">
        <f t="array" ref="A10">INDEX(neos_benchmark!A:A, (ROW()-2)*$B10+2)</f>
        <v>grasp-gurobi</v>
      </c>
      <c r="B10">
        <f>COUNTIF(neos_benchmark!A:A, neos_benchmark!A10)</f>
        <v>10</v>
      </c>
      <c r="C10" t="str" cm="1">
        <f t="array" ref="C10">INDEX(neos_benchmark!C:C, (ROW()-2)*$B10+2)</f>
        <v/>
      </c>
      <c r="D10" t="str" cm="1">
        <f t="array" ref="D10">INDEX(neos_benchmark!D:D, (ROW()-2)*$B10+2)</f>
        <v/>
      </c>
      <c r="E10" t="str" cm="1">
        <f t="array" ref="E10">INDEX(neos_benchmark!E:E, (ROW()-2)*$B10+2)</f>
        <v>XML-RPC rejected</v>
      </c>
      <c r="F10" t="str">
        <f>IFERROR(_xlfn.STDEV.S(INDEX(neos_benchmark!F:F, (ROW()-2)*averages!$B10+2):INDEX(neos_benchmark!F:F, (ROW()-2)*averages!$B10+averages!$B10+1)), "")</f>
        <v/>
      </c>
      <c r="G10" t="str">
        <f>IFERROR(_xlfn.STDEV.S(INDEX(neos_benchmark!G:G, (ROW()-2)*averages!$B10+2):INDEX(neos_benchmark!G:G, (ROW()-2)*averages!$B10+averages!$B10+1)), "")</f>
        <v/>
      </c>
      <c r="H10" t="str">
        <f>IFERROR(_xlfn.STDEV.S(INDEX(neos_benchmark!H:H, (ROW()-2)*averages!$B10+2):INDEX(neos_benchmark!H:H, (ROW()-2)*averages!$B10+averages!$B10+1)), "")</f>
        <v/>
      </c>
      <c r="I10" t="str">
        <f>IFERROR(_xlfn.STDEV.S(INDEX(neos_benchmark!I:I, (ROW()-2)*averages!$B10+2):INDEX(neos_benchmark!I:I, (ROW()-2)*averages!$B10+averages!$B10+1)), "")</f>
        <v/>
      </c>
      <c r="J10" t="str">
        <f>IFERROR(_xlfn.STDEV.S(INDEX(neos_benchmark!J:J, (ROW()-2)*averages!$B10+2):INDEX(neos_benchmark!J:J, (ROW()-2)*averages!$B10+averages!$B10+1)), "")</f>
        <v/>
      </c>
      <c r="K10" t="str">
        <f>IFERROR(_xlfn.STDEV.S(INDEX(neos_benchmark!K:K, (ROW()-2)*averages!$B10+2):INDEX(neos_benchmark!K:K, (ROW()-2)*averages!$B10+averages!$B10+1)), "")</f>
        <v/>
      </c>
      <c r="L10" t="str">
        <f>IFERROR(_xlfn.STDEV.S(INDEX(neos_benchmark!L:L, (ROW()-2)*averages!$B10+2):INDEX(neos_benchmark!L:L, (ROW()-2)*averages!$B10+averages!$B10+1)), "")</f>
        <v/>
      </c>
      <c r="M10" t="str">
        <f>IFERROR(_xlfn.STDEV.S(INDEX(neos_benchmark!M:M, (ROW()-2)*averages!$B10+2):INDEX(neos_benchmark!M:M, (ROW()-2)*averages!$B10+averages!$B10+1)), "")</f>
        <v/>
      </c>
      <c r="N10" t="str">
        <f>IFERROR(_xlfn.STDEV.S(INDEX(neos_benchmark!N:N, (ROW()-2)*averages!$B10+2):INDEX(neos_benchmark!N:N, (ROW()-2)*averages!$B10+averages!$B10+1)), "")</f>
        <v/>
      </c>
      <c r="O10" t="str">
        <f>IFERROR(_xlfn.STDEV.S(INDEX(neos_benchmark!O:O, (ROW()-2)*averages!$B10+2):INDEX(neos_benchmark!O:O, (ROW()-2)*averages!$B10+averages!$B10+1)), "")</f>
        <v/>
      </c>
      <c r="P10" t="str">
        <f>IFERROR(_xlfn.STDEV.S(INDEX(neos_benchmark!P:P, (ROW()-2)*averages!$B10+2):INDEX(neos_benchmark!P:P, (ROW()-2)*averages!$B10+averages!$B10+1)), "")</f>
        <v/>
      </c>
      <c r="Q10" t="str">
        <f>IFERROR(_xlfn.STDEV.S(INDEX(neos_benchmark!Q:Q, (ROW()-2)*averages!$B10+2):INDEX(neos_benchmark!Q:Q, (ROW()-2)*averages!$B10+averages!$B10+1)), "")</f>
        <v/>
      </c>
      <c r="R10" t="str">
        <f>IFERROR(_xlfn.STDEV.S(INDEX(neos_benchmark!R:R, (ROW()-2)*averages!$B10+2):INDEX(neos_benchmark!R:R, (ROW()-2)*averages!$B10+averages!$B10+1)), "")</f>
        <v/>
      </c>
      <c r="S10" t="str">
        <f>IFERROR(_xlfn.STDEV.S(INDEX(neos_benchmark!S:S, (ROW()-2)*averages!$B10+2):INDEX(neos_benchmark!S:S, (ROW()-2)*averages!$B10+averages!$B10+1)), "")</f>
        <v/>
      </c>
      <c r="T10" t="str">
        <f>IFERROR(_xlfn.STDEV.S(INDEX(neos_benchmark!T:T, (ROW()-2)*averages!$B10+2):INDEX(neos_benchmark!T:T, (ROW()-2)*averages!$B10+averages!$B10+1)), "")</f>
        <v/>
      </c>
      <c r="U10" t="str">
        <f>IFERROR(_xlfn.STDEV.S(INDEX(neos_benchmark!U:U, (ROW()-2)*averages!$B10+2):INDEX(neos_benchmark!U:U, (ROW()-2)*averages!$B10+averages!$B10+1)), "")</f>
        <v/>
      </c>
      <c r="V10" t="str">
        <f>IFERROR(_xlfn.STDEV.S(INDEX(neos_benchmark!V:V, (ROW()-2)*averages!$B10+2):INDEX(neos_benchmark!V:V, (ROW()-2)*averages!$B10+averages!$B10+1)), "")</f>
        <v/>
      </c>
      <c r="W10" t="str">
        <f>IFERROR(_xlfn.STDEV.S(INDEX(neos_benchmark!W:W, (ROW()-2)*averages!$B10+2):INDEX(neos_benchmark!W:W, (ROW()-2)*averages!$B10+averages!$B10+1)), "")</f>
        <v/>
      </c>
      <c r="X10" t="str">
        <f>IFERROR(_xlfn.STDEV.S(INDEX(neos_benchmark!X:X, (ROW()-2)*averages!$B10+2):INDEX(neos_benchmark!X:X, (ROW()-2)*averages!$B10+averages!$B10+1)), "")</f>
        <v/>
      </c>
      <c r="Y10" t="str">
        <f>IFERROR(_xlfn.STDEV.S(INDEX(neos_benchmark!Y:Y, (ROW()-2)*averages!$B10+2):INDEX(neos_benchmark!Y:Y, (ROW()-2)*averages!$B10+averages!$B10+1)), "")</f>
        <v/>
      </c>
      <c r="Z10" t="str">
        <f>IFERROR(_xlfn.STDEV.S(INDEX(neos_benchmark!Z:Z, (ROW()-2)*averages!$B10+2):INDEX(neos_benchmark!Z:Z, (ROW()-2)*averages!$B10+averages!$B10+1)), "")</f>
        <v/>
      </c>
      <c r="AA10" t="str">
        <f>IFERROR(_xlfn.STDEV.S(INDEX(neos_benchmark!AA:AA, (ROW()-2)*averages!$B10+2):INDEX(neos_benchmark!AA:AA, (ROW()-2)*averages!$B10+averages!$B10+1)), "")</f>
        <v/>
      </c>
      <c r="AB10" t="str">
        <f>IFERROR(_xlfn.STDEV.S(INDEX(neos_benchmark!AB:AB, (ROW()-2)*averages!$B10+2):INDEX(neos_benchmark!AB:AB, (ROW()-2)*averages!$B10+averages!$B10+1)), "")</f>
        <v/>
      </c>
      <c r="AC10" t="str">
        <f>IFERROR(_xlfn.STDEV.S(INDEX(neos_benchmark!AC:AC, (ROW()-2)*averages!$B10+2):INDEX(neos_benchmark!AC:AC, (ROW()-2)*averages!$B10+averages!$B10+1)), "")</f>
        <v/>
      </c>
      <c r="AD10" t="str">
        <f>IFERROR(_xlfn.STDEV.S(INDEX(neos_benchmark!AD:AD, (ROW()-2)*averages!$B10+2):INDEX(neos_benchmark!AD:AD, (ROW()-2)*averages!$B10+averages!$B10+1)), "")</f>
        <v/>
      </c>
      <c r="AE10" t="str">
        <f>IFERROR(_xlfn.STDEV.S(INDEX(neos_benchmark!AE:AE, (ROW()-2)*averages!$B10+2):INDEX(neos_benchmark!AE:AE, (ROW()-2)*averages!$B10+averages!$B10+1)), "")</f>
        <v/>
      </c>
      <c r="AF10" t="str">
        <f>IFERROR(_xlfn.STDEV.S(INDEX(neos_benchmark!AF:AF, (ROW()-2)*averages!$B10+2):INDEX(neos_benchmark!AF:AF, (ROW()-2)*averages!$B10+averages!$B10+1)), "")</f>
        <v/>
      </c>
      <c r="AG10" t="str">
        <f>IFERROR(_xlfn.STDEV.S(INDEX(neos_benchmark!AG:AG, (ROW()-2)*averages!$B10+2):INDEX(neos_benchmark!AG:AG, (ROW()-2)*averages!$B10+averages!$B10+1)), "")</f>
        <v/>
      </c>
      <c r="AH10" t="str">
        <f>IFERROR(_xlfn.STDEV.S(INDEX(neos_benchmark!AH:AH, (ROW()-2)*averages!$B10+2):INDEX(neos_benchmark!AH:AH, (ROW()-2)*averages!$B10+averages!$B10+1)), "")</f>
        <v/>
      </c>
      <c r="AI10">
        <f>IFERROR(_xlfn.STDEV.S(INDEX(neos_benchmark!AI:AI, (ROW()-2)*averages!$B10+2):INDEX(neos_benchmark!AI:AI, (ROW()-2)*averages!$B10+averages!$B10+1)), "")</f>
        <v>165471.41474372213</v>
      </c>
      <c r="AJ10">
        <f>IFERROR(_xlfn.STDEV.S(INDEX(neos_benchmark!AJ:AJ, (ROW()-2)*averages!$B10+2):INDEX(neos_benchmark!AJ:AJ, (ROW()-2)*averages!$B10+averages!$B10+1)), "")</f>
        <v>163685.92010816184</v>
      </c>
      <c r="AK10" cm="1">
        <f t="array" ref="AK10">IFERROR(_xlfn.STDEV.S(INDEX(neos_benchmark!W:W, (ROW()-2)*averages!$B10+2):INDEX(neos_benchmark!W:W, (ROW()-2)*averages!$B10+averages!$B10+1) + INDEX(neos_benchmark!AA:AA, (ROW()-2)*averages!$B10+2):INDEX(neos_benchmark!AA:AA, (ROW()-2)*averages!$B10+averages!$B10+1)), "")</f>
        <v>0</v>
      </c>
      <c r="AL10" cm="1">
        <f t="array" ref="AL10">IFERROR(_xlfn.STDEV.S((INDEX(neos_benchmark!AJ:AJ, (ROW()-2)*averages!$B10+2):INDEX(neos_benchmark!AJ:AJ, (ROW()-2)*averages!$B10+averages!$B10+1) - INDEX(neos_benchmark!AI:AI, (ROW()-2)*averages!$B10+2):INDEX(neos_benchmark!AI:AI, (ROW()-2)*averages!$B10+averages!$B10+1)) / 1000), "")</f>
        <v>8.3782145678207893</v>
      </c>
    </row>
    <row r="11" spans="1:38" x14ac:dyDescent="0.25">
      <c r="A11" t="str" cm="1">
        <f t="array" ref="A11">INDEX(neos_benchmark!A:A, (ROW()-2)*$B11+2)</f>
        <v>grasp-highs</v>
      </c>
      <c r="B11">
        <f>COUNTIF(neos_benchmark!A:A, neos_benchmark!A11)</f>
        <v>10</v>
      </c>
      <c r="C11" t="str" cm="1">
        <f t="array" ref="C11">INDEX(neos_benchmark!C:C, (ROW()-2)*$B11+2)</f>
        <v>HiGHS</v>
      </c>
      <c r="D11" t="str" cm="1">
        <f t="array" ref="D11">INDEX(neos_benchmark!D:D, (ROW()-2)*$B11+2)</f>
        <v>1.11.0</v>
      </c>
      <c r="E11" t="str" cm="1">
        <f t="array" ref="E11">INDEX(neos_benchmark!E:E, (ROW()-2)*$B11+2)</f>
        <v>failure</v>
      </c>
      <c r="F11">
        <f>IFERROR(_xlfn.STDEV.S(INDEX(neos_benchmark!F:F, (ROW()-2)*averages!$B11+2):INDEX(neos_benchmark!F:F, (ROW()-2)*averages!$B11+averages!$B11+1)), "")</f>
        <v>0</v>
      </c>
      <c r="G11">
        <f>IFERROR(_xlfn.STDEV.S(INDEX(neos_benchmark!G:G, (ROW()-2)*averages!$B11+2):INDEX(neos_benchmark!G:G, (ROW()-2)*averages!$B11+averages!$B11+1)), "")</f>
        <v>0</v>
      </c>
      <c r="H11" t="str">
        <f>IFERROR(_xlfn.STDEV.S(INDEX(neos_benchmark!H:H, (ROW()-2)*averages!$B11+2):INDEX(neos_benchmark!H:H, (ROW()-2)*averages!$B11+averages!$B11+1)), "")</f>
        <v/>
      </c>
      <c r="I11" t="str">
        <f>IFERROR(_xlfn.STDEV.S(INDEX(neos_benchmark!I:I, (ROW()-2)*averages!$B11+2):INDEX(neos_benchmark!I:I, (ROW()-2)*averages!$B11+averages!$B11+1)), "")</f>
        <v/>
      </c>
      <c r="J11" t="str">
        <f>IFERROR(_xlfn.STDEV.S(INDEX(neos_benchmark!J:J, (ROW()-2)*averages!$B11+2):INDEX(neos_benchmark!J:J, (ROW()-2)*averages!$B11+averages!$B11+1)), "")</f>
        <v/>
      </c>
      <c r="K11" t="str">
        <f>IFERROR(_xlfn.STDEV.S(INDEX(neos_benchmark!K:K, (ROW()-2)*averages!$B11+2):INDEX(neos_benchmark!K:K, (ROW()-2)*averages!$B11+averages!$B11+1)), "")</f>
        <v/>
      </c>
      <c r="L11" t="str">
        <f>IFERROR(_xlfn.STDEV.S(INDEX(neos_benchmark!L:L, (ROW()-2)*averages!$B11+2):INDEX(neos_benchmark!L:L, (ROW()-2)*averages!$B11+averages!$B11+1)), "")</f>
        <v/>
      </c>
      <c r="M11" t="str">
        <f>IFERROR(_xlfn.STDEV.S(INDEX(neos_benchmark!M:M, (ROW()-2)*averages!$B11+2):INDEX(neos_benchmark!M:M, (ROW()-2)*averages!$B11+averages!$B11+1)), "")</f>
        <v/>
      </c>
      <c r="N11" t="str">
        <f>IFERROR(_xlfn.STDEV.S(INDEX(neos_benchmark!N:N, (ROW()-2)*averages!$B11+2):INDEX(neos_benchmark!N:N, (ROW()-2)*averages!$B11+averages!$B11+1)), "")</f>
        <v/>
      </c>
      <c r="O11" t="str">
        <f>IFERROR(_xlfn.STDEV.S(INDEX(neos_benchmark!O:O, (ROW()-2)*averages!$B11+2):INDEX(neos_benchmark!O:O, (ROW()-2)*averages!$B11+averages!$B11+1)), "")</f>
        <v/>
      </c>
      <c r="P11" t="str">
        <f>IFERROR(_xlfn.STDEV.S(INDEX(neos_benchmark!P:P, (ROW()-2)*averages!$B11+2):INDEX(neos_benchmark!P:P, (ROW()-2)*averages!$B11+averages!$B11+1)), "")</f>
        <v/>
      </c>
      <c r="Q11" t="str">
        <f>IFERROR(_xlfn.STDEV.S(INDEX(neos_benchmark!Q:Q, (ROW()-2)*averages!$B11+2):INDEX(neos_benchmark!Q:Q, (ROW()-2)*averages!$B11+averages!$B11+1)), "")</f>
        <v/>
      </c>
      <c r="R11" t="str">
        <f>IFERROR(_xlfn.STDEV.S(INDEX(neos_benchmark!R:R, (ROW()-2)*averages!$B11+2):INDEX(neos_benchmark!R:R, (ROW()-2)*averages!$B11+averages!$B11+1)), "")</f>
        <v/>
      </c>
      <c r="S11" t="str">
        <f>IFERROR(_xlfn.STDEV.S(INDEX(neos_benchmark!S:S, (ROW()-2)*averages!$B11+2):INDEX(neos_benchmark!S:S, (ROW()-2)*averages!$B11+averages!$B11+1)), "")</f>
        <v/>
      </c>
      <c r="T11" t="str">
        <f>IFERROR(_xlfn.STDEV.S(INDEX(neos_benchmark!T:T, (ROW()-2)*averages!$B11+2):INDEX(neos_benchmark!T:T, (ROW()-2)*averages!$B11+averages!$B11+1)), "")</f>
        <v/>
      </c>
      <c r="U11" t="str">
        <f>IFERROR(_xlfn.STDEV.S(INDEX(neos_benchmark!U:U, (ROW()-2)*averages!$B11+2):INDEX(neos_benchmark!U:U, (ROW()-2)*averages!$B11+averages!$B11+1)), "")</f>
        <v/>
      </c>
      <c r="V11" t="str">
        <f>IFERROR(_xlfn.STDEV.S(INDEX(neos_benchmark!V:V, (ROW()-2)*averages!$B11+2):INDEX(neos_benchmark!V:V, (ROW()-2)*averages!$B11+averages!$B11+1)), "")</f>
        <v/>
      </c>
      <c r="W11">
        <f>IFERROR(_xlfn.STDEV.S(INDEX(neos_benchmark!W:W, (ROW()-2)*averages!$B11+2):INDEX(neos_benchmark!W:W, (ROW()-2)*averages!$B11+averages!$B11+1)), "")</f>
        <v>3.7205655891573979E-2</v>
      </c>
      <c r="X11">
        <f>IFERROR(_xlfn.STDEV.S(INDEX(neos_benchmark!X:X, (ROW()-2)*averages!$B11+2):INDEX(neos_benchmark!X:X, (ROW()-2)*averages!$B11+averages!$B11+1)), "")</f>
        <v>3.5945713699039737E-3</v>
      </c>
      <c r="Y11">
        <f>IFERROR(_xlfn.STDEV.S(INDEX(neos_benchmark!Y:Y, (ROW()-2)*averages!$B11+2):INDEX(neos_benchmark!Y:Y, (ROW()-2)*averages!$B11+averages!$B11+1)), "")</f>
        <v>3.6416498865974929E-2</v>
      </c>
      <c r="Z11">
        <f>IFERROR(_xlfn.STDEV.S(INDEX(neos_benchmark!Z:Z, (ROW()-2)*averages!$B11+2):INDEX(neos_benchmark!Z:Z, (ROW()-2)*averages!$B11+averages!$B11+1)), "")</f>
        <v>3.7951652859482432E-2</v>
      </c>
      <c r="AA11">
        <f>IFERROR(_xlfn.STDEV.S(INDEX(neos_benchmark!AA:AA, (ROW()-2)*averages!$B11+2):INDEX(neos_benchmark!AA:AA, (ROW()-2)*averages!$B11+averages!$B11+1)), "")</f>
        <v>2.5546847971694833E-2</v>
      </c>
      <c r="AB11">
        <f>IFERROR(_xlfn.STDEV.S(INDEX(neos_benchmark!AB:AB, (ROW()-2)*averages!$B11+2):INDEX(neos_benchmark!AB:AB, (ROW()-2)*averages!$B11+averages!$B11+1)), "")</f>
        <v>1.6032373671903844E-3</v>
      </c>
      <c r="AC11">
        <f>IFERROR(_xlfn.STDEV.S(INDEX(neos_benchmark!AC:AC, (ROW()-2)*averages!$B11+2):INDEX(neos_benchmark!AC:AC, (ROW()-2)*averages!$B11+averages!$B11+1)), "")</f>
        <v>1.7930835761645664E-3</v>
      </c>
      <c r="AD11">
        <f>IFERROR(_xlfn.STDEV.S(INDEX(neos_benchmark!AD:AD, (ROW()-2)*averages!$B11+2):INDEX(neos_benchmark!AD:AD, (ROW()-2)*averages!$B11+averages!$B11+1)), "")</f>
        <v>2.5907598392063366E-3</v>
      </c>
      <c r="AE11">
        <f>IFERROR(_xlfn.STDEV.S(INDEX(neos_benchmark!AE:AE, (ROW()-2)*averages!$B11+2):INDEX(neos_benchmark!AE:AE, (ROW()-2)*averages!$B11+averages!$B11+1)), "")</f>
        <v>0</v>
      </c>
      <c r="AF11">
        <f>IFERROR(_xlfn.STDEV.S(INDEX(neos_benchmark!AF:AF, (ROW()-2)*averages!$B11+2):INDEX(neos_benchmark!AF:AF, (ROW()-2)*averages!$B11+averages!$B11+1)), "")</f>
        <v>0</v>
      </c>
      <c r="AG11">
        <f>IFERROR(_xlfn.STDEV.S(INDEX(neos_benchmark!AG:AG, (ROW()-2)*averages!$B11+2):INDEX(neos_benchmark!AG:AG, (ROW()-2)*averages!$B11+averages!$B11+1)), "")</f>
        <v>0</v>
      </c>
      <c r="AH11">
        <f>IFERROR(_xlfn.STDEV.S(INDEX(neos_benchmark!AH:AH, (ROW()-2)*averages!$B11+2):INDEX(neos_benchmark!AH:AH, (ROW()-2)*averages!$B11+averages!$B11+1)), "")</f>
        <v>0</v>
      </c>
      <c r="AI11">
        <f>IFERROR(_xlfn.STDEV.S(INDEX(neos_benchmark!AI:AI, (ROW()-2)*averages!$B11+2):INDEX(neos_benchmark!AI:AI, (ROW()-2)*averages!$B11+averages!$B11+1)), "")</f>
        <v>173723.26887134163</v>
      </c>
      <c r="AJ11">
        <f>IFERROR(_xlfn.STDEV.S(INDEX(neos_benchmark!AJ:AJ, (ROW()-2)*averages!$B11+2):INDEX(neos_benchmark!AJ:AJ, (ROW()-2)*averages!$B11+averages!$B11+1)), "")</f>
        <v>172458.73603644699</v>
      </c>
      <c r="AK11" cm="1">
        <f t="array" ref="AK11">IFERROR(_xlfn.STDEV.S(INDEX(neos_benchmark!W:W, (ROW()-2)*averages!$B11+2):INDEX(neos_benchmark!W:W, (ROW()-2)*averages!$B11+averages!$B11+1) + INDEX(neos_benchmark!AA:AA, (ROW()-2)*averages!$B11+2):INDEX(neos_benchmark!AA:AA, (ROW()-2)*averages!$B11+averages!$B11+1)), "")</f>
        <v>5.7705234405458286E-2</v>
      </c>
      <c r="AL11" cm="1">
        <f t="array" ref="AL11">IFERROR(_xlfn.STDEV.S((INDEX(neos_benchmark!AJ:AJ, (ROW()-2)*averages!$B11+2):INDEX(neos_benchmark!AJ:AJ, (ROW()-2)*averages!$B11+averages!$B11+1) - INDEX(neos_benchmark!AI:AI, (ROW()-2)*averages!$B11+2):INDEX(neos_benchmark!AI:AI, (ROW()-2)*averages!$B11+averages!$B11+1)) / 1000), "")</f>
        <v>6.4668089065112602</v>
      </c>
    </row>
    <row r="12" spans="1:38" x14ac:dyDescent="0.25">
      <c r="A12" t="str" cm="1">
        <f t="array" ref="A12">INDEX(neos_benchmark!A:A, (ROW()-2)*$B12+2)</f>
        <v>grasp-knitro</v>
      </c>
      <c r="B12">
        <f>COUNTIF(neos_benchmark!A:A, neos_benchmark!A12)</f>
        <v>10</v>
      </c>
      <c r="C12" t="str" cm="1">
        <f t="array" ref="C12">INDEX(neos_benchmark!C:C, (ROW()-2)*$B12+2)</f>
        <v>Knitro</v>
      </c>
      <c r="D12" t="str" cm="1">
        <f t="array" ref="D12">INDEX(neos_benchmark!D:D, (ROW()-2)*$B12+2)</f>
        <v>15.1.0</v>
      </c>
      <c r="E12" t="str" cm="1">
        <f t="array" ref="E12">INDEX(neos_benchmark!E:E, (ROW()-2)*$B12+2)</f>
        <v>solved</v>
      </c>
      <c r="F12">
        <f>IFERROR(_xlfn.STDEV.S(INDEX(neos_benchmark!F:F, (ROW()-2)*averages!$B12+2):INDEX(neos_benchmark!F:F, (ROW()-2)*averages!$B12+averages!$B12+1)), "")</f>
        <v>0</v>
      </c>
      <c r="G12">
        <f>IFERROR(_xlfn.STDEV.S(INDEX(neos_benchmark!G:G, (ROW()-2)*averages!$B12+2):INDEX(neos_benchmark!G:G, (ROW()-2)*averages!$B12+averages!$B12+1)), "")</f>
        <v>0</v>
      </c>
      <c r="H12" t="str">
        <f>IFERROR(_xlfn.STDEV.S(INDEX(neos_benchmark!H:H, (ROW()-2)*averages!$B12+2):INDEX(neos_benchmark!H:H, (ROW()-2)*averages!$B12+averages!$B12+1)), "")</f>
        <v/>
      </c>
      <c r="I12" t="str">
        <f>IFERROR(_xlfn.STDEV.S(INDEX(neos_benchmark!I:I, (ROW()-2)*averages!$B12+2):INDEX(neos_benchmark!I:I, (ROW()-2)*averages!$B12+averages!$B12+1)), "")</f>
        <v/>
      </c>
      <c r="J12" t="str">
        <f>IFERROR(_xlfn.STDEV.S(INDEX(neos_benchmark!J:J, (ROW()-2)*averages!$B12+2):INDEX(neos_benchmark!J:J, (ROW()-2)*averages!$B12+averages!$B12+1)), "")</f>
        <v/>
      </c>
      <c r="K12" t="str">
        <f>IFERROR(_xlfn.STDEV.S(INDEX(neos_benchmark!K:K, (ROW()-2)*averages!$B12+2):INDEX(neos_benchmark!K:K, (ROW()-2)*averages!$B12+averages!$B12+1)), "")</f>
        <v/>
      </c>
      <c r="L12" t="str">
        <f>IFERROR(_xlfn.STDEV.S(INDEX(neos_benchmark!L:L, (ROW()-2)*averages!$B12+2):INDEX(neos_benchmark!L:L, (ROW()-2)*averages!$B12+averages!$B12+1)), "")</f>
        <v/>
      </c>
      <c r="M12" t="str">
        <f>IFERROR(_xlfn.STDEV.S(INDEX(neos_benchmark!M:M, (ROW()-2)*averages!$B12+2):INDEX(neos_benchmark!M:M, (ROW()-2)*averages!$B12+averages!$B12+1)), "")</f>
        <v/>
      </c>
      <c r="N12" t="str">
        <f>IFERROR(_xlfn.STDEV.S(INDEX(neos_benchmark!N:N, (ROW()-2)*averages!$B12+2):INDEX(neos_benchmark!N:N, (ROW()-2)*averages!$B12+averages!$B12+1)), "")</f>
        <v/>
      </c>
      <c r="O12" t="str">
        <f>IFERROR(_xlfn.STDEV.S(INDEX(neos_benchmark!O:O, (ROW()-2)*averages!$B12+2):INDEX(neos_benchmark!O:O, (ROW()-2)*averages!$B12+averages!$B12+1)), "")</f>
        <v/>
      </c>
      <c r="P12" t="str">
        <f>IFERROR(_xlfn.STDEV.S(INDEX(neos_benchmark!P:P, (ROW()-2)*averages!$B12+2):INDEX(neos_benchmark!P:P, (ROW()-2)*averages!$B12+averages!$B12+1)), "")</f>
        <v/>
      </c>
      <c r="Q12" t="str">
        <f>IFERROR(_xlfn.STDEV.S(INDEX(neos_benchmark!Q:Q, (ROW()-2)*averages!$B12+2):INDEX(neos_benchmark!Q:Q, (ROW()-2)*averages!$B12+averages!$B12+1)), "")</f>
        <v/>
      </c>
      <c r="R12" t="str">
        <f>IFERROR(_xlfn.STDEV.S(INDEX(neos_benchmark!R:R, (ROW()-2)*averages!$B12+2):INDEX(neos_benchmark!R:R, (ROW()-2)*averages!$B12+averages!$B12+1)), "")</f>
        <v/>
      </c>
      <c r="S12" t="str">
        <f>IFERROR(_xlfn.STDEV.S(INDEX(neos_benchmark!S:S, (ROW()-2)*averages!$B12+2):INDEX(neos_benchmark!S:S, (ROW()-2)*averages!$B12+averages!$B12+1)), "")</f>
        <v/>
      </c>
      <c r="T12" t="str">
        <f>IFERROR(_xlfn.STDEV.S(INDEX(neos_benchmark!T:T, (ROW()-2)*averages!$B12+2):INDEX(neos_benchmark!T:T, (ROW()-2)*averages!$B12+averages!$B12+1)), "")</f>
        <v/>
      </c>
      <c r="U12" t="str">
        <f>IFERROR(_xlfn.STDEV.S(INDEX(neos_benchmark!U:U, (ROW()-2)*averages!$B12+2):INDEX(neos_benchmark!U:U, (ROW()-2)*averages!$B12+averages!$B12+1)), "")</f>
        <v/>
      </c>
      <c r="V12" t="str">
        <f>IFERROR(_xlfn.STDEV.S(INDEX(neos_benchmark!V:V, (ROW()-2)*averages!$B12+2):INDEX(neos_benchmark!V:V, (ROW()-2)*averages!$B12+averages!$B12+1)), "")</f>
        <v/>
      </c>
      <c r="W12">
        <f>IFERROR(_xlfn.STDEV.S(INDEX(neos_benchmark!W:W, (ROW()-2)*averages!$B12+2):INDEX(neos_benchmark!W:W, (ROW()-2)*averages!$B12+averages!$B12+1)), "")</f>
        <v>0.58109343476492659</v>
      </c>
      <c r="X12">
        <f>IFERROR(_xlfn.STDEV.S(INDEX(neos_benchmark!X:X, (ROW()-2)*averages!$B12+2):INDEX(neos_benchmark!X:X, (ROW()-2)*averages!$B12+averages!$B12+1)), "")</f>
        <v>1.7720790368628839E-2</v>
      </c>
      <c r="Y12">
        <f>IFERROR(_xlfn.STDEV.S(INDEX(neos_benchmark!Y:Y, (ROW()-2)*averages!$B12+2):INDEX(neos_benchmark!Y:Y, (ROW()-2)*averages!$B12+averages!$B12+1)), "")</f>
        <v>5.1595952233139793E-2</v>
      </c>
      <c r="Z12">
        <f>IFERROR(_xlfn.STDEV.S(INDEX(neos_benchmark!Z:Z, (ROW()-2)*averages!$B12+2):INDEX(neos_benchmark!Z:Z, (ROW()-2)*averages!$B12+averages!$B12+1)), "")</f>
        <v>6.0162343191290921E-2</v>
      </c>
      <c r="AA12">
        <f>IFERROR(_xlfn.STDEV.S(INDEX(neos_benchmark!AA:AA, (ROW()-2)*averages!$B12+2):INDEX(neos_benchmark!AA:AA, (ROW()-2)*averages!$B12+averages!$B12+1)), "")</f>
        <v>1.1144247341269096</v>
      </c>
      <c r="AB12">
        <f>IFERROR(_xlfn.STDEV.S(INDEX(neos_benchmark!AB:AB, (ROW()-2)*averages!$B12+2):INDEX(neos_benchmark!AB:AB, (ROW()-2)*averages!$B12+averages!$B12+1)), "")</f>
        <v>2.3592661627670958E-2</v>
      </c>
      <c r="AC12">
        <f>IFERROR(_xlfn.STDEV.S(INDEX(neos_benchmark!AC:AC, (ROW()-2)*averages!$B12+2):INDEX(neos_benchmark!AC:AC, (ROW()-2)*averages!$B12+averages!$B12+1)), "")</f>
        <v>0.2052509512979443</v>
      </c>
      <c r="AD12">
        <f>IFERROR(_xlfn.STDEV.S(INDEX(neos_benchmark!AD:AD, (ROW()-2)*averages!$B12+2):INDEX(neos_benchmark!AD:AD, (ROW()-2)*averages!$B12+averages!$B12+1)), "")</f>
        <v>0.22873923070802696</v>
      </c>
      <c r="AE12">
        <f>IFERROR(_xlfn.STDEV.S(INDEX(neos_benchmark!AE:AE, (ROW()-2)*averages!$B12+2):INDEX(neos_benchmark!AE:AE, (ROW()-2)*averages!$B12+averages!$B12+1)), "")</f>
        <v>0</v>
      </c>
      <c r="AF12">
        <f>IFERROR(_xlfn.STDEV.S(INDEX(neos_benchmark!AF:AF, (ROW()-2)*averages!$B12+2):INDEX(neos_benchmark!AF:AF, (ROW()-2)*averages!$B12+averages!$B12+1)), "")</f>
        <v>0</v>
      </c>
      <c r="AG12">
        <f>IFERROR(_xlfn.STDEV.S(INDEX(neos_benchmark!AG:AG, (ROW()-2)*averages!$B12+2):INDEX(neos_benchmark!AG:AG, (ROW()-2)*averages!$B12+averages!$B12+1)), "")</f>
        <v>0</v>
      </c>
      <c r="AH12">
        <f>IFERROR(_xlfn.STDEV.S(INDEX(neos_benchmark!AH:AH, (ROW()-2)*averages!$B12+2):INDEX(neos_benchmark!AH:AH, (ROW()-2)*averages!$B12+averages!$B12+1)), "")</f>
        <v>0</v>
      </c>
      <c r="AI12">
        <f>IFERROR(_xlfn.STDEV.S(INDEX(neos_benchmark!AI:AI, (ROW()-2)*averages!$B12+2):INDEX(neos_benchmark!AI:AI, (ROW()-2)*averages!$B12+averages!$B12+1)), "")</f>
        <v>522184.12419406459</v>
      </c>
      <c r="AJ12">
        <f>IFERROR(_xlfn.STDEV.S(INDEX(neos_benchmark!AJ:AJ, (ROW()-2)*averages!$B12+2):INDEX(neos_benchmark!AJ:AJ, (ROW()-2)*averages!$B12+averages!$B12+1)), "")</f>
        <v>542943.87083938567</v>
      </c>
      <c r="AK12" cm="1">
        <f t="array" ref="AK12">IFERROR(_xlfn.STDEV.S(INDEX(neos_benchmark!W:W, (ROW()-2)*averages!$B12+2):INDEX(neos_benchmark!W:W, (ROW()-2)*averages!$B12+averages!$B12+1) + INDEX(neos_benchmark!AA:AA, (ROW()-2)*averages!$B12+2):INDEX(neos_benchmark!AA:AA, (ROW()-2)*averages!$B12+averages!$B12+1)), "")</f>
        <v>1.6944098295304804</v>
      </c>
      <c r="AL12" cm="1">
        <f t="array" ref="AL12">IFERROR(_xlfn.STDEV.S((INDEX(neos_benchmark!AJ:AJ, (ROW()-2)*averages!$B12+2):INDEX(neos_benchmark!AJ:AJ, (ROW()-2)*averages!$B12+averages!$B12+1) - INDEX(neos_benchmark!AI:AI, (ROW()-2)*averages!$B12+2):INDEX(neos_benchmark!AI:AI, (ROW()-2)*averages!$B12+averages!$B12+1)) / 1000), "")</f>
        <v>44.982768170341252</v>
      </c>
    </row>
    <row r="13" spans="1:38" x14ac:dyDescent="0.25">
      <c r="A13" t="str" cm="1">
        <f t="array" ref="A13">INDEX(neos_benchmark!A:A, (ROW()-2)*$B13+2)</f>
        <v>grasp-raposa</v>
      </c>
      <c r="B13">
        <f>COUNTIF(neos_benchmark!A:A, neos_benchmark!A13)</f>
        <v>10</v>
      </c>
      <c r="C13" t="str" cm="1">
        <f t="array" ref="C13">INDEX(neos_benchmark!C:C, (ROW()-2)*$B13+2)</f>
        <v>RAPOSa</v>
      </c>
      <c r="D13" t="str" cm="1">
        <f t="array" ref="D13">INDEX(neos_benchmark!D:D, (ROW()-2)*$B13+2)</f>
        <v>v4.4.1</v>
      </c>
      <c r="E13" t="str" cm="1">
        <f t="array" ref="E13">INDEX(neos_benchmark!E:E, (ROW()-2)*$B13+2)</f>
        <v/>
      </c>
      <c r="F13" t="str">
        <f>IFERROR(_xlfn.STDEV.S(INDEX(neos_benchmark!F:F, (ROW()-2)*averages!$B13+2):INDEX(neos_benchmark!F:F, (ROW()-2)*averages!$B13+averages!$B13+1)), "")</f>
        <v/>
      </c>
      <c r="G13" t="str">
        <f>IFERROR(_xlfn.STDEV.S(INDEX(neos_benchmark!G:G, (ROW()-2)*averages!$B13+2):INDEX(neos_benchmark!G:G, (ROW()-2)*averages!$B13+averages!$B13+1)), "")</f>
        <v/>
      </c>
      <c r="H13" t="str">
        <f>IFERROR(_xlfn.STDEV.S(INDEX(neos_benchmark!H:H, (ROW()-2)*averages!$B13+2):INDEX(neos_benchmark!H:H, (ROW()-2)*averages!$B13+averages!$B13+1)), "")</f>
        <v/>
      </c>
      <c r="I13" t="str">
        <f>IFERROR(_xlfn.STDEV.S(INDEX(neos_benchmark!I:I, (ROW()-2)*averages!$B13+2):INDEX(neos_benchmark!I:I, (ROW()-2)*averages!$B13+averages!$B13+1)), "")</f>
        <v/>
      </c>
      <c r="J13" t="str">
        <f>IFERROR(_xlfn.STDEV.S(INDEX(neos_benchmark!J:J, (ROW()-2)*averages!$B13+2):INDEX(neos_benchmark!J:J, (ROW()-2)*averages!$B13+averages!$B13+1)), "")</f>
        <v/>
      </c>
      <c r="K13" t="str">
        <f>IFERROR(_xlfn.STDEV.S(INDEX(neos_benchmark!K:K, (ROW()-2)*averages!$B13+2):INDEX(neos_benchmark!K:K, (ROW()-2)*averages!$B13+averages!$B13+1)), "")</f>
        <v/>
      </c>
      <c r="L13" t="str">
        <f>IFERROR(_xlfn.STDEV.S(INDEX(neos_benchmark!L:L, (ROW()-2)*averages!$B13+2):INDEX(neos_benchmark!L:L, (ROW()-2)*averages!$B13+averages!$B13+1)), "")</f>
        <v/>
      </c>
      <c r="M13" t="str">
        <f>IFERROR(_xlfn.STDEV.S(INDEX(neos_benchmark!M:M, (ROW()-2)*averages!$B13+2):INDEX(neos_benchmark!M:M, (ROW()-2)*averages!$B13+averages!$B13+1)), "")</f>
        <v/>
      </c>
      <c r="N13" t="str">
        <f>IFERROR(_xlfn.STDEV.S(INDEX(neos_benchmark!N:N, (ROW()-2)*averages!$B13+2):INDEX(neos_benchmark!N:N, (ROW()-2)*averages!$B13+averages!$B13+1)), "")</f>
        <v/>
      </c>
      <c r="O13" t="str">
        <f>IFERROR(_xlfn.STDEV.S(INDEX(neos_benchmark!O:O, (ROW()-2)*averages!$B13+2):INDEX(neos_benchmark!O:O, (ROW()-2)*averages!$B13+averages!$B13+1)), "")</f>
        <v/>
      </c>
      <c r="P13" t="str">
        <f>IFERROR(_xlfn.STDEV.S(INDEX(neos_benchmark!P:P, (ROW()-2)*averages!$B13+2):INDEX(neos_benchmark!P:P, (ROW()-2)*averages!$B13+averages!$B13+1)), "")</f>
        <v/>
      </c>
      <c r="Q13" t="str">
        <f>IFERROR(_xlfn.STDEV.S(INDEX(neos_benchmark!Q:Q, (ROW()-2)*averages!$B13+2):INDEX(neos_benchmark!Q:Q, (ROW()-2)*averages!$B13+averages!$B13+1)), "")</f>
        <v/>
      </c>
      <c r="R13" t="str">
        <f>IFERROR(_xlfn.STDEV.S(INDEX(neos_benchmark!R:R, (ROW()-2)*averages!$B13+2):INDEX(neos_benchmark!R:R, (ROW()-2)*averages!$B13+averages!$B13+1)), "")</f>
        <v/>
      </c>
      <c r="S13" t="str">
        <f>IFERROR(_xlfn.STDEV.S(INDEX(neos_benchmark!S:S, (ROW()-2)*averages!$B13+2):INDEX(neos_benchmark!S:S, (ROW()-2)*averages!$B13+averages!$B13+1)), "")</f>
        <v/>
      </c>
      <c r="T13" t="str">
        <f>IFERROR(_xlfn.STDEV.S(INDEX(neos_benchmark!T:T, (ROW()-2)*averages!$B13+2):INDEX(neos_benchmark!T:T, (ROW()-2)*averages!$B13+averages!$B13+1)), "")</f>
        <v/>
      </c>
      <c r="U13" t="str">
        <f>IFERROR(_xlfn.STDEV.S(INDEX(neos_benchmark!U:U, (ROW()-2)*averages!$B13+2):INDEX(neos_benchmark!U:U, (ROW()-2)*averages!$B13+averages!$B13+1)), "")</f>
        <v/>
      </c>
      <c r="V13" t="str">
        <f>IFERROR(_xlfn.STDEV.S(INDEX(neos_benchmark!V:V, (ROW()-2)*averages!$B13+2):INDEX(neos_benchmark!V:V, (ROW()-2)*averages!$B13+averages!$B13+1)), "")</f>
        <v/>
      </c>
      <c r="W13" t="str">
        <f>IFERROR(_xlfn.STDEV.S(INDEX(neos_benchmark!W:W, (ROW()-2)*averages!$B13+2):INDEX(neos_benchmark!W:W, (ROW()-2)*averages!$B13+averages!$B13+1)), "")</f>
        <v/>
      </c>
      <c r="X13" t="str">
        <f>IFERROR(_xlfn.STDEV.S(INDEX(neos_benchmark!X:X, (ROW()-2)*averages!$B13+2):INDEX(neos_benchmark!X:X, (ROW()-2)*averages!$B13+averages!$B13+1)), "")</f>
        <v/>
      </c>
      <c r="Y13" t="str">
        <f>IFERROR(_xlfn.STDEV.S(INDEX(neos_benchmark!Y:Y, (ROW()-2)*averages!$B13+2):INDEX(neos_benchmark!Y:Y, (ROW()-2)*averages!$B13+averages!$B13+1)), "")</f>
        <v/>
      </c>
      <c r="Z13" t="str">
        <f>IFERROR(_xlfn.STDEV.S(INDEX(neos_benchmark!Z:Z, (ROW()-2)*averages!$B13+2):INDEX(neos_benchmark!Z:Z, (ROW()-2)*averages!$B13+averages!$B13+1)), "")</f>
        <v/>
      </c>
      <c r="AA13" t="str">
        <f>IFERROR(_xlfn.STDEV.S(INDEX(neos_benchmark!AA:AA, (ROW()-2)*averages!$B13+2):INDEX(neos_benchmark!AA:AA, (ROW()-2)*averages!$B13+averages!$B13+1)), "")</f>
        <v/>
      </c>
      <c r="AB13" t="str">
        <f>IFERROR(_xlfn.STDEV.S(INDEX(neos_benchmark!AB:AB, (ROW()-2)*averages!$B13+2):INDEX(neos_benchmark!AB:AB, (ROW()-2)*averages!$B13+averages!$B13+1)), "")</f>
        <v/>
      </c>
      <c r="AC13" t="str">
        <f>IFERROR(_xlfn.STDEV.S(INDEX(neos_benchmark!AC:AC, (ROW()-2)*averages!$B13+2):INDEX(neos_benchmark!AC:AC, (ROW()-2)*averages!$B13+averages!$B13+1)), "")</f>
        <v/>
      </c>
      <c r="AD13" t="str">
        <f>IFERROR(_xlfn.STDEV.S(INDEX(neos_benchmark!AD:AD, (ROW()-2)*averages!$B13+2):INDEX(neos_benchmark!AD:AD, (ROW()-2)*averages!$B13+averages!$B13+1)), "")</f>
        <v/>
      </c>
      <c r="AE13" t="str">
        <f>IFERROR(_xlfn.STDEV.S(INDEX(neos_benchmark!AE:AE, (ROW()-2)*averages!$B13+2):INDEX(neos_benchmark!AE:AE, (ROW()-2)*averages!$B13+averages!$B13+1)), "")</f>
        <v/>
      </c>
      <c r="AF13" t="str">
        <f>IFERROR(_xlfn.STDEV.S(INDEX(neos_benchmark!AF:AF, (ROW()-2)*averages!$B13+2):INDEX(neos_benchmark!AF:AF, (ROW()-2)*averages!$B13+averages!$B13+1)), "")</f>
        <v/>
      </c>
      <c r="AG13" t="str">
        <f>IFERROR(_xlfn.STDEV.S(INDEX(neos_benchmark!AG:AG, (ROW()-2)*averages!$B13+2):INDEX(neos_benchmark!AG:AG, (ROW()-2)*averages!$B13+averages!$B13+1)), "")</f>
        <v/>
      </c>
      <c r="AH13" t="str">
        <f>IFERROR(_xlfn.STDEV.S(INDEX(neos_benchmark!AH:AH, (ROW()-2)*averages!$B13+2):INDEX(neos_benchmark!AH:AH, (ROW()-2)*averages!$B13+averages!$B13+1)), "")</f>
        <v/>
      </c>
      <c r="AI13">
        <f>IFERROR(_xlfn.STDEV.S(INDEX(neos_benchmark!AI:AI, (ROW()-2)*averages!$B13+2):INDEX(neos_benchmark!AI:AI, (ROW()-2)*averages!$B13+averages!$B13+1)), "")</f>
        <v>156154.55811986761</v>
      </c>
      <c r="AJ13">
        <f>IFERROR(_xlfn.STDEV.S(INDEX(neos_benchmark!AJ:AJ, (ROW()-2)*averages!$B13+2):INDEX(neos_benchmark!AJ:AJ, (ROW()-2)*averages!$B13+averages!$B13+1)), "")</f>
        <v>173180.17140397779</v>
      </c>
      <c r="AK13" cm="1">
        <f t="array" ref="AK13">IFERROR(_xlfn.STDEV.S(INDEX(neos_benchmark!W:W, (ROW()-2)*averages!$B13+2):INDEX(neos_benchmark!W:W, (ROW()-2)*averages!$B13+averages!$B13+1) + INDEX(neos_benchmark!AA:AA, (ROW()-2)*averages!$B13+2):INDEX(neos_benchmark!AA:AA, (ROW()-2)*averages!$B13+averages!$B13+1)), "")</f>
        <v>0</v>
      </c>
      <c r="AL13" cm="1">
        <f t="array" ref="AL13">IFERROR(_xlfn.STDEV.S((INDEX(neos_benchmark!AJ:AJ, (ROW()-2)*averages!$B13+2):INDEX(neos_benchmark!AJ:AJ, (ROW()-2)*averages!$B13+averages!$B13+1) - INDEX(neos_benchmark!AI:AI, (ROW()-2)*averages!$B13+2):INDEX(neos_benchmark!AI:AI, (ROW()-2)*averages!$B13+averages!$B13+1)) / 1000), "")</f>
        <v>24.808704870356394</v>
      </c>
    </row>
    <row r="14" spans="1:38" x14ac:dyDescent="0.25">
      <c r="A14" t="str" cm="1">
        <f t="array" ref="A14">INDEX(neos_benchmark!A:A, (ROW()-2)*$B14+2)</f>
        <v>grasp-scip</v>
      </c>
      <c r="B14">
        <f>COUNTIF(neos_benchmark!A:A, neos_benchmark!A14)</f>
        <v>10</v>
      </c>
      <c r="C14" t="str" cm="1">
        <f t="array" ref="C14">INDEX(neos_benchmark!C:C, (ROW()-2)*$B14+2)</f>
        <v>SCIP</v>
      </c>
      <c r="D14" t="str" cm="1">
        <f t="array" ref="D14">INDEX(neos_benchmark!D:D, (ROW()-2)*$B14+2)</f>
        <v>9.2.2</v>
      </c>
      <c r="E14" t="str" cm="1">
        <f t="array" ref="E14">INDEX(neos_benchmark!E:E, (ROW()-2)*$B14+2)</f>
        <v/>
      </c>
      <c r="F14" t="str">
        <f>IFERROR(_xlfn.STDEV.S(INDEX(neos_benchmark!F:F, (ROW()-2)*averages!$B14+2):INDEX(neos_benchmark!F:F, (ROW()-2)*averages!$B14+averages!$B14+1)), "")</f>
        <v/>
      </c>
      <c r="G14" t="str">
        <f>IFERROR(_xlfn.STDEV.S(INDEX(neos_benchmark!G:G, (ROW()-2)*averages!$B14+2):INDEX(neos_benchmark!G:G, (ROW()-2)*averages!$B14+averages!$B14+1)), "")</f>
        <v/>
      </c>
      <c r="H14" t="str">
        <f>IFERROR(_xlfn.STDEV.S(INDEX(neos_benchmark!H:H, (ROW()-2)*averages!$B14+2):INDEX(neos_benchmark!H:H, (ROW()-2)*averages!$B14+averages!$B14+1)), "")</f>
        <v/>
      </c>
      <c r="I14" t="str">
        <f>IFERROR(_xlfn.STDEV.S(INDEX(neos_benchmark!I:I, (ROW()-2)*averages!$B14+2):INDEX(neos_benchmark!I:I, (ROW()-2)*averages!$B14+averages!$B14+1)), "")</f>
        <v/>
      </c>
      <c r="J14" t="str">
        <f>IFERROR(_xlfn.STDEV.S(INDEX(neos_benchmark!J:J, (ROW()-2)*averages!$B14+2):INDEX(neos_benchmark!J:J, (ROW()-2)*averages!$B14+averages!$B14+1)), "")</f>
        <v/>
      </c>
      <c r="K14" t="str">
        <f>IFERROR(_xlfn.STDEV.S(INDEX(neos_benchmark!K:K, (ROW()-2)*averages!$B14+2):INDEX(neos_benchmark!K:K, (ROW()-2)*averages!$B14+averages!$B14+1)), "")</f>
        <v/>
      </c>
      <c r="L14" t="str">
        <f>IFERROR(_xlfn.STDEV.S(INDEX(neos_benchmark!L:L, (ROW()-2)*averages!$B14+2):INDEX(neos_benchmark!L:L, (ROW()-2)*averages!$B14+averages!$B14+1)), "")</f>
        <v/>
      </c>
      <c r="M14" t="str">
        <f>IFERROR(_xlfn.STDEV.S(INDEX(neos_benchmark!M:M, (ROW()-2)*averages!$B14+2):INDEX(neos_benchmark!M:M, (ROW()-2)*averages!$B14+averages!$B14+1)), "")</f>
        <v/>
      </c>
      <c r="N14" t="str">
        <f>IFERROR(_xlfn.STDEV.S(INDEX(neos_benchmark!N:N, (ROW()-2)*averages!$B14+2):INDEX(neos_benchmark!N:N, (ROW()-2)*averages!$B14+averages!$B14+1)), "")</f>
        <v/>
      </c>
      <c r="O14" t="str">
        <f>IFERROR(_xlfn.STDEV.S(INDEX(neos_benchmark!O:O, (ROW()-2)*averages!$B14+2):INDEX(neos_benchmark!O:O, (ROW()-2)*averages!$B14+averages!$B14+1)), "")</f>
        <v/>
      </c>
      <c r="P14" t="str">
        <f>IFERROR(_xlfn.STDEV.S(INDEX(neos_benchmark!P:P, (ROW()-2)*averages!$B14+2):INDEX(neos_benchmark!P:P, (ROW()-2)*averages!$B14+averages!$B14+1)), "")</f>
        <v/>
      </c>
      <c r="Q14" t="str">
        <f>IFERROR(_xlfn.STDEV.S(INDEX(neos_benchmark!Q:Q, (ROW()-2)*averages!$B14+2):INDEX(neos_benchmark!Q:Q, (ROW()-2)*averages!$B14+averages!$B14+1)), "")</f>
        <v/>
      </c>
      <c r="R14" t="str">
        <f>IFERROR(_xlfn.STDEV.S(INDEX(neos_benchmark!R:R, (ROW()-2)*averages!$B14+2):INDEX(neos_benchmark!R:R, (ROW()-2)*averages!$B14+averages!$B14+1)), "")</f>
        <v/>
      </c>
      <c r="S14" t="str">
        <f>IFERROR(_xlfn.STDEV.S(INDEX(neos_benchmark!S:S, (ROW()-2)*averages!$B14+2):INDEX(neos_benchmark!S:S, (ROW()-2)*averages!$B14+averages!$B14+1)), "")</f>
        <v/>
      </c>
      <c r="T14" t="str">
        <f>IFERROR(_xlfn.STDEV.S(INDEX(neos_benchmark!T:T, (ROW()-2)*averages!$B14+2):INDEX(neos_benchmark!T:T, (ROW()-2)*averages!$B14+averages!$B14+1)), "")</f>
        <v/>
      </c>
      <c r="U14" t="str">
        <f>IFERROR(_xlfn.STDEV.S(INDEX(neos_benchmark!U:U, (ROW()-2)*averages!$B14+2):INDEX(neos_benchmark!U:U, (ROW()-2)*averages!$B14+averages!$B14+1)), "")</f>
        <v/>
      </c>
      <c r="V14" t="str">
        <f>IFERROR(_xlfn.STDEV.S(INDEX(neos_benchmark!V:V, (ROW()-2)*averages!$B14+2):INDEX(neos_benchmark!V:V, (ROW()-2)*averages!$B14+averages!$B14+1)), "")</f>
        <v/>
      </c>
      <c r="W14" t="str">
        <f>IFERROR(_xlfn.STDEV.S(INDEX(neos_benchmark!W:W, (ROW()-2)*averages!$B14+2):INDEX(neos_benchmark!W:W, (ROW()-2)*averages!$B14+averages!$B14+1)), "")</f>
        <v/>
      </c>
      <c r="X14" t="str">
        <f>IFERROR(_xlfn.STDEV.S(INDEX(neos_benchmark!X:X, (ROW()-2)*averages!$B14+2):INDEX(neos_benchmark!X:X, (ROW()-2)*averages!$B14+averages!$B14+1)), "")</f>
        <v/>
      </c>
      <c r="Y14" t="str">
        <f>IFERROR(_xlfn.STDEV.S(INDEX(neos_benchmark!Y:Y, (ROW()-2)*averages!$B14+2):INDEX(neos_benchmark!Y:Y, (ROW()-2)*averages!$B14+averages!$B14+1)), "")</f>
        <v/>
      </c>
      <c r="Z14" t="str">
        <f>IFERROR(_xlfn.STDEV.S(INDEX(neos_benchmark!Z:Z, (ROW()-2)*averages!$B14+2):INDEX(neos_benchmark!Z:Z, (ROW()-2)*averages!$B14+averages!$B14+1)), "")</f>
        <v/>
      </c>
      <c r="AA14" t="str">
        <f>IFERROR(_xlfn.STDEV.S(INDEX(neos_benchmark!AA:AA, (ROW()-2)*averages!$B14+2):INDEX(neos_benchmark!AA:AA, (ROW()-2)*averages!$B14+averages!$B14+1)), "")</f>
        <v/>
      </c>
      <c r="AB14" t="str">
        <f>IFERROR(_xlfn.STDEV.S(INDEX(neos_benchmark!AB:AB, (ROW()-2)*averages!$B14+2):INDEX(neos_benchmark!AB:AB, (ROW()-2)*averages!$B14+averages!$B14+1)), "")</f>
        <v/>
      </c>
      <c r="AC14" t="str">
        <f>IFERROR(_xlfn.STDEV.S(INDEX(neos_benchmark!AC:AC, (ROW()-2)*averages!$B14+2):INDEX(neos_benchmark!AC:AC, (ROW()-2)*averages!$B14+averages!$B14+1)), "")</f>
        <v/>
      </c>
      <c r="AD14" t="str">
        <f>IFERROR(_xlfn.STDEV.S(INDEX(neos_benchmark!AD:AD, (ROW()-2)*averages!$B14+2):INDEX(neos_benchmark!AD:AD, (ROW()-2)*averages!$B14+averages!$B14+1)), "")</f>
        <v/>
      </c>
      <c r="AE14" t="str">
        <f>IFERROR(_xlfn.STDEV.S(INDEX(neos_benchmark!AE:AE, (ROW()-2)*averages!$B14+2):INDEX(neos_benchmark!AE:AE, (ROW()-2)*averages!$B14+averages!$B14+1)), "")</f>
        <v/>
      </c>
      <c r="AF14" t="str">
        <f>IFERROR(_xlfn.STDEV.S(INDEX(neos_benchmark!AF:AF, (ROW()-2)*averages!$B14+2):INDEX(neos_benchmark!AF:AF, (ROW()-2)*averages!$B14+averages!$B14+1)), "")</f>
        <v/>
      </c>
      <c r="AG14" t="str">
        <f>IFERROR(_xlfn.STDEV.S(INDEX(neos_benchmark!AG:AG, (ROW()-2)*averages!$B14+2):INDEX(neos_benchmark!AG:AG, (ROW()-2)*averages!$B14+averages!$B14+1)), "")</f>
        <v/>
      </c>
      <c r="AH14" t="str">
        <f>IFERROR(_xlfn.STDEV.S(INDEX(neos_benchmark!AH:AH, (ROW()-2)*averages!$B14+2):INDEX(neos_benchmark!AH:AH, (ROW()-2)*averages!$B14+averages!$B14+1)), "")</f>
        <v/>
      </c>
      <c r="AI14">
        <f>IFERROR(_xlfn.STDEV.S(INDEX(neos_benchmark!AI:AI, (ROW()-2)*averages!$B14+2):INDEX(neos_benchmark!AI:AI, (ROW()-2)*averages!$B14+averages!$B14+1)), "")</f>
        <v>158280.91075542456</v>
      </c>
      <c r="AJ14">
        <f>IFERROR(_xlfn.STDEV.S(INDEX(neos_benchmark!AJ:AJ, (ROW()-2)*averages!$B14+2):INDEX(neos_benchmark!AJ:AJ, (ROW()-2)*averages!$B14+averages!$B14+1)), "")</f>
        <v>155837.61468917291</v>
      </c>
      <c r="AK14" cm="1">
        <f t="array" ref="AK14">IFERROR(_xlfn.STDEV.S(INDEX(neos_benchmark!W:W, (ROW()-2)*averages!$B14+2):INDEX(neos_benchmark!W:W, (ROW()-2)*averages!$B14+averages!$B14+1) + INDEX(neos_benchmark!AA:AA, (ROW()-2)*averages!$B14+2):INDEX(neos_benchmark!AA:AA, (ROW()-2)*averages!$B14+averages!$B14+1)), "")</f>
        <v>0</v>
      </c>
      <c r="AL14" cm="1">
        <f t="array" ref="AL14">IFERROR(_xlfn.STDEV.S((INDEX(neos_benchmark!AJ:AJ, (ROW()-2)*averages!$B14+2):INDEX(neos_benchmark!AJ:AJ, (ROW()-2)*averages!$B14+averages!$B14+1) - INDEX(neos_benchmark!AI:AI, (ROW()-2)*averages!$B14+2):INDEX(neos_benchmark!AI:AI, (ROW()-2)*averages!$B14+averages!$B14+1)) / 1000), "")</f>
        <v>7.1471369901209814</v>
      </c>
    </row>
    <row r="15" spans="1:38" x14ac:dyDescent="0.25">
      <c r="A15" t="str" cm="1">
        <f t="array" ref="A15">INDEX(neos_benchmark!A:A, (ROW()-2)*$B15+2)</f>
        <v>kinematic-car-conopt</v>
      </c>
      <c r="B15">
        <f>COUNTIF(neos_benchmark!A:A, neos_benchmark!A15)</f>
        <v>10</v>
      </c>
      <c r="C15" t="str" cm="1">
        <f t="array" ref="C15">INDEX(neos_benchmark!C:C, (ROW()-2)*$B15+2)</f>
        <v>CONOPT</v>
      </c>
      <c r="D15" t="str" cm="1">
        <f t="array" ref="D15">INDEX(neos_benchmark!D:D, (ROW()-2)*$B15+2)</f>
        <v>4.38.1</v>
      </c>
      <c r="E15" t="str" cm="1">
        <f t="array" ref="E15">INDEX(neos_benchmark!E:E, (ROW()-2)*$B15+2)</f>
        <v>solved?</v>
      </c>
      <c r="F15">
        <f>IFERROR(_xlfn.STDEV.S(INDEX(neos_benchmark!F:F, (ROW()-2)*averages!$B15+2):INDEX(neos_benchmark!F:F, (ROW()-2)*averages!$B15+averages!$B15+1)), "")</f>
        <v>0</v>
      </c>
      <c r="G15">
        <f>IFERROR(_xlfn.STDEV.S(INDEX(neos_benchmark!G:G, (ROW()-2)*averages!$B15+2):INDEX(neos_benchmark!G:G, (ROW()-2)*averages!$B15+averages!$B15+1)), "")</f>
        <v>2.3405556457178008E-16</v>
      </c>
      <c r="H15" t="str">
        <f>IFERROR(_xlfn.STDEV.S(INDEX(neos_benchmark!H:H, (ROW()-2)*averages!$B15+2):INDEX(neos_benchmark!H:H, (ROW()-2)*averages!$B15+averages!$B15+1)), "")</f>
        <v/>
      </c>
      <c r="I15" t="str">
        <f>IFERROR(_xlfn.STDEV.S(INDEX(neos_benchmark!I:I, (ROW()-2)*averages!$B15+2):INDEX(neos_benchmark!I:I, (ROW()-2)*averages!$B15+averages!$B15+1)), "")</f>
        <v/>
      </c>
      <c r="J15" t="str">
        <f>IFERROR(_xlfn.STDEV.S(INDEX(neos_benchmark!J:J, (ROW()-2)*averages!$B15+2):INDEX(neos_benchmark!J:J, (ROW()-2)*averages!$B15+averages!$B15+1)), "")</f>
        <v/>
      </c>
      <c r="K15" t="str">
        <f>IFERROR(_xlfn.STDEV.S(INDEX(neos_benchmark!K:K, (ROW()-2)*averages!$B15+2):INDEX(neos_benchmark!K:K, (ROW()-2)*averages!$B15+averages!$B15+1)), "")</f>
        <v/>
      </c>
      <c r="L15" t="str">
        <f>IFERROR(_xlfn.STDEV.S(INDEX(neos_benchmark!L:L, (ROW()-2)*averages!$B15+2):INDEX(neos_benchmark!L:L, (ROW()-2)*averages!$B15+averages!$B15+1)), "")</f>
        <v/>
      </c>
      <c r="M15" t="str">
        <f>IFERROR(_xlfn.STDEV.S(INDEX(neos_benchmark!M:M, (ROW()-2)*averages!$B15+2):INDEX(neos_benchmark!M:M, (ROW()-2)*averages!$B15+averages!$B15+1)), "")</f>
        <v/>
      </c>
      <c r="N15" t="str">
        <f>IFERROR(_xlfn.STDEV.S(INDEX(neos_benchmark!N:N, (ROW()-2)*averages!$B15+2):INDEX(neos_benchmark!N:N, (ROW()-2)*averages!$B15+averages!$B15+1)), "")</f>
        <v/>
      </c>
      <c r="O15" t="str">
        <f>IFERROR(_xlfn.STDEV.S(INDEX(neos_benchmark!O:O, (ROW()-2)*averages!$B15+2):INDEX(neos_benchmark!O:O, (ROW()-2)*averages!$B15+averages!$B15+1)), "")</f>
        <v/>
      </c>
      <c r="P15" t="str">
        <f>IFERROR(_xlfn.STDEV.S(INDEX(neos_benchmark!P:P, (ROW()-2)*averages!$B15+2):INDEX(neos_benchmark!P:P, (ROW()-2)*averages!$B15+averages!$B15+1)), "")</f>
        <v/>
      </c>
      <c r="Q15" t="str">
        <f>IFERROR(_xlfn.STDEV.S(INDEX(neos_benchmark!Q:Q, (ROW()-2)*averages!$B15+2):INDEX(neos_benchmark!Q:Q, (ROW()-2)*averages!$B15+averages!$B15+1)), "")</f>
        <v/>
      </c>
      <c r="R15" t="str">
        <f>IFERROR(_xlfn.STDEV.S(INDEX(neos_benchmark!R:R, (ROW()-2)*averages!$B15+2):INDEX(neos_benchmark!R:R, (ROW()-2)*averages!$B15+averages!$B15+1)), "")</f>
        <v/>
      </c>
      <c r="S15" t="str">
        <f>IFERROR(_xlfn.STDEV.S(INDEX(neos_benchmark!S:S, (ROW()-2)*averages!$B15+2):INDEX(neos_benchmark!S:S, (ROW()-2)*averages!$B15+averages!$B15+1)), "")</f>
        <v/>
      </c>
      <c r="T15" t="str">
        <f>IFERROR(_xlfn.STDEV.S(INDEX(neos_benchmark!T:T, (ROW()-2)*averages!$B15+2):INDEX(neos_benchmark!T:T, (ROW()-2)*averages!$B15+averages!$B15+1)), "")</f>
        <v/>
      </c>
      <c r="U15" t="str">
        <f>IFERROR(_xlfn.STDEV.S(INDEX(neos_benchmark!U:U, (ROW()-2)*averages!$B15+2):INDEX(neos_benchmark!U:U, (ROW()-2)*averages!$B15+averages!$B15+1)), "")</f>
        <v/>
      </c>
      <c r="V15" t="str">
        <f>IFERROR(_xlfn.STDEV.S(INDEX(neos_benchmark!V:V, (ROW()-2)*averages!$B15+2):INDEX(neos_benchmark!V:V, (ROW()-2)*averages!$B15+averages!$B15+1)), "")</f>
        <v/>
      </c>
      <c r="W15">
        <f>IFERROR(_xlfn.STDEV.S(INDEX(neos_benchmark!W:W, (ROW()-2)*averages!$B15+2):INDEX(neos_benchmark!W:W, (ROW()-2)*averages!$B15+averages!$B15+1)), "")</f>
        <v>1.607217035229935E-2</v>
      </c>
      <c r="X15">
        <f>IFERROR(_xlfn.STDEV.S(INDEX(neos_benchmark!X:X, (ROW()-2)*averages!$B15+2):INDEX(neos_benchmark!X:X, (ROW()-2)*averages!$B15+averages!$B15+1)), "")</f>
        <v>3.5149518552100322E-3</v>
      </c>
      <c r="Y15">
        <f>IFERROR(_xlfn.STDEV.S(INDEX(neos_benchmark!Y:Y, (ROW()-2)*averages!$B15+2):INDEX(neos_benchmark!Y:Y, (ROW()-2)*averages!$B15+averages!$B15+1)), "")</f>
        <v>1.4544048634330722E-2</v>
      </c>
      <c r="Z15">
        <f>IFERROR(_xlfn.STDEV.S(INDEX(neos_benchmark!Z:Z, (ROW()-2)*averages!$B15+2):INDEX(neos_benchmark!Z:Z, (ROW()-2)*averages!$B15+averages!$B15+1)), "")</f>
        <v>1.6553492292161995E-2</v>
      </c>
      <c r="AA15">
        <f>IFERROR(_xlfn.STDEV.S(INDEX(neos_benchmark!AA:AA, (ROW()-2)*averages!$B15+2):INDEX(neos_benchmark!AA:AA, (ROW()-2)*averages!$B15+averages!$B15+1)), "")</f>
        <v>2.3470347251372318E-2</v>
      </c>
      <c r="AB15">
        <f>IFERROR(_xlfn.STDEV.S(INDEX(neos_benchmark!AB:AB, (ROW()-2)*averages!$B15+2):INDEX(neos_benchmark!AB:AB, (ROW()-2)*averages!$B15+averages!$B15+1)), "")</f>
        <v>2.2845255281762314E-3</v>
      </c>
      <c r="AC15">
        <f>IFERROR(_xlfn.STDEV.S(INDEX(neos_benchmark!AC:AC, (ROW()-2)*averages!$B15+2):INDEX(neos_benchmark!AC:AC, (ROW()-2)*averages!$B15+averages!$B15+1)), "")</f>
        <v>2.247626315842265E-2</v>
      </c>
      <c r="AD15">
        <f>IFERROR(_xlfn.STDEV.S(INDEX(neos_benchmark!AD:AD, (ROW()-2)*averages!$B15+2):INDEX(neos_benchmark!AD:AD, (ROW()-2)*averages!$B15+averages!$B15+1)), "")</f>
        <v>2.334157553022791E-2</v>
      </c>
      <c r="AE15">
        <f>IFERROR(_xlfn.STDEV.S(INDEX(neos_benchmark!AE:AE, (ROW()-2)*averages!$B15+2):INDEX(neos_benchmark!AE:AE, (ROW()-2)*averages!$B15+averages!$B15+1)), "")</f>
        <v>0</v>
      </c>
      <c r="AF15">
        <f>IFERROR(_xlfn.STDEV.S(INDEX(neos_benchmark!AF:AF, (ROW()-2)*averages!$B15+2):INDEX(neos_benchmark!AF:AF, (ROW()-2)*averages!$B15+averages!$B15+1)), "")</f>
        <v>0</v>
      </c>
      <c r="AG15">
        <f>IFERROR(_xlfn.STDEV.S(INDEX(neos_benchmark!AG:AG, (ROW()-2)*averages!$B15+2):INDEX(neos_benchmark!AG:AG, (ROW()-2)*averages!$B15+averages!$B15+1)), "")</f>
        <v>0</v>
      </c>
      <c r="AH15">
        <f>IFERROR(_xlfn.STDEV.S(INDEX(neos_benchmark!AH:AH, (ROW()-2)*averages!$B15+2):INDEX(neos_benchmark!AH:AH, (ROW()-2)*averages!$B15+averages!$B15+1)), "")</f>
        <v>0</v>
      </c>
      <c r="AI15">
        <f>IFERROR(_xlfn.STDEV.S(INDEX(neos_benchmark!AI:AI, (ROW()-2)*averages!$B15+2):INDEX(neos_benchmark!AI:AI, (ROW()-2)*averages!$B15+averages!$B15+1)), "")</f>
        <v>398638.24616762507</v>
      </c>
      <c r="AJ15">
        <f>IFERROR(_xlfn.STDEV.S(INDEX(neos_benchmark!AJ:AJ, (ROW()-2)*averages!$B15+2):INDEX(neos_benchmark!AJ:AJ, (ROW()-2)*averages!$B15+averages!$B15+1)), "")</f>
        <v>406520.13566333131</v>
      </c>
      <c r="AK15" cm="1">
        <f t="array" ref="AK15">IFERROR(_xlfn.STDEV.S(INDEX(neos_benchmark!W:W, (ROW()-2)*averages!$B15+2):INDEX(neos_benchmark!W:W, (ROW()-2)*averages!$B15+averages!$B15+1) + INDEX(neos_benchmark!AA:AA, (ROW()-2)*averages!$B15+2):INDEX(neos_benchmark!AA:AA, (ROW()-2)*averages!$B15+averages!$B15+1)), "")</f>
        <v>3.8757378457957306E-2</v>
      </c>
      <c r="AL15" cm="1">
        <f t="array" ref="AL15">IFERROR(_xlfn.STDEV.S((INDEX(neos_benchmark!AJ:AJ, (ROW()-2)*averages!$B15+2):INDEX(neos_benchmark!AJ:AJ, (ROW()-2)*averages!$B15+averages!$B15+1) - INDEX(neos_benchmark!AI:AI, (ROW()-2)*averages!$B15+2):INDEX(neos_benchmark!AI:AI, (ROW()-2)*averages!$B15+averages!$B15+1)) / 1000), "")</f>
        <v>10.958359500095485</v>
      </c>
    </row>
    <row r="16" spans="1:38" x14ac:dyDescent="0.25">
      <c r="A16" t="str" cm="1">
        <f t="array" ref="A16">INDEX(neos_benchmark!A:A, (ROW()-2)*$B16+2)</f>
        <v>kinematic-car-filter</v>
      </c>
      <c r="B16">
        <f>COUNTIF(neos_benchmark!A:A, neos_benchmark!A16)</f>
        <v>10</v>
      </c>
      <c r="C16" t="str" cm="1">
        <f t="array" ref="C16">INDEX(neos_benchmark!C:C, (ROW()-2)*$B16+2)</f>
        <v>filterSQP</v>
      </c>
      <c r="D16" t="str" cm="1">
        <f t="array" ref="D16">INDEX(neos_benchmark!D:D, (ROW()-2)*$B16+2)</f>
        <v>20020316</v>
      </c>
      <c r="E16" t="str" cm="1">
        <f t="array" ref="E16">INDEX(neos_benchmark!E:E, (ROW()-2)*$B16+2)</f>
        <v>infeasible</v>
      </c>
      <c r="F16">
        <f>IFERROR(_xlfn.STDEV.S(INDEX(neos_benchmark!F:F, (ROW()-2)*averages!$B16+2):INDEX(neos_benchmark!F:F, (ROW()-2)*averages!$B16+averages!$B16+1)), "")</f>
        <v>0</v>
      </c>
      <c r="G16">
        <f>IFERROR(_xlfn.STDEV.S(INDEX(neos_benchmark!G:G, (ROW()-2)*averages!$B16+2):INDEX(neos_benchmark!G:G, (ROW()-2)*averages!$B16+averages!$B16+1)), "")</f>
        <v>0</v>
      </c>
      <c r="H16" t="str">
        <f>IFERROR(_xlfn.STDEV.S(INDEX(neos_benchmark!H:H, (ROW()-2)*averages!$B16+2):INDEX(neos_benchmark!H:H, (ROW()-2)*averages!$B16+averages!$B16+1)), "")</f>
        <v/>
      </c>
      <c r="I16" t="str">
        <f>IFERROR(_xlfn.STDEV.S(INDEX(neos_benchmark!I:I, (ROW()-2)*averages!$B16+2):INDEX(neos_benchmark!I:I, (ROW()-2)*averages!$B16+averages!$B16+1)), "")</f>
        <v/>
      </c>
      <c r="J16" t="str">
        <f>IFERROR(_xlfn.STDEV.S(INDEX(neos_benchmark!J:J, (ROW()-2)*averages!$B16+2):INDEX(neos_benchmark!J:J, (ROW()-2)*averages!$B16+averages!$B16+1)), "")</f>
        <v/>
      </c>
      <c r="K16" t="str">
        <f>IFERROR(_xlfn.STDEV.S(INDEX(neos_benchmark!K:K, (ROW()-2)*averages!$B16+2):INDEX(neos_benchmark!K:K, (ROW()-2)*averages!$B16+averages!$B16+1)), "")</f>
        <v/>
      </c>
      <c r="L16" t="str">
        <f>IFERROR(_xlfn.STDEV.S(INDEX(neos_benchmark!L:L, (ROW()-2)*averages!$B16+2):INDEX(neos_benchmark!L:L, (ROW()-2)*averages!$B16+averages!$B16+1)), "")</f>
        <v/>
      </c>
      <c r="M16" t="str">
        <f>IFERROR(_xlfn.STDEV.S(INDEX(neos_benchmark!M:M, (ROW()-2)*averages!$B16+2):INDEX(neos_benchmark!M:M, (ROW()-2)*averages!$B16+averages!$B16+1)), "")</f>
        <v/>
      </c>
      <c r="N16" t="str">
        <f>IFERROR(_xlfn.STDEV.S(INDEX(neos_benchmark!N:N, (ROW()-2)*averages!$B16+2):INDEX(neos_benchmark!N:N, (ROW()-2)*averages!$B16+averages!$B16+1)), "")</f>
        <v/>
      </c>
      <c r="O16" t="str">
        <f>IFERROR(_xlfn.STDEV.S(INDEX(neos_benchmark!O:O, (ROW()-2)*averages!$B16+2):INDEX(neos_benchmark!O:O, (ROW()-2)*averages!$B16+averages!$B16+1)), "")</f>
        <v/>
      </c>
      <c r="P16" t="str">
        <f>IFERROR(_xlfn.STDEV.S(INDEX(neos_benchmark!P:P, (ROW()-2)*averages!$B16+2):INDEX(neos_benchmark!P:P, (ROW()-2)*averages!$B16+averages!$B16+1)), "")</f>
        <v/>
      </c>
      <c r="Q16" t="str">
        <f>IFERROR(_xlfn.STDEV.S(INDEX(neos_benchmark!Q:Q, (ROW()-2)*averages!$B16+2):INDEX(neos_benchmark!Q:Q, (ROW()-2)*averages!$B16+averages!$B16+1)), "")</f>
        <v/>
      </c>
      <c r="R16" t="str">
        <f>IFERROR(_xlfn.STDEV.S(INDEX(neos_benchmark!R:R, (ROW()-2)*averages!$B16+2):INDEX(neos_benchmark!R:R, (ROW()-2)*averages!$B16+averages!$B16+1)), "")</f>
        <v/>
      </c>
      <c r="S16" t="str">
        <f>IFERROR(_xlfn.STDEV.S(INDEX(neos_benchmark!S:S, (ROW()-2)*averages!$B16+2):INDEX(neos_benchmark!S:S, (ROW()-2)*averages!$B16+averages!$B16+1)), "")</f>
        <v/>
      </c>
      <c r="T16" t="str">
        <f>IFERROR(_xlfn.STDEV.S(INDEX(neos_benchmark!T:T, (ROW()-2)*averages!$B16+2):INDEX(neos_benchmark!T:T, (ROW()-2)*averages!$B16+averages!$B16+1)), "")</f>
        <v/>
      </c>
      <c r="U16" t="str">
        <f>IFERROR(_xlfn.STDEV.S(INDEX(neos_benchmark!U:U, (ROW()-2)*averages!$B16+2):INDEX(neos_benchmark!U:U, (ROW()-2)*averages!$B16+averages!$B16+1)), "")</f>
        <v/>
      </c>
      <c r="V16" t="str">
        <f>IFERROR(_xlfn.STDEV.S(INDEX(neos_benchmark!V:V, (ROW()-2)*averages!$B16+2):INDEX(neos_benchmark!V:V, (ROW()-2)*averages!$B16+averages!$B16+1)), "")</f>
        <v/>
      </c>
      <c r="W16">
        <f>IFERROR(_xlfn.STDEV.S(INDEX(neos_benchmark!W:W, (ROW()-2)*averages!$B16+2):INDEX(neos_benchmark!W:W, (ROW()-2)*averages!$B16+averages!$B16+1)), "")</f>
        <v>1.7769016636644062E-2</v>
      </c>
      <c r="X16">
        <f>IFERROR(_xlfn.STDEV.S(INDEX(neos_benchmark!X:X, (ROW()-2)*averages!$B16+2):INDEX(neos_benchmark!X:X, (ROW()-2)*averages!$B16+averages!$B16+1)), "")</f>
        <v>4.1927569410432873E-3</v>
      </c>
      <c r="Y16">
        <f>IFERROR(_xlfn.STDEV.S(INDEX(neos_benchmark!Y:Y, (ROW()-2)*averages!$B16+2):INDEX(neos_benchmark!Y:Y, (ROW()-2)*averages!$B16+averages!$B16+1)), "")</f>
        <v>1.604810442250286E-2</v>
      </c>
      <c r="Z16">
        <f>IFERROR(_xlfn.STDEV.S(INDEX(neos_benchmark!Z:Z, (ROW()-2)*averages!$B16+2):INDEX(neos_benchmark!Z:Z, (ROW()-2)*averages!$B16+averages!$B16+1)), "")</f>
        <v>1.8589033944476158E-2</v>
      </c>
      <c r="AA16">
        <f>IFERROR(_xlfn.STDEV.S(INDEX(neos_benchmark!AA:AA, (ROW()-2)*averages!$B16+2):INDEX(neos_benchmark!AA:AA, (ROW()-2)*averages!$B16+averages!$B16+1)), "")</f>
        <v>4.2100665460562898E-3</v>
      </c>
      <c r="AB16">
        <f>IFERROR(_xlfn.STDEV.S(INDEX(neos_benchmark!AB:AB, (ROW()-2)*averages!$B16+2):INDEX(neos_benchmark!AB:AB, (ROW()-2)*averages!$B16+averages!$B16+1)), "")</f>
        <v>1.4418743819533428E-3</v>
      </c>
      <c r="AC16">
        <f>IFERROR(_xlfn.STDEV.S(INDEX(neos_benchmark!AC:AC, (ROW()-2)*averages!$B16+2):INDEX(neos_benchmark!AC:AC, (ROW()-2)*averages!$B16+averages!$B16+1)), "")</f>
        <v>1.4642736386648804E-3</v>
      </c>
      <c r="AD16">
        <f>IFERROR(_xlfn.STDEV.S(INDEX(neos_benchmark!AD:AD, (ROW()-2)*averages!$B16+2):INDEX(neos_benchmark!AD:AD, (ROW()-2)*averages!$B16+averages!$B16+1)), "")</f>
        <v>2.662588339692538E-3</v>
      </c>
      <c r="AE16">
        <f>IFERROR(_xlfn.STDEV.S(INDEX(neos_benchmark!AE:AE, (ROW()-2)*averages!$B16+2):INDEX(neos_benchmark!AE:AE, (ROW()-2)*averages!$B16+averages!$B16+1)), "")</f>
        <v>0</v>
      </c>
      <c r="AF16">
        <f>IFERROR(_xlfn.STDEV.S(INDEX(neos_benchmark!AF:AF, (ROW()-2)*averages!$B16+2):INDEX(neos_benchmark!AF:AF, (ROW()-2)*averages!$B16+averages!$B16+1)), "")</f>
        <v>0</v>
      </c>
      <c r="AG16">
        <f>IFERROR(_xlfn.STDEV.S(INDEX(neos_benchmark!AG:AG, (ROW()-2)*averages!$B16+2):INDEX(neos_benchmark!AG:AG, (ROW()-2)*averages!$B16+averages!$B16+1)), "")</f>
        <v>0</v>
      </c>
      <c r="AH16">
        <f>IFERROR(_xlfn.STDEV.S(INDEX(neos_benchmark!AH:AH, (ROW()-2)*averages!$B16+2):INDEX(neos_benchmark!AH:AH, (ROW()-2)*averages!$B16+averages!$B16+1)), "")</f>
        <v>0</v>
      </c>
      <c r="AI16">
        <f>IFERROR(_xlfn.STDEV.S(INDEX(neos_benchmark!AI:AI, (ROW()-2)*averages!$B16+2):INDEX(neos_benchmark!AI:AI, (ROW()-2)*averages!$B16+averages!$B16+1)), "")</f>
        <v>221620.99962225303</v>
      </c>
      <c r="AJ16">
        <f>IFERROR(_xlfn.STDEV.S(INDEX(neos_benchmark!AJ:AJ, (ROW()-2)*averages!$B16+2):INDEX(neos_benchmark!AJ:AJ, (ROW()-2)*averages!$B16+averages!$B16+1)), "")</f>
        <v>220252.73841962658</v>
      </c>
      <c r="AK16" cm="1">
        <f t="array" ref="AK16">IFERROR(_xlfn.STDEV.S(INDEX(neos_benchmark!W:W, (ROW()-2)*averages!$B16+2):INDEX(neos_benchmark!W:W, (ROW()-2)*averages!$B16+averages!$B16+1) + INDEX(neos_benchmark!AA:AA, (ROW()-2)*averages!$B16+2):INDEX(neos_benchmark!AA:AA, (ROW()-2)*averages!$B16+averages!$B16+1)), "")</f>
        <v>2.1557362860774702E-2</v>
      </c>
      <c r="AL16" cm="1">
        <f t="array" ref="AL16">IFERROR(_xlfn.STDEV.S((INDEX(neos_benchmark!AJ:AJ, (ROW()-2)*averages!$B16+2):INDEX(neos_benchmark!AJ:AJ, (ROW()-2)*averages!$B16+averages!$B16+1) - INDEX(neos_benchmark!AI:AI, (ROW()-2)*averages!$B16+2):INDEX(neos_benchmark!AI:AI, (ROW()-2)*averages!$B16+averages!$B16+1)) / 1000), "")</f>
        <v>2.2273729518575638</v>
      </c>
    </row>
    <row r="17" spans="1:38" x14ac:dyDescent="0.25">
      <c r="A17" t="str" cm="1">
        <f t="array" ref="A17">INDEX(neos_benchmark!A:A, (ROW()-2)*$B17+2)</f>
        <v>kinematic-car-gurobi</v>
      </c>
      <c r="B17">
        <f>COUNTIF(neos_benchmark!A:A, neos_benchmark!A17)</f>
        <v>10</v>
      </c>
      <c r="C17" t="str" cm="1">
        <f t="array" ref="C17">INDEX(neos_benchmark!C:C, (ROW()-2)*$B17+2)</f>
        <v/>
      </c>
      <c r="D17" t="str" cm="1">
        <f t="array" ref="D17">INDEX(neos_benchmark!D:D, (ROW()-2)*$B17+2)</f>
        <v/>
      </c>
      <c r="E17" t="str" cm="1">
        <f t="array" ref="E17">INDEX(neos_benchmark!E:E, (ROW()-2)*$B17+2)</f>
        <v>XML-RPC rejected</v>
      </c>
      <c r="F17" t="str">
        <f>IFERROR(_xlfn.STDEV.S(INDEX(neos_benchmark!F:F, (ROW()-2)*averages!$B17+2):INDEX(neos_benchmark!F:F, (ROW()-2)*averages!$B17+averages!$B17+1)), "")</f>
        <v/>
      </c>
      <c r="G17" t="str">
        <f>IFERROR(_xlfn.STDEV.S(INDEX(neos_benchmark!G:G, (ROW()-2)*averages!$B17+2):INDEX(neos_benchmark!G:G, (ROW()-2)*averages!$B17+averages!$B17+1)), "")</f>
        <v/>
      </c>
      <c r="H17" t="str">
        <f>IFERROR(_xlfn.STDEV.S(INDEX(neos_benchmark!H:H, (ROW()-2)*averages!$B17+2):INDEX(neos_benchmark!H:H, (ROW()-2)*averages!$B17+averages!$B17+1)), "")</f>
        <v/>
      </c>
      <c r="I17" t="str">
        <f>IFERROR(_xlfn.STDEV.S(INDEX(neos_benchmark!I:I, (ROW()-2)*averages!$B17+2):INDEX(neos_benchmark!I:I, (ROW()-2)*averages!$B17+averages!$B17+1)), "")</f>
        <v/>
      </c>
      <c r="J17" t="str">
        <f>IFERROR(_xlfn.STDEV.S(INDEX(neos_benchmark!J:J, (ROW()-2)*averages!$B17+2):INDEX(neos_benchmark!J:J, (ROW()-2)*averages!$B17+averages!$B17+1)), "")</f>
        <v/>
      </c>
      <c r="K17" t="str">
        <f>IFERROR(_xlfn.STDEV.S(INDEX(neos_benchmark!K:K, (ROW()-2)*averages!$B17+2):INDEX(neos_benchmark!K:K, (ROW()-2)*averages!$B17+averages!$B17+1)), "")</f>
        <v/>
      </c>
      <c r="L17" t="str">
        <f>IFERROR(_xlfn.STDEV.S(INDEX(neos_benchmark!L:L, (ROW()-2)*averages!$B17+2):INDEX(neos_benchmark!L:L, (ROW()-2)*averages!$B17+averages!$B17+1)), "")</f>
        <v/>
      </c>
      <c r="M17" t="str">
        <f>IFERROR(_xlfn.STDEV.S(INDEX(neos_benchmark!M:M, (ROW()-2)*averages!$B17+2):INDEX(neos_benchmark!M:M, (ROW()-2)*averages!$B17+averages!$B17+1)), "")</f>
        <v/>
      </c>
      <c r="N17" t="str">
        <f>IFERROR(_xlfn.STDEV.S(INDEX(neos_benchmark!N:N, (ROW()-2)*averages!$B17+2):INDEX(neos_benchmark!N:N, (ROW()-2)*averages!$B17+averages!$B17+1)), "")</f>
        <v/>
      </c>
      <c r="O17" t="str">
        <f>IFERROR(_xlfn.STDEV.S(INDEX(neos_benchmark!O:O, (ROW()-2)*averages!$B17+2):INDEX(neos_benchmark!O:O, (ROW()-2)*averages!$B17+averages!$B17+1)), "")</f>
        <v/>
      </c>
      <c r="P17" t="str">
        <f>IFERROR(_xlfn.STDEV.S(INDEX(neos_benchmark!P:P, (ROW()-2)*averages!$B17+2):INDEX(neos_benchmark!P:P, (ROW()-2)*averages!$B17+averages!$B17+1)), "")</f>
        <v/>
      </c>
      <c r="Q17" t="str">
        <f>IFERROR(_xlfn.STDEV.S(INDEX(neos_benchmark!Q:Q, (ROW()-2)*averages!$B17+2):INDEX(neos_benchmark!Q:Q, (ROW()-2)*averages!$B17+averages!$B17+1)), "")</f>
        <v/>
      </c>
      <c r="R17" t="str">
        <f>IFERROR(_xlfn.STDEV.S(INDEX(neos_benchmark!R:R, (ROW()-2)*averages!$B17+2):INDEX(neos_benchmark!R:R, (ROW()-2)*averages!$B17+averages!$B17+1)), "")</f>
        <v/>
      </c>
      <c r="S17" t="str">
        <f>IFERROR(_xlfn.STDEV.S(INDEX(neos_benchmark!S:S, (ROW()-2)*averages!$B17+2):INDEX(neos_benchmark!S:S, (ROW()-2)*averages!$B17+averages!$B17+1)), "")</f>
        <v/>
      </c>
      <c r="T17" t="str">
        <f>IFERROR(_xlfn.STDEV.S(INDEX(neos_benchmark!T:T, (ROW()-2)*averages!$B17+2):INDEX(neos_benchmark!T:T, (ROW()-2)*averages!$B17+averages!$B17+1)), "")</f>
        <v/>
      </c>
      <c r="U17" t="str">
        <f>IFERROR(_xlfn.STDEV.S(INDEX(neos_benchmark!U:U, (ROW()-2)*averages!$B17+2):INDEX(neos_benchmark!U:U, (ROW()-2)*averages!$B17+averages!$B17+1)), "")</f>
        <v/>
      </c>
      <c r="V17" t="str">
        <f>IFERROR(_xlfn.STDEV.S(INDEX(neos_benchmark!V:V, (ROW()-2)*averages!$B17+2):INDEX(neos_benchmark!V:V, (ROW()-2)*averages!$B17+averages!$B17+1)), "")</f>
        <v/>
      </c>
      <c r="W17" t="str">
        <f>IFERROR(_xlfn.STDEV.S(INDEX(neos_benchmark!W:W, (ROW()-2)*averages!$B17+2):INDEX(neos_benchmark!W:W, (ROW()-2)*averages!$B17+averages!$B17+1)), "")</f>
        <v/>
      </c>
      <c r="X17" t="str">
        <f>IFERROR(_xlfn.STDEV.S(INDEX(neos_benchmark!X:X, (ROW()-2)*averages!$B17+2):INDEX(neos_benchmark!X:X, (ROW()-2)*averages!$B17+averages!$B17+1)), "")</f>
        <v/>
      </c>
      <c r="Y17" t="str">
        <f>IFERROR(_xlfn.STDEV.S(INDEX(neos_benchmark!Y:Y, (ROW()-2)*averages!$B17+2):INDEX(neos_benchmark!Y:Y, (ROW()-2)*averages!$B17+averages!$B17+1)), "")</f>
        <v/>
      </c>
      <c r="Z17" t="str">
        <f>IFERROR(_xlfn.STDEV.S(INDEX(neos_benchmark!Z:Z, (ROW()-2)*averages!$B17+2):INDEX(neos_benchmark!Z:Z, (ROW()-2)*averages!$B17+averages!$B17+1)), "")</f>
        <v/>
      </c>
      <c r="AA17" t="str">
        <f>IFERROR(_xlfn.STDEV.S(INDEX(neos_benchmark!AA:AA, (ROW()-2)*averages!$B17+2):INDEX(neos_benchmark!AA:AA, (ROW()-2)*averages!$B17+averages!$B17+1)), "")</f>
        <v/>
      </c>
      <c r="AB17" t="str">
        <f>IFERROR(_xlfn.STDEV.S(INDEX(neos_benchmark!AB:AB, (ROW()-2)*averages!$B17+2):INDEX(neos_benchmark!AB:AB, (ROW()-2)*averages!$B17+averages!$B17+1)), "")</f>
        <v/>
      </c>
      <c r="AC17" t="str">
        <f>IFERROR(_xlfn.STDEV.S(INDEX(neos_benchmark!AC:AC, (ROW()-2)*averages!$B17+2):INDEX(neos_benchmark!AC:AC, (ROW()-2)*averages!$B17+averages!$B17+1)), "")</f>
        <v/>
      </c>
      <c r="AD17" t="str">
        <f>IFERROR(_xlfn.STDEV.S(INDEX(neos_benchmark!AD:AD, (ROW()-2)*averages!$B17+2):INDEX(neos_benchmark!AD:AD, (ROW()-2)*averages!$B17+averages!$B17+1)), "")</f>
        <v/>
      </c>
      <c r="AE17" t="str">
        <f>IFERROR(_xlfn.STDEV.S(INDEX(neos_benchmark!AE:AE, (ROW()-2)*averages!$B17+2):INDEX(neos_benchmark!AE:AE, (ROW()-2)*averages!$B17+averages!$B17+1)), "")</f>
        <v/>
      </c>
      <c r="AF17" t="str">
        <f>IFERROR(_xlfn.STDEV.S(INDEX(neos_benchmark!AF:AF, (ROW()-2)*averages!$B17+2):INDEX(neos_benchmark!AF:AF, (ROW()-2)*averages!$B17+averages!$B17+1)), "")</f>
        <v/>
      </c>
      <c r="AG17" t="str">
        <f>IFERROR(_xlfn.STDEV.S(INDEX(neos_benchmark!AG:AG, (ROW()-2)*averages!$B17+2):INDEX(neos_benchmark!AG:AG, (ROW()-2)*averages!$B17+averages!$B17+1)), "")</f>
        <v/>
      </c>
      <c r="AH17" t="str">
        <f>IFERROR(_xlfn.STDEV.S(INDEX(neos_benchmark!AH:AH, (ROW()-2)*averages!$B17+2):INDEX(neos_benchmark!AH:AH, (ROW()-2)*averages!$B17+averages!$B17+1)), "")</f>
        <v/>
      </c>
      <c r="AI17">
        <f>IFERROR(_xlfn.STDEV.S(INDEX(neos_benchmark!AI:AI, (ROW()-2)*averages!$B17+2):INDEX(neos_benchmark!AI:AI, (ROW()-2)*averages!$B17+averages!$B17+1)), "")</f>
        <v>328387.72418017295</v>
      </c>
      <c r="AJ17">
        <f>IFERROR(_xlfn.STDEV.S(INDEX(neos_benchmark!AJ:AJ, (ROW()-2)*averages!$B17+2):INDEX(neos_benchmark!AJ:AJ, (ROW()-2)*averages!$B17+averages!$B17+1)), "")</f>
        <v>344320.93730234687</v>
      </c>
      <c r="AK17" cm="1">
        <f t="array" ref="AK17">IFERROR(_xlfn.STDEV.S(INDEX(neos_benchmark!W:W, (ROW()-2)*averages!$B17+2):INDEX(neos_benchmark!W:W, (ROW()-2)*averages!$B17+averages!$B17+1) + INDEX(neos_benchmark!AA:AA, (ROW()-2)*averages!$B17+2):INDEX(neos_benchmark!AA:AA, (ROW()-2)*averages!$B17+averages!$B17+1)), "")</f>
        <v>0</v>
      </c>
      <c r="AL17" cm="1">
        <f t="array" ref="AL17">IFERROR(_xlfn.STDEV.S((INDEX(neos_benchmark!AJ:AJ, (ROW()-2)*averages!$B17+2):INDEX(neos_benchmark!AJ:AJ, (ROW()-2)*averages!$B17+averages!$B17+1) - INDEX(neos_benchmark!AI:AI, (ROW()-2)*averages!$B17+2):INDEX(neos_benchmark!AI:AI, (ROW()-2)*averages!$B17+averages!$B17+1)) / 1000), "")</f>
        <v>42.074957733391329</v>
      </c>
    </row>
    <row r="18" spans="1:38" x14ac:dyDescent="0.25">
      <c r="A18" t="str" cm="1">
        <f t="array" ref="A18">INDEX(neos_benchmark!A:A, (ROW()-2)*$B18+2)</f>
        <v>kinematic-car-ipopt</v>
      </c>
      <c r="B18">
        <f>COUNTIF(neos_benchmark!A:A, neos_benchmark!A18)</f>
        <v>10</v>
      </c>
      <c r="C18" t="str" cm="1">
        <f t="array" ref="C18">INDEX(neos_benchmark!C:C, (ROW()-2)*$B18+2)</f>
        <v>Ipopt</v>
      </c>
      <c r="D18" t="str" cm="1">
        <f t="array" ref="D18">INDEX(neos_benchmark!D:D, (ROW()-2)*$B18+2)</f>
        <v>3.14.12</v>
      </c>
      <c r="E18" t="str" cm="1">
        <f t="array" ref="E18">INDEX(neos_benchmark!E:E, (ROW()-2)*$B18+2)</f>
        <v>solved</v>
      </c>
      <c r="F18">
        <f>IFERROR(_xlfn.STDEV.S(INDEX(neos_benchmark!F:F, (ROW()-2)*averages!$B18+2):INDEX(neos_benchmark!F:F, (ROW()-2)*averages!$B18+averages!$B18+1)), "")</f>
        <v>0</v>
      </c>
      <c r="G18">
        <f>IFERROR(_xlfn.STDEV.S(INDEX(neos_benchmark!G:G, (ROW()-2)*averages!$B18+2):INDEX(neos_benchmark!G:G, (ROW()-2)*averages!$B18+averages!$B18+1)), "")</f>
        <v>2.3405556457178008E-16</v>
      </c>
      <c r="H18" t="str">
        <f>IFERROR(_xlfn.STDEV.S(INDEX(neos_benchmark!H:H, (ROW()-2)*averages!$B18+2):INDEX(neos_benchmark!H:H, (ROW()-2)*averages!$B18+averages!$B18+1)), "")</f>
        <v/>
      </c>
      <c r="I18">
        <f>IFERROR(_xlfn.STDEV.S(INDEX(neos_benchmark!I:I, (ROW()-2)*averages!$B18+2):INDEX(neos_benchmark!I:I, (ROW()-2)*averages!$B18+averages!$B18+1)), "")</f>
        <v>0</v>
      </c>
      <c r="J18">
        <f>IFERROR(_xlfn.STDEV.S(INDEX(neos_benchmark!J:J, (ROW()-2)*averages!$B18+2):INDEX(neos_benchmark!J:J, (ROW()-2)*averages!$B18+averages!$B18+1)), "")</f>
        <v>0</v>
      </c>
      <c r="K18">
        <f>IFERROR(_xlfn.STDEV.S(INDEX(neos_benchmark!K:K, (ROW()-2)*averages!$B18+2):INDEX(neos_benchmark!K:K, (ROW()-2)*averages!$B18+averages!$B18+1)), "")</f>
        <v>0</v>
      </c>
      <c r="L18">
        <f>IFERROR(_xlfn.STDEV.S(INDEX(neos_benchmark!L:L, (ROW()-2)*averages!$B18+2):INDEX(neos_benchmark!L:L, (ROW()-2)*averages!$B18+averages!$B18+1)), "")</f>
        <v>0</v>
      </c>
      <c r="M18">
        <f>IFERROR(_xlfn.STDEV.S(INDEX(neos_benchmark!M:M, (ROW()-2)*averages!$B18+2):INDEX(neos_benchmark!M:M, (ROW()-2)*averages!$B18+averages!$B18+1)), "")</f>
        <v>0</v>
      </c>
      <c r="N18">
        <f>IFERROR(_xlfn.STDEV.S(INDEX(neos_benchmark!N:N, (ROW()-2)*averages!$B18+2):INDEX(neos_benchmark!N:N, (ROW()-2)*averages!$B18+averages!$B18+1)), "")</f>
        <v>0</v>
      </c>
      <c r="O18">
        <f>IFERROR(_xlfn.STDEV.S(INDEX(neos_benchmark!O:O, (ROW()-2)*averages!$B18+2):INDEX(neos_benchmark!O:O, (ROW()-2)*averages!$B18+averages!$B18+1)), "")</f>
        <v>0</v>
      </c>
      <c r="P18">
        <f>IFERROR(_xlfn.STDEV.S(INDEX(neos_benchmark!P:P, (ROW()-2)*averages!$B18+2):INDEX(neos_benchmark!P:P, (ROW()-2)*averages!$B18+averages!$B18+1)), "")</f>
        <v>0</v>
      </c>
      <c r="Q18">
        <f>IFERROR(_xlfn.STDEV.S(INDEX(neos_benchmark!Q:Q, (ROW()-2)*averages!$B18+2):INDEX(neos_benchmark!Q:Q, (ROW()-2)*averages!$B18+averages!$B18+1)), "")</f>
        <v>0</v>
      </c>
      <c r="R18">
        <f>IFERROR(_xlfn.STDEV.S(INDEX(neos_benchmark!R:R, (ROW()-2)*averages!$B18+2):INDEX(neos_benchmark!R:R, (ROW()-2)*averages!$B18+averages!$B18+1)), "")</f>
        <v>0.13671397555155482</v>
      </c>
      <c r="S18">
        <f>IFERROR(_xlfn.STDEV.S(INDEX(neos_benchmark!S:S, (ROW()-2)*averages!$B18+2):INDEX(neos_benchmark!S:S, (ROW()-2)*averages!$B18+averages!$B18+1)), "")</f>
        <v>1.3224556283251579E-2</v>
      </c>
      <c r="T18">
        <f>IFERROR(_xlfn.STDEV.S(INDEX(neos_benchmark!T:T, (ROW()-2)*averages!$B18+2):INDEX(neos_benchmark!T:T, (ROW()-2)*averages!$B18+averages!$B18+1)), "")</f>
        <v>0</v>
      </c>
      <c r="U18">
        <f>IFERROR(_xlfn.STDEV.S(INDEX(neos_benchmark!U:U, (ROW()-2)*averages!$B18+2):INDEX(neos_benchmark!U:U, (ROW()-2)*averages!$B18+averages!$B18+1)), "")</f>
        <v>0</v>
      </c>
      <c r="V18">
        <f>IFERROR(_xlfn.STDEV.S(INDEX(neos_benchmark!V:V, (ROW()-2)*averages!$B18+2):INDEX(neos_benchmark!V:V, (ROW()-2)*averages!$B18+averages!$B18+1)), "")</f>
        <v>0</v>
      </c>
      <c r="W18">
        <f>IFERROR(_xlfn.STDEV.S(INDEX(neos_benchmark!W:W, (ROW()-2)*averages!$B18+2):INDEX(neos_benchmark!W:W, (ROW()-2)*averages!$B18+averages!$B18+1)), "")</f>
        <v>1.957304132275358E-2</v>
      </c>
      <c r="X18">
        <f>IFERROR(_xlfn.STDEV.S(INDEX(neos_benchmark!X:X, (ROW()-2)*averages!$B18+2):INDEX(neos_benchmark!X:X, (ROW()-2)*averages!$B18+averages!$B18+1)), "")</f>
        <v>5.2420691461801021E-3</v>
      </c>
      <c r="Y18">
        <f>IFERROR(_xlfn.STDEV.S(INDEX(neos_benchmark!Y:Y, (ROW()-2)*averages!$B18+2):INDEX(neos_benchmark!Y:Y, (ROW()-2)*averages!$B18+averages!$B18+1)), "")</f>
        <v>1.7621875614638096E-2</v>
      </c>
      <c r="Z18">
        <f>IFERROR(_xlfn.STDEV.S(INDEX(neos_benchmark!Z:Z, (ROW()-2)*averages!$B18+2):INDEX(neos_benchmark!Z:Z, (ROW()-2)*averages!$B18+averages!$B18+1)), "")</f>
        <v>2.0265500460963943E-2</v>
      </c>
      <c r="AA18">
        <f>IFERROR(_xlfn.STDEV.S(INDEX(neos_benchmark!AA:AA, (ROW()-2)*averages!$B18+2):INDEX(neos_benchmark!AA:AA, (ROW()-2)*averages!$B18+averages!$B18+1)), "")</f>
        <v>0.15111569108574466</v>
      </c>
      <c r="AB18">
        <f>IFERROR(_xlfn.STDEV.S(INDEX(neos_benchmark!AB:AB, (ROW()-2)*averages!$B18+2):INDEX(neos_benchmark!AB:AB, (ROW()-2)*averages!$B18+averages!$B18+1)), "")</f>
        <v>5.8093056967057346E-3</v>
      </c>
      <c r="AC18">
        <f>IFERROR(_xlfn.STDEV.S(INDEX(neos_benchmark!AC:AC, (ROW()-2)*averages!$B18+2):INDEX(neos_benchmark!AC:AC, (ROW()-2)*averages!$B18+averages!$B18+1)), "")</f>
        <v>0.14792790141762377</v>
      </c>
      <c r="AD18">
        <f>IFERROR(_xlfn.STDEV.S(INDEX(neos_benchmark!AD:AD, (ROW()-2)*averages!$B18+2):INDEX(neos_benchmark!AD:AD, (ROW()-2)*averages!$B18+averages!$B18+1)), "")</f>
        <v>0.15004552275481819</v>
      </c>
      <c r="AE18">
        <f>IFERROR(_xlfn.STDEV.S(INDEX(neos_benchmark!AE:AE, (ROW()-2)*averages!$B18+2):INDEX(neos_benchmark!AE:AE, (ROW()-2)*averages!$B18+averages!$B18+1)), "")</f>
        <v>0</v>
      </c>
      <c r="AF18">
        <f>IFERROR(_xlfn.STDEV.S(INDEX(neos_benchmark!AF:AF, (ROW()-2)*averages!$B18+2):INDEX(neos_benchmark!AF:AF, (ROW()-2)*averages!$B18+averages!$B18+1)), "")</f>
        <v>0</v>
      </c>
      <c r="AG18">
        <f>IFERROR(_xlfn.STDEV.S(INDEX(neos_benchmark!AG:AG, (ROW()-2)*averages!$B18+2):INDEX(neos_benchmark!AG:AG, (ROW()-2)*averages!$B18+averages!$B18+1)), "")</f>
        <v>0</v>
      </c>
      <c r="AH18">
        <f>IFERROR(_xlfn.STDEV.S(INDEX(neos_benchmark!AH:AH, (ROW()-2)*averages!$B18+2):INDEX(neos_benchmark!AH:AH, (ROW()-2)*averages!$B18+averages!$B18+1)), "")</f>
        <v>0</v>
      </c>
      <c r="AI18">
        <f>IFERROR(_xlfn.STDEV.S(INDEX(neos_benchmark!AI:AI, (ROW()-2)*averages!$B18+2):INDEX(neos_benchmark!AI:AI, (ROW()-2)*averages!$B18+averages!$B18+1)), "")</f>
        <v>450998.61436625035</v>
      </c>
      <c r="AJ18">
        <f>IFERROR(_xlfn.STDEV.S(INDEX(neos_benchmark!AJ:AJ, (ROW()-2)*averages!$B18+2):INDEX(neos_benchmark!AJ:AJ, (ROW()-2)*averages!$B18+averages!$B18+1)), "")</f>
        <v>453204.16324139538</v>
      </c>
      <c r="AK18" cm="1">
        <f t="array" ref="AK18">IFERROR(_xlfn.STDEV.S(INDEX(neos_benchmark!W:W, (ROW()-2)*averages!$B18+2):INDEX(neos_benchmark!W:W, (ROW()-2)*averages!$B18+averages!$B18+1) + INDEX(neos_benchmark!AA:AA, (ROW()-2)*averages!$B18+2):INDEX(neos_benchmark!AA:AA, (ROW()-2)*averages!$B18+averages!$B18+1)), "")</f>
        <v>0.16893359692787305</v>
      </c>
      <c r="AL18" cm="1">
        <f t="array" ref="AL18">IFERROR(_xlfn.STDEV.S((INDEX(neos_benchmark!AJ:AJ, (ROW()-2)*averages!$B18+2):INDEX(neos_benchmark!AJ:AJ, (ROW()-2)*averages!$B18+averages!$B18+1) - INDEX(neos_benchmark!AI:AI, (ROW()-2)*averages!$B18+2):INDEX(neos_benchmark!AI:AI, (ROW()-2)*averages!$B18+averages!$B18+1)) / 1000), "")</f>
        <v>4.767985231380929</v>
      </c>
    </row>
    <row r="19" spans="1:38" x14ac:dyDescent="0.25">
      <c r="A19" t="str" cm="1">
        <f t="array" ref="A19">INDEX(neos_benchmark!A:A, (ROW()-2)*$B19+2)</f>
        <v>kinematic-car-knitro</v>
      </c>
      <c r="B19">
        <f>COUNTIF(neos_benchmark!A:A, neos_benchmark!A19)</f>
        <v>10</v>
      </c>
      <c r="C19" t="str" cm="1">
        <f t="array" ref="C19">INDEX(neos_benchmark!C:C, (ROW()-2)*$B19+2)</f>
        <v>Knitro</v>
      </c>
      <c r="D19" t="str" cm="1">
        <f t="array" ref="D19">INDEX(neos_benchmark!D:D, (ROW()-2)*$B19+2)</f>
        <v>15.1.0</v>
      </c>
      <c r="E19" t="str" cm="1">
        <f t="array" ref="E19">INDEX(neos_benchmark!E:E, (ROW()-2)*$B19+2)</f>
        <v/>
      </c>
      <c r="F19" t="str">
        <f>IFERROR(_xlfn.STDEV.S(INDEX(neos_benchmark!F:F, (ROW()-2)*averages!$B19+2):INDEX(neos_benchmark!F:F, (ROW()-2)*averages!$B19+averages!$B19+1)), "")</f>
        <v/>
      </c>
      <c r="G19" t="str">
        <f>IFERROR(_xlfn.STDEV.S(INDEX(neos_benchmark!G:G, (ROW()-2)*averages!$B19+2):INDEX(neos_benchmark!G:G, (ROW()-2)*averages!$B19+averages!$B19+1)), "")</f>
        <v/>
      </c>
      <c r="H19" t="str">
        <f>IFERROR(_xlfn.STDEV.S(INDEX(neos_benchmark!H:H, (ROW()-2)*averages!$B19+2):INDEX(neos_benchmark!H:H, (ROW()-2)*averages!$B19+averages!$B19+1)), "")</f>
        <v/>
      </c>
      <c r="I19" t="str">
        <f>IFERROR(_xlfn.STDEV.S(INDEX(neos_benchmark!I:I, (ROW()-2)*averages!$B19+2):INDEX(neos_benchmark!I:I, (ROW()-2)*averages!$B19+averages!$B19+1)), "")</f>
        <v/>
      </c>
      <c r="J19" t="str">
        <f>IFERROR(_xlfn.STDEV.S(INDEX(neos_benchmark!J:J, (ROW()-2)*averages!$B19+2):INDEX(neos_benchmark!J:J, (ROW()-2)*averages!$B19+averages!$B19+1)), "")</f>
        <v/>
      </c>
      <c r="K19" t="str">
        <f>IFERROR(_xlfn.STDEV.S(INDEX(neos_benchmark!K:K, (ROW()-2)*averages!$B19+2):INDEX(neos_benchmark!K:K, (ROW()-2)*averages!$B19+averages!$B19+1)), "")</f>
        <v/>
      </c>
      <c r="L19" t="str">
        <f>IFERROR(_xlfn.STDEV.S(INDEX(neos_benchmark!L:L, (ROW()-2)*averages!$B19+2):INDEX(neos_benchmark!L:L, (ROW()-2)*averages!$B19+averages!$B19+1)), "")</f>
        <v/>
      </c>
      <c r="M19" t="str">
        <f>IFERROR(_xlfn.STDEV.S(INDEX(neos_benchmark!M:M, (ROW()-2)*averages!$B19+2):INDEX(neos_benchmark!M:M, (ROW()-2)*averages!$B19+averages!$B19+1)), "")</f>
        <v/>
      </c>
      <c r="N19" t="str">
        <f>IFERROR(_xlfn.STDEV.S(INDEX(neos_benchmark!N:N, (ROW()-2)*averages!$B19+2):INDEX(neos_benchmark!N:N, (ROW()-2)*averages!$B19+averages!$B19+1)), "")</f>
        <v/>
      </c>
      <c r="O19" t="str">
        <f>IFERROR(_xlfn.STDEV.S(INDEX(neos_benchmark!O:O, (ROW()-2)*averages!$B19+2):INDEX(neos_benchmark!O:O, (ROW()-2)*averages!$B19+averages!$B19+1)), "")</f>
        <v/>
      </c>
      <c r="P19" t="str">
        <f>IFERROR(_xlfn.STDEV.S(INDEX(neos_benchmark!P:P, (ROW()-2)*averages!$B19+2):INDEX(neos_benchmark!P:P, (ROW()-2)*averages!$B19+averages!$B19+1)), "")</f>
        <v/>
      </c>
      <c r="Q19" t="str">
        <f>IFERROR(_xlfn.STDEV.S(INDEX(neos_benchmark!Q:Q, (ROW()-2)*averages!$B19+2):INDEX(neos_benchmark!Q:Q, (ROW()-2)*averages!$B19+averages!$B19+1)), "")</f>
        <v/>
      </c>
      <c r="R19" t="str">
        <f>IFERROR(_xlfn.STDEV.S(INDEX(neos_benchmark!R:R, (ROW()-2)*averages!$B19+2):INDEX(neos_benchmark!R:R, (ROW()-2)*averages!$B19+averages!$B19+1)), "")</f>
        <v/>
      </c>
      <c r="S19" t="str">
        <f>IFERROR(_xlfn.STDEV.S(INDEX(neos_benchmark!S:S, (ROW()-2)*averages!$B19+2):INDEX(neos_benchmark!S:S, (ROW()-2)*averages!$B19+averages!$B19+1)), "")</f>
        <v/>
      </c>
      <c r="T19" t="str">
        <f>IFERROR(_xlfn.STDEV.S(INDEX(neos_benchmark!T:T, (ROW()-2)*averages!$B19+2):INDEX(neos_benchmark!T:T, (ROW()-2)*averages!$B19+averages!$B19+1)), "")</f>
        <v/>
      </c>
      <c r="U19" t="str">
        <f>IFERROR(_xlfn.STDEV.S(INDEX(neos_benchmark!U:U, (ROW()-2)*averages!$B19+2):INDEX(neos_benchmark!U:U, (ROW()-2)*averages!$B19+averages!$B19+1)), "")</f>
        <v/>
      </c>
      <c r="V19" t="str">
        <f>IFERROR(_xlfn.STDEV.S(INDEX(neos_benchmark!V:V, (ROW()-2)*averages!$B19+2):INDEX(neos_benchmark!V:V, (ROW()-2)*averages!$B19+averages!$B19+1)), "")</f>
        <v/>
      </c>
      <c r="W19" t="str">
        <f>IFERROR(_xlfn.STDEV.S(INDEX(neos_benchmark!W:W, (ROW()-2)*averages!$B19+2):INDEX(neos_benchmark!W:W, (ROW()-2)*averages!$B19+averages!$B19+1)), "")</f>
        <v/>
      </c>
      <c r="X19" t="str">
        <f>IFERROR(_xlfn.STDEV.S(INDEX(neos_benchmark!X:X, (ROW()-2)*averages!$B19+2):INDEX(neos_benchmark!X:X, (ROW()-2)*averages!$B19+averages!$B19+1)), "")</f>
        <v/>
      </c>
      <c r="Y19" t="str">
        <f>IFERROR(_xlfn.STDEV.S(INDEX(neos_benchmark!Y:Y, (ROW()-2)*averages!$B19+2):INDEX(neos_benchmark!Y:Y, (ROW()-2)*averages!$B19+averages!$B19+1)), "")</f>
        <v/>
      </c>
      <c r="Z19" t="str">
        <f>IFERROR(_xlfn.STDEV.S(INDEX(neos_benchmark!Z:Z, (ROW()-2)*averages!$B19+2):INDEX(neos_benchmark!Z:Z, (ROW()-2)*averages!$B19+averages!$B19+1)), "")</f>
        <v/>
      </c>
      <c r="AA19" t="str">
        <f>IFERROR(_xlfn.STDEV.S(INDEX(neos_benchmark!AA:AA, (ROW()-2)*averages!$B19+2):INDEX(neos_benchmark!AA:AA, (ROW()-2)*averages!$B19+averages!$B19+1)), "")</f>
        <v/>
      </c>
      <c r="AB19" t="str">
        <f>IFERROR(_xlfn.STDEV.S(INDEX(neos_benchmark!AB:AB, (ROW()-2)*averages!$B19+2):INDEX(neos_benchmark!AB:AB, (ROW()-2)*averages!$B19+averages!$B19+1)), "")</f>
        <v/>
      </c>
      <c r="AC19" t="str">
        <f>IFERROR(_xlfn.STDEV.S(INDEX(neos_benchmark!AC:AC, (ROW()-2)*averages!$B19+2):INDEX(neos_benchmark!AC:AC, (ROW()-2)*averages!$B19+averages!$B19+1)), "")</f>
        <v/>
      </c>
      <c r="AD19" t="str">
        <f>IFERROR(_xlfn.STDEV.S(INDEX(neos_benchmark!AD:AD, (ROW()-2)*averages!$B19+2):INDEX(neos_benchmark!AD:AD, (ROW()-2)*averages!$B19+averages!$B19+1)), "")</f>
        <v/>
      </c>
      <c r="AE19" t="str">
        <f>IFERROR(_xlfn.STDEV.S(INDEX(neos_benchmark!AE:AE, (ROW()-2)*averages!$B19+2):INDEX(neos_benchmark!AE:AE, (ROW()-2)*averages!$B19+averages!$B19+1)), "")</f>
        <v/>
      </c>
      <c r="AF19" t="str">
        <f>IFERROR(_xlfn.STDEV.S(INDEX(neos_benchmark!AF:AF, (ROW()-2)*averages!$B19+2):INDEX(neos_benchmark!AF:AF, (ROW()-2)*averages!$B19+averages!$B19+1)), "")</f>
        <v/>
      </c>
      <c r="AG19" t="str">
        <f>IFERROR(_xlfn.STDEV.S(INDEX(neos_benchmark!AG:AG, (ROW()-2)*averages!$B19+2):INDEX(neos_benchmark!AG:AG, (ROW()-2)*averages!$B19+averages!$B19+1)), "")</f>
        <v/>
      </c>
      <c r="AH19" t="str">
        <f>IFERROR(_xlfn.STDEV.S(INDEX(neos_benchmark!AH:AH, (ROW()-2)*averages!$B19+2):INDEX(neos_benchmark!AH:AH, (ROW()-2)*averages!$B19+averages!$B19+1)), "")</f>
        <v/>
      </c>
      <c r="AI19">
        <f>IFERROR(_xlfn.STDEV.S(INDEX(neos_benchmark!AI:AI, (ROW()-2)*averages!$B19+2):INDEX(neos_benchmark!AI:AI, (ROW()-2)*averages!$B19+averages!$B19+1)), "")</f>
        <v>447786.38325800945</v>
      </c>
      <c r="AJ19">
        <f>IFERROR(_xlfn.STDEV.S(INDEX(neos_benchmark!AJ:AJ, (ROW()-2)*averages!$B19+2):INDEX(neos_benchmark!AJ:AJ, (ROW()-2)*averages!$B19+averages!$B19+1)), "")</f>
        <v>449808.16164108599</v>
      </c>
      <c r="AK19" cm="1">
        <f t="array" ref="AK19">IFERROR(_xlfn.STDEV.S(INDEX(neos_benchmark!W:W, (ROW()-2)*averages!$B19+2):INDEX(neos_benchmark!W:W, (ROW()-2)*averages!$B19+averages!$B19+1) + INDEX(neos_benchmark!AA:AA, (ROW()-2)*averages!$B19+2):INDEX(neos_benchmark!AA:AA, (ROW()-2)*averages!$B19+averages!$B19+1)), "")</f>
        <v>0</v>
      </c>
      <c r="AL19" cm="1">
        <f t="array" ref="AL19">IFERROR(_xlfn.STDEV.S((INDEX(neos_benchmark!AJ:AJ, (ROW()-2)*averages!$B19+2):INDEX(neos_benchmark!AJ:AJ, (ROW()-2)*averages!$B19+averages!$B19+1) - INDEX(neos_benchmark!AI:AI, (ROW()-2)*averages!$B19+2):INDEX(neos_benchmark!AI:AI, (ROW()-2)*averages!$B19+averages!$B19+1)) / 1000), "")</f>
        <v>4.010878296721442</v>
      </c>
    </row>
    <row r="20" spans="1:38" x14ac:dyDescent="0.25">
      <c r="A20" t="str" cm="1">
        <f t="array" ref="A20">INDEX(neos_benchmark!A:A, (ROW()-2)*$B20+2)</f>
        <v>kinematic-car-lancelot</v>
      </c>
      <c r="B20">
        <f>COUNTIF(neos_benchmark!A:A, neos_benchmark!A20)</f>
        <v>10</v>
      </c>
      <c r="C20" t="str" cm="1">
        <f t="array" ref="C20">INDEX(neos_benchmark!C:C, (ROW()-2)*$B20+2)</f>
        <v/>
      </c>
      <c r="D20" t="str" cm="1">
        <f t="array" ref="D20">INDEX(neos_benchmark!D:D, (ROW()-2)*$B20+2)</f>
        <v/>
      </c>
      <c r="E20" t="str" cm="1">
        <f t="array" ref="E20">INDEX(neos_benchmark!E:E, (ROW()-2)*$B20+2)</f>
        <v>failure</v>
      </c>
      <c r="F20">
        <f>IFERROR(_xlfn.STDEV.S(INDEX(neos_benchmark!F:F, (ROW()-2)*averages!$B20+2):INDEX(neos_benchmark!F:F, (ROW()-2)*averages!$B20+averages!$B20+1)), "")</f>
        <v>0</v>
      </c>
      <c r="G20">
        <f>IFERROR(_xlfn.STDEV.S(INDEX(neos_benchmark!G:G, (ROW()-2)*averages!$B20+2):INDEX(neos_benchmark!G:G, (ROW()-2)*averages!$B20+averages!$B20+1)), "")</f>
        <v>0</v>
      </c>
      <c r="H20" t="str">
        <f>IFERROR(_xlfn.STDEV.S(INDEX(neos_benchmark!H:H, (ROW()-2)*averages!$B20+2):INDEX(neos_benchmark!H:H, (ROW()-2)*averages!$B20+averages!$B20+1)), "")</f>
        <v/>
      </c>
      <c r="I20" t="str">
        <f>IFERROR(_xlfn.STDEV.S(INDEX(neos_benchmark!I:I, (ROW()-2)*averages!$B20+2):INDEX(neos_benchmark!I:I, (ROW()-2)*averages!$B20+averages!$B20+1)), "")</f>
        <v/>
      </c>
      <c r="J20" t="str">
        <f>IFERROR(_xlfn.STDEV.S(INDEX(neos_benchmark!J:J, (ROW()-2)*averages!$B20+2):INDEX(neos_benchmark!J:J, (ROW()-2)*averages!$B20+averages!$B20+1)), "")</f>
        <v/>
      </c>
      <c r="K20" t="str">
        <f>IFERROR(_xlfn.STDEV.S(INDEX(neos_benchmark!K:K, (ROW()-2)*averages!$B20+2):INDEX(neos_benchmark!K:K, (ROW()-2)*averages!$B20+averages!$B20+1)), "")</f>
        <v/>
      </c>
      <c r="L20" t="str">
        <f>IFERROR(_xlfn.STDEV.S(INDEX(neos_benchmark!L:L, (ROW()-2)*averages!$B20+2):INDEX(neos_benchmark!L:L, (ROW()-2)*averages!$B20+averages!$B20+1)), "")</f>
        <v/>
      </c>
      <c r="M20" t="str">
        <f>IFERROR(_xlfn.STDEV.S(INDEX(neos_benchmark!M:M, (ROW()-2)*averages!$B20+2):INDEX(neos_benchmark!M:M, (ROW()-2)*averages!$B20+averages!$B20+1)), "")</f>
        <v/>
      </c>
      <c r="N20" t="str">
        <f>IFERROR(_xlfn.STDEV.S(INDEX(neos_benchmark!N:N, (ROW()-2)*averages!$B20+2):INDEX(neos_benchmark!N:N, (ROW()-2)*averages!$B20+averages!$B20+1)), "")</f>
        <v/>
      </c>
      <c r="O20" t="str">
        <f>IFERROR(_xlfn.STDEV.S(INDEX(neos_benchmark!O:O, (ROW()-2)*averages!$B20+2):INDEX(neos_benchmark!O:O, (ROW()-2)*averages!$B20+averages!$B20+1)), "")</f>
        <v/>
      </c>
      <c r="P20" t="str">
        <f>IFERROR(_xlfn.STDEV.S(INDEX(neos_benchmark!P:P, (ROW()-2)*averages!$B20+2):INDEX(neos_benchmark!P:P, (ROW()-2)*averages!$B20+averages!$B20+1)), "")</f>
        <v/>
      </c>
      <c r="Q20" t="str">
        <f>IFERROR(_xlfn.STDEV.S(INDEX(neos_benchmark!Q:Q, (ROW()-2)*averages!$B20+2):INDEX(neos_benchmark!Q:Q, (ROW()-2)*averages!$B20+averages!$B20+1)), "")</f>
        <v/>
      </c>
      <c r="R20" t="str">
        <f>IFERROR(_xlfn.STDEV.S(INDEX(neos_benchmark!R:R, (ROW()-2)*averages!$B20+2):INDEX(neos_benchmark!R:R, (ROW()-2)*averages!$B20+averages!$B20+1)), "")</f>
        <v/>
      </c>
      <c r="S20" t="str">
        <f>IFERROR(_xlfn.STDEV.S(INDEX(neos_benchmark!S:S, (ROW()-2)*averages!$B20+2):INDEX(neos_benchmark!S:S, (ROW()-2)*averages!$B20+averages!$B20+1)), "")</f>
        <v/>
      </c>
      <c r="T20" t="str">
        <f>IFERROR(_xlfn.STDEV.S(INDEX(neos_benchmark!T:T, (ROW()-2)*averages!$B20+2):INDEX(neos_benchmark!T:T, (ROW()-2)*averages!$B20+averages!$B20+1)), "")</f>
        <v/>
      </c>
      <c r="U20" t="str">
        <f>IFERROR(_xlfn.STDEV.S(INDEX(neos_benchmark!U:U, (ROW()-2)*averages!$B20+2):INDEX(neos_benchmark!U:U, (ROW()-2)*averages!$B20+averages!$B20+1)), "")</f>
        <v/>
      </c>
      <c r="V20" t="str">
        <f>IFERROR(_xlfn.STDEV.S(INDEX(neos_benchmark!V:V, (ROW()-2)*averages!$B20+2):INDEX(neos_benchmark!V:V, (ROW()-2)*averages!$B20+averages!$B20+1)), "")</f>
        <v/>
      </c>
      <c r="W20">
        <f>IFERROR(_xlfn.STDEV.S(INDEX(neos_benchmark!W:W, (ROW()-2)*averages!$B20+2):INDEX(neos_benchmark!W:W, (ROW()-2)*averages!$B20+averages!$B20+1)), "")</f>
        <v>1.6040508742624752E-2</v>
      </c>
      <c r="X20">
        <f>IFERROR(_xlfn.STDEV.S(INDEX(neos_benchmark!X:X, (ROW()-2)*averages!$B20+2):INDEX(neos_benchmark!X:X, (ROW()-2)*averages!$B20+averages!$B20+1)), "")</f>
        <v>3.4356900390524817E-3</v>
      </c>
      <c r="Y20">
        <f>IFERROR(_xlfn.STDEV.S(INDEX(neos_benchmark!Y:Y, (ROW()-2)*averages!$B20+2):INDEX(neos_benchmark!Y:Y, (ROW()-2)*averages!$B20+averages!$B20+1)), "")</f>
        <v>1.6113241795699181E-2</v>
      </c>
      <c r="Z20">
        <f>IFERROR(_xlfn.STDEV.S(INDEX(neos_benchmark!Z:Z, (ROW()-2)*averages!$B20+2):INDEX(neos_benchmark!Z:Z, (ROW()-2)*averages!$B20+averages!$B20+1)), "")</f>
        <v>1.6750862819900094E-2</v>
      </c>
      <c r="AA20">
        <f>IFERROR(_xlfn.STDEV.S(INDEX(neos_benchmark!AA:AA, (ROW()-2)*averages!$B20+2):INDEX(neos_benchmark!AA:AA, (ROW()-2)*averages!$B20+averages!$B20+1)), "")</f>
        <v>5.0537522264814966E-3</v>
      </c>
      <c r="AB20">
        <f>IFERROR(_xlfn.STDEV.S(INDEX(neos_benchmark!AB:AB, (ROW()-2)*averages!$B20+2):INDEX(neos_benchmark!AB:AB, (ROW()-2)*averages!$B20+averages!$B20+1)), "")</f>
        <v>8.3229906483987663E-4</v>
      </c>
      <c r="AC20">
        <f>IFERROR(_xlfn.STDEV.S(INDEX(neos_benchmark!AC:AC, (ROW()-2)*averages!$B20+2):INDEX(neos_benchmark!AC:AC, (ROW()-2)*averages!$B20+averages!$B20+1)), "")</f>
        <v>1.1111908976909016E-3</v>
      </c>
      <c r="AD20">
        <f>IFERROR(_xlfn.STDEV.S(INDEX(neos_benchmark!AD:AD, (ROW()-2)*averages!$B20+2):INDEX(neos_benchmark!AD:AD, (ROW()-2)*averages!$B20+averages!$B20+1)), "")</f>
        <v>1.4081782597068851E-3</v>
      </c>
      <c r="AE20">
        <f>IFERROR(_xlfn.STDEV.S(INDEX(neos_benchmark!AE:AE, (ROW()-2)*averages!$B20+2):INDEX(neos_benchmark!AE:AE, (ROW()-2)*averages!$B20+averages!$B20+1)), "")</f>
        <v>0</v>
      </c>
      <c r="AF20">
        <f>IFERROR(_xlfn.STDEV.S(INDEX(neos_benchmark!AF:AF, (ROW()-2)*averages!$B20+2):INDEX(neos_benchmark!AF:AF, (ROW()-2)*averages!$B20+averages!$B20+1)), "")</f>
        <v>0</v>
      </c>
      <c r="AG20">
        <f>IFERROR(_xlfn.STDEV.S(INDEX(neos_benchmark!AG:AG, (ROW()-2)*averages!$B20+2):INDEX(neos_benchmark!AG:AG, (ROW()-2)*averages!$B20+averages!$B20+1)), "")</f>
        <v>0</v>
      </c>
      <c r="AH20">
        <f>IFERROR(_xlfn.STDEV.S(INDEX(neos_benchmark!AH:AH, (ROW()-2)*averages!$B20+2):INDEX(neos_benchmark!AH:AH, (ROW()-2)*averages!$B20+averages!$B20+1)), "")</f>
        <v>0</v>
      </c>
      <c r="AI20">
        <f>IFERROR(_xlfn.STDEV.S(INDEX(neos_benchmark!AI:AI, (ROW()-2)*averages!$B20+2):INDEX(neos_benchmark!AI:AI, (ROW()-2)*averages!$B20+averages!$B20+1)), "")</f>
        <v>429558.13828403305</v>
      </c>
      <c r="AJ20">
        <f>IFERROR(_xlfn.STDEV.S(INDEX(neos_benchmark!AJ:AJ, (ROW()-2)*averages!$B20+2):INDEX(neos_benchmark!AJ:AJ, (ROW()-2)*averages!$B20+averages!$B20+1)), "")</f>
        <v>450894.64953140047</v>
      </c>
      <c r="AK20" cm="1">
        <f t="array" ref="AK20">IFERROR(_xlfn.STDEV.S(INDEX(neos_benchmark!W:W, (ROW()-2)*averages!$B20+2):INDEX(neos_benchmark!W:W, (ROW()-2)*averages!$B20+averages!$B20+1) + INDEX(neos_benchmark!AA:AA, (ROW()-2)*averages!$B20+2):INDEX(neos_benchmark!AA:AA, (ROW()-2)*averages!$B20+averages!$B20+1)), "")</f>
        <v>1.991307315866191E-2</v>
      </c>
      <c r="AL20" cm="1">
        <f t="array" ref="AL20">IFERROR(_xlfn.STDEV.S((INDEX(neos_benchmark!AJ:AJ, (ROW()-2)*averages!$B20+2):INDEX(neos_benchmark!AJ:AJ, (ROW()-2)*averages!$B20+averages!$B20+1) - INDEX(neos_benchmark!AI:AI, (ROW()-2)*averages!$B20+2):INDEX(neos_benchmark!AI:AI, (ROW()-2)*averages!$B20+averages!$B20+1)) / 1000), "")</f>
        <v>35.550002799812361</v>
      </c>
    </row>
    <row r="21" spans="1:38" x14ac:dyDescent="0.25">
      <c r="A21" t="str" cm="1">
        <f t="array" ref="A21">INDEX(neos_benchmark!A:A, (ROW()-2)*$B21+2)</f>
        <v>kinematic-car-loqo</v>
      </c>
      <c r="B21">
        <f>COUNTIF(neos_benchmark!A:A, neos_benchmark!A21)</f>
        <v>10</v>
      </c>
      <c r="C21" t="str" cm="1">
        <f t="array" ref="C21">INDEX(neos_benchmark!C:C, (ROW()-2)*$B21+2)</f>
        <v/>
      </c>
      <c r="D21" t="str" cm="1">
        <f t="array" ref="D21">INDEX(neos_benchmark!D:D, (ROW()-2)*$B21+2)</f>
        <v/>
      </c>
      <c r="E21" t="str" cm="1">
        <f t="array" ref="E21">INDEX(neos_benchmark!E:E, (ROW()-2)*$B21+2)</f>
        <v>solved</v>
      </c>
      <c r="F21">
        <f>IFERROR(_xlfn.STDEV.S(INDEX(neos_benchmark!F:F, (ROW()-2)*averages!$B21+2):INDEX(neos_benchmark!F:F, (ROW()-2)*averages!$B21+averages!$B21+1)), "")</f>
        <v>0</v>
      </c>
      <c r="G21">
        <f>IFERROR(_xlfn.STDEV.S(INDEX(neos_benchmark!G:G, (ROW()-2)*averages!$B21+2):INDEX(neos_benchmark!G:G, (ROW()-2)*averages!$B21+averages!$B21+1)), "")</f>
        <v>1.124518403515613E-8</v>
      </c>
      <c r="H21" t="str">
        <f>IFERROR(_xlfn.STDEV.S(INDEX(neos_benchmark!H:H, (ROW()-2)*averages!$B21+2):INDEX(neos_benchmark!H:H, (ROW()-2)*averages!$B21+averages!$B21+1)), "")</f>
        <v/>
      </c>
      <c r="I21" t="str">
        <f>IFERROR(_xlfn.STDEV.S(INDEX(neos_benchmark!I:I, (ROW()-2)*averages!$B21+2):INDEX(neos_benchmark!I:I, (ROW()-2)*averages!$B21+averages!$B21+1)), "")</f>
        <v/>
      </c>
      <c r="J21" t="str">
        <f>IFERROR(_xlfn.STDEV.S(INDEX(neos_benchmark!J:J, (ROW()-2)*averages!$B21+2):INDEX(neos_benchmark!J:J, (ROW()-2)*averages!$B21+averages!$B21+1)), "")</f>
        <v/>
      </c>
      <c r="K21" t="str">
        <f>IFERROR(_xlfn.STDEV.S(INDEX(neos_benchmark!K:K, (ROW()-2)*averages!$B21+2):INDEX(neos_benchmark!K:K, (ROW()-2)*averages!$B21+averages!$B21+1)), "")</f>
        <v/>
      </c>
      <c r="L21" t="str">
        <f>IFERROR(_xlfn.STDEV.S(INDEX(neos_benchmark!L:L, (ROW()-2)*averages!$B21+2):INDEX(neos_benchmark!L:L, (ROW()-2)*averages!$B21+averages!$B21+1)), "")</f>
        <v/>
      </c>
      <c r="M21" t="str">
        <f>IFERROR(_xlfn.STDEV.S(INDEX(neos_benchmark!M:M, (ROW()-2)*averages!$B21+2):INDEX(neos_benchmark!M:M, (ROW()-2)*averages!$B21+averages!$B21+1)), "")</f>
        <v/>
      </c>
      <c r="N21" t="str">
        <f>IFERROR(_xlfn.STDEV.S(INDEX(neos_benchmark!N:N, (ROW()-2)*averages!$B21+2):INDEX(neos_benchmark!N:N, (ROW()-2)*averages!$B21+averages!$B21+1)), "")</f>
        <v/>
      </c>
      <c r="O21" t="str">
        <f>IFERROR(_xlfn.STDEV.S(INDEX(neos_benchmark!O:O, (ROW()-2)*averages!$B21+2):INDEX(neos_benchmark!O:O, (ROW()-2)*averages!$B21+averages!$B21+1)), "")</f>
        <v/>
      </c>
      <c r="P21" t="str">
        <f>IFERROR(_xlfn.STDEV.S(INDEX(neos_benchmark!P:P, (ROW()-2)*averages!$B21+2):INDEX(neos_benchmark!P:P, (ROW()-2)*averages!$B21+averages!$B21+1)), "")</f>
        <v/>
      </c>
      <c r="Q21" t="str">
        <f>IFERROR(_xlfn.STDEV.S(INDEX(neos_benchmark!Q:Q, (ROW()-2)*averages!$B21+2):INDEX(neos_benchmark!Q:Q, (ROW()-2)*averages!$B21+averages!$B21+1)), "")</f>
        <v/>
      </c>
      <c r="R21" t="str">
        <f>IFERROR(_xlfn.STDEV.S(INDEX(neos_benchmark!R:R, (ROW()-2)*averages!$B21+2):INDEX(neos_benchmark!R:R, (ROW()-2)*averages!$B21+averages!$B21+1)), "")</f>
        <v/>
      </c>
      <c r="S21" t="str">
        <f>IFERROR(_xlfn.STDEV.S(INDEX(neos_benchmark!S:S, (ROW()-2)*averages!$B21+2):INDEX(neos_benchmark!S:S, (ROW()-2)*averages!$B21+averages!$B21+1)), "")</f>
        <v/>
      </c>
      <c r="T21" t="str">
        <f>IFERROR(_xlfn.STDEV.S(INDEX(neos_benchmark!T:T, (ROW()-2)*averages!$B21+2):INDEX(neos_benchmark!T:T, (ROW()-2)*averages!$B21+averages!$B21+1)), "")</f>
        <v/>
      </c>
      <c r="U21" t="str">
        <f>IFERROR(_xlfn.STDEV.S(INDEX(neos_benchmark!U:U, (ROW()-2)*averages!$B21+2):INDEX(neos_benchmark!U:U, (ROW()-2)*averages!$B21+averages!$B21+1)), "")</f>
        <v/>
      </c>
      <c r="V21" t="str">
        <f>IFERROR(_xlfn.STDEV.S(INDEX(neos_benchmark!V:V, (ROW()-2)*averages!$B21+2):INDEX(neos_benchmark!V:V, (ROW()-2)*averages!$B21+averages!$B21+1)), "")</f>
        <v/>
      </c>
      <c r="W21">
        <f>IFERROR(_xlfn.STDEV.S(INDEX(neos_benchmark!W:W, (ROW()-2)*averages!$B21+2):INDEX(neos_benchmark!W:W, (ROW()-2)*averages!$B21+averages!$B21+1)), "")</f>
        <v>1.726315627765285E-2</v>
      </c>
      <c r="X21">
        <f>IFERROR(_xlfn.STDEV.S(INDEX(neos_benchmark!X:X, (ROW()-2)*averages!$B21+2):INDEX(neos_benchmark!X:X, (ROW()-2)*averages!$B21+averages!$B21+1)), "")</f>
        <v>4.124026167876888E-3</v>
      </c>
      <c r="Y21">
        <f>IFERROR(_xlfn.STDEV.S(INDEX(neos_benchmark!Y:Y, (ROW()-2)*averages!$B21+2):INDEX(neos_benchmark!Y:Y, (ROW()-2)*averages!$B21+averages!$B21+1)), "")</f>
        <v>1.7305961303037149E-2</v>
      </c>
      <c r="Z21">
        <f>IFERROR(_xlfn.STDEV.S(INDEX(neos_benchmark!Z:Z, (ROW()-2)*averages!$B21+2):INDEX(neos_benchmark!Z:Z, (ROW()-2)*averages!$B21+averages!$B21+1)), "")</f>
        <v>1.786890417612557E-2</v>
      </c>
      <c r="AA21">
        <f>IFERROR(_xlfn.STDEV.S(INDEX(neos_benchmark!AA:AA, (ROW()-2)*averages!$B21+2):INDEX(neos_benchmark!AA:AA, (ROW()-2)*averages!$B21+averages!$B21+1)), "")</f>
        <v>3.4636809952066236E-2</v>
      </c>
      <c r="AB21">
        <f>IFERROR(_xlfn.STDEV.S(INDEX(neos_benchmark!AB:AB, (ROW()-2)*averages!$B21+2):INDEX(neos_benchmark!AB:AB, (ROW()-2)*averages!$B21+averages!$B21+1)), "")</f>
        <v>1.0141883509048558E-3</v>
      </c>
      <c r="AC21">
        <f>IFERROR(_xlfn.STDEV.S(INDEX(neos_benchmark!AC:AC, (ROW()-2)*averages!$B21+2):INDEX(neos_benchmark!AC:AC, (ROW()-2)*averages!$B21+averages!$B21+1)), "")</f>
        <v>3.1327404202142979E-2</v>
      </c>
      <c r="AD21">
        <f>IFERROR(_xlfn.STDEV.S(INDEX(neos_benchmark!AD:AD, (ROW()-2)*averages!$B21+2):INDEX(neos_benchmark!AD:AD, (ROW()-2)*averages!$B21+averages!$B21+1)), "")</f>
        <v>3.2032499005610539E-2</v>
      </c>
      <c r="AE21">
        <f>IFERROR(_xlfn.STDEV.S(INDEX(neos_benchmark!AE:AE, (ROW()-2)*averages!$B21+2):INDEX(neos_benchmark!AE:AE, (ROW()-2)*averages!$B21+averages!$B21+1)), "")</f>
        <v>0</v>
      </c>
      <c r="AF21">
        <f>IFERROR(_xlfn.STDEV.S(INDEX(neos_benchmark!AF:AF, (ROW()-2)*averages!$B21+2):INDEX(neos_benchmark!AF:AF, (ROW()-2)*averages!$B21+averages!$B21+1)), "")</f>
        <v>0</v>
      </c>
      <c r="AG21">
        <f>IFERROR(_xlfn.STDEV.S(INDEX(neos_benchmark!AG:AG, (ROW()-2)*averages!$B21+2):INDEX(neos_benchmark!AG:AG, (ROW()-2)*averages!$B21+averages!$B21+1)), "")</f>
        <v>0</v>
      </c>
      <c r="AH21">
        <f>IFERROR(_xlfn.STDEV.S(INDEX(neos_benchmark!AH:AH, (ROW()-2)*averages!$B21+2):INDEX(neos_benchmark!AH:AH, (ROW()-2)*averages!$B21+averages!$B21+1)), "")</f>
        <v>0</v>
      </c>
      <c r="AI21">
        <f>IFERROR(_xlfn.STDEV.S(INDEX(neos_benchmark!AI:AI, (ROW()-2)*averages!$B21+2):INDEX(neos_benchmark!AI:AI, (ROW()-2)*averages!$B21+averages!$B21+1)), "")</f>
        <v>407654.02311982372</v>
      </c>
      <c r="AJ21">
        <f>IFERROR(_xlfn.STDEV.S(INDEX(neos_benchmark!AJ:AJ, (ROW()-2)*averages!$B21+2):INDEX(neos_benchmark!AJ:AJ, (ROW()-2)*averages!$B21+averages!$B21+1)), "")</f>
        <v>409299.74043263483</v>
      </c>
      <c r="AK21" cm="1">
        <f t="array" ref="AK21">IFERROR(_xlfn.STDEV.S(INDEX(neos_benchmark!W:W, (ROW()-2)*averages!$B21+2):INDEX(neos_benchmark!W:W, (ROW()-2)*averages!$B21+averages!$B21+1) + INDEX(neos_benchmark!AA:AA, (ROW()-2)*averages!$B21+2):INDEX(neos_benchmark!AA:AA, (ROW()-2)*averages!$B21+averages!$B21+1)), "")</f>
        <v>5.1380177488664455E-2</v>
      </c>
      <c r="AL21" cm="1">
        <f t="array" ref="AL21">IFERROR(_xlfn.STDEV.S((INDEX(neos_benchmark!AJ:AJ, (ROW()-2)*averages!$B21+2):INDEX(neos_benchmark!AJ:AJ, (ROW()-2)*averages!$B21+averages!$B21+1) - INDEX(neos_benchmark!AI:AI, (ROW()-2)*averages!$B21+2):INDEX(neos_benchmark!AI:AI, (ROW()-2)*averages!$B21+averages!$B21+1)) / 1000), "")</f>
        <v>8.1218964670957376</v>
      </c>
    </row>
    <row r="22" spans="1:38" x14ac:dyDescent="0.25">
      <c r="A22" t="str" cm="1">
        <f t="array" ref="A22">INDEX(neos_benchmark!A:A, (ROW()-2)*$B22+2)</f>
        <v>kinematic-car-minos</v>
      </c>
      <c r="B22">
        <f>COUNTIF(neos_benchmark!A:A, neos_benchmark!A22)</f>
        <v>10</v>
      </c>
      <c r="C22" t="str" cm="1">
        <f t="array" ref="C22">INDEX(neos_benchmark!C:C, (ROW()-2)*$B22+2)</f>
        <v/>
      </c>
      <c r="D22" t="str" cm="1">
        <f t="array" ref="D22">INDEX(neos_benchmark!D:D, (ROW()-2)*$B22+2)</f>
        <v/>
      </c>
      <c r="E22" t="str" cm="1">
        <f t="array" ref="E22">INDEX(neos_benchmark!E:E, (ROW()-2)*$B22+2)</f>
        <v>infeasible</v>
      </c>
      <c r="F22">
        <f>IFERROR(_xlfn.STDEV.S(INDEX(neos_benchmark!F:F, (ROW()-2)*averages!$B22+2):INDEX(neos_benchmark!F:F, (ROW()-2)*averages!$B22+averages!$B22+1)), "")</f>
        <v>0</v>
      </c>
      <c r="G22">
        <f>IFERROR(_xlfn.STDEV.S(INDEX(neos_benchmark!G:G, (ROW()-2)*averages!$B22+2):INDEX(neos_benchmark!G:G, (ROW()-2)*averages!$B22+averages!$B22+1)), "")</f>
        <v>0</v>
      </c>
      <c r="H22" t="str">
        <f>IFERROR(_xlfn.STDEV.S(INDEX(neos_benchmark!H:H, (ROW()-2)*averages!$B22+2):INDEX(neos_benchmark!H:H, (ROW()-2)*averages!$B22+averages!$B22+1)), "")</f>
        <v/>
      </c>
      <c r="I22" t="str">
        <f>IFERROR(_xlfn.STDEV.S(INDEX(neos_benchmark!I:I, (ROW()-2)*averages!$B22+2):INDEX(neos_benchmark!I:I, (ROW()-2)*averages!$B22+averages!$B22+1)), "")</f>
        <v/>
      </c>
      <c r="J22" t="str">
        <f>IFERROR(_xlfn.STDEV.S(INDEX(neos_benchmark!J:J, (ROW()-2)*averages!$B22+2):INDEX(neos_benchmark!J:J, (ROW()-2)*averages!$B22+averages!$B22+1)), "")</f>
        <v/>
      </c>
      <c r="K22" t="str">
        <f>IFERROR(_xlfn.STDEV.S(INDEX(neos_benchmark!K:K, (ROW()-2)*averages!$B22+2):INDEX(neos_benchmark!K:K, (ROW()-2)*averages!$B22+averages!$B22+1)), "")</f>
        <v/>
      </c>
      <c r="L22" t="str">
        <f>IFERROR(_xlfn.STDEV.S(INDEX(neos_benchmark!L:L, (ROW()-2)*averages!$B22+2):INDEX(neos_benchmark!L:L, (ROW()-2)*averages!$B22+averages!$B22+1)), "")</f>
        <v/>
      </c>
      <c r="M22" t="str">
        <f>IFERROR(_xlfn.STDEV.S(INDEX(neos_benchmark!M:M, (ROW()-2)*averages!$B22+2):INDEX(neos_benchmark!M:M, (ROW()-2)*averages!$B22+averages!$B22+1)), "")</f>
        <v/>
      </c>
      <c r="N22" t="str">
        <f>IFERROR(_xlfn.STDEV.S(INDEX(neos_benchmark!N:N, (ROW()-2)*averages!$B22+2):INDEX(neos_benchmark!N:N, (ROW()-2)*averages!$B22+averages!$B22+1)), "")</f>
        <v/>
      </c>
      <c r="O22" t="str">
        <f>IFERROR(_xlfn.STDEV.S(INDEX(neos_benchmark!O:O, (ROW()-2)*averages!$B22+2):INDEX(neos_benchmark!O:O, (ROW()-2)*averages!$B22+averages!$B22+1)), "")</f>
        <v/>
      </c>
      <c r="P22" t="str">
        <f>IFERROR(_xlfn.STDEV.S(INDEX(neos_benchmark!P:P, (ROW()-2)*averages!$B22+2):INDEX(neos_benchmark!P:P, (ROW()-2)*averages!$B22+averages!$B22+1)), "")</f>
        <v/>
      </c>
      <c r="Q22" t="str">
        <f>IFERROR(_xlfn.STDEV.S(INDEX(neos_benchmark!Q:Q, (ROW()-2)*averages!$B22+2):INDEX(neos_benchmark!Q:Q, (ROW()-2)*averages!$B22+averages!$B22+1)), "")</f>
        <v/>
      </c>
      <c r="R22" t="str">
        <f>IFERROR(_xlfn.STDEV.S(INDEX(neos_benchmark!R:R, (ROW()-2)*averages!$B22+2):INDEX(neos_benchmark!R:R, (ROW()-2)*averages!$B22+averages!$B22+1)), "")</f>
        <v/>
      </c>
      <c r="S22" t="str">
        <f>IFERROR(_xlfn.STDEV.S(INDEX(neos_benchmark!S:S, (ROW()-2)*averages!$B22+2):INDEX(neos_benchmark!S:S, (ROW()-2)*averages!$B22+averages!$B22+1)), "")</f>
        <v/>
      </c>
      <c r="T22" t="str">
        <f>IFERROR(_xlfn.STDEV.S(INDEX(neos_benchmark!T:T, (ROW()-2)*averages!$B22+2):INDEX(neos_benchmark!T:T, (ROW()-2)*averages!$B22+averages!$B22+1)), "")</f>
        <v/>
      </c>
      <c r="U22" t="str">
        <f>IFERROR(_xlfn.STDEV.S(INDEX(neos_benchmark!U:U, (ROW()-2)*averages!$B22+2):INDEX(neos_benchmark!U:U, (ROW()-2)*averages!$B22+averages!$B22+1)), "")</f>
        <v/>
      </c>
      <c r="V22" t="str">
        <f>IFERROR(_xlfn.STDEV.S(INDEX(neos_benchmark!V:V, (ROW()-2)*averages!$B22+2):INDEX(neos_benchmark!V:V, (ROW()-2)*averages!$B22+averages!$B22+1)), "")</f>
        <v/>
      </c>
      <c r="W22">
        <f>IFERROR(_xlfn.STDEV.S(INDEX(neos_benchmark!W:W, (ROW()-2)*averages!$B22+2):INDEX(neos_benchmark!W:W, (ROW()-2)*averages!$B22+averages!$B22+1)), "")</f>
        <v>1.0012990434097722E-2</v>
      </c>
      <c r="X22">
        <f>IFERROR(_xlfn.STDEV.S(INDEX(neos_benchmark!X:X, (ROW()-2)*averages!$B22+2):INDEX(neos_benchmark!X:X, (ROW()-2)*averages!$B22+averages!$B22+1)), "")</f>
        <v>5.6528549758310242E-3</v>
      </c>
      <c r="Y22">
        <f>IFERROR(_xlfn.STDEV.S(INDEX(neos_benchmark!Y:Y, (ROW()-2)*averages!$B22+2):INDEX(neos_benchmark!Y:Y, (ROW()-2)*averages!$B22+averages!$B22+1)), "")</f>
        <v>1.2305883850148023E-2</v>
      </c>
      <c r="Z22">
        <f>IFERROR(_xlfn.STDEV.S(INDEX(neos_benchmark!Z:Z, (ROW()-2)*averages!$B22+2):INDEX(neos_benchmark!Z:Z, (ROW()-2)*averages!$B22+averages!$B22+1)), "")</f>
        <v>1.0233095363139794E-2</v>
      </c>
      <c r="AA22">
        <f>IFERROR(_xlfn.STDEV.S(INDEX(neos_benchmark!AA:AA, (ROW()-2)*averages!$B22+2):INDEX(neos_benchmark!AA:AA, (ROW()-2)*averages!$B22+averages!$B22+1)), "")</f>
        <v>1.6984713911828706E-3</v>
      </c>
      <c r="AB22">
        <f>IFERROR(_xlfn.STDEV.S(INDEX(neos_benchmark!AB:AB, (ROW()-2)*averages!$B22+2):INDEX(neos_benchmark!AB:AB, (ROW()-2)*averages!$B22+averages!$B22+1)), "")</f>
        <v>7.862561358177823E-4</v>
      </c>
      <c r="AC22">
        <f>IFERROR(_xlfn.STDEV.S(INDEX(neos_benchmark!AC:AC, (ROW()-2)*averages!$B22+2):INDEX(neos_benchmark!AC:AC, (ROW()-2)*averages!$B22+averages!$B22+1)), "")</f>
        <v>2.197013467818934E-3</v>
      </c>
      <c r="AD22">
        <f>IFERROR(_xlfn.STDEV.S(INDEX(neos_benchmark!AD:AD, (ROW()-2)*averages!$B22+2):INDEX(neos_benchmark!AD:AD, (ROW()-2)*averages!$B22+averages!$B22+1)), "")</f>
        <v>1.7322425285674573E-3</v>
      </c>
      <c r="AE22">
        <f>IFERROR(_xlfn.STDEV.S(INDEX(neos_benchmark!AE:AE, (ROW()-2)*averages!$B22+2):INDEX(neos_benchmark!AE:AE, (ROW()-2)*averages!$B22+averages!$B22+1)), "")</f>
        <v>0</v>
      </c>
      <c r="AF22">
        <f>IFERROR(_xlfn.STDEV.S(INDEX(neos_benchmark!AF:AF, (ROW()-2)*averages!$B22+2):INDEX(neos_benchmark!AF:AF, (ROW()-2)*averages!$B22+averages!$B22+1)), "")</f>
        <v>0</v>
      </c>
      <c r="AG22">
        <f>IFERROR(_xlfn.STDEV.S(INDEX(neos_benchmark!AG:AG, (ROW()-2)*averages!$B22+2):INDEX(neos_benchmark!AG:AG, (ROW()-2)*averages!$B22+averages!$B22+1)), "")</f>
        <v>0</v>
      </c>
      <c r="AH22">
        <f>IFERROR(_xlfn.STDEV.S(INDEX(neos_benchmark!AH:AH, (ROW()-2)*averages!$B22+2):INDEX(neos_benchmark!AH:AH, (ROW()-2)*averages!$B22+averages!$B22+1)), "")</f>
        <v>0</v>
      </c>
      <c r="AI22">
        <f>IFERROR(_xlfn.STDEV.S(INDEX(neos_benchmark!AI:AI, (ROW()-2)*averages!$B22+2):INDEX(neos_benchmark!AI:AI, (ROW()-2)*averages!$B22+averages!$B22+1)), "")</f>
        <v>509710.143885675</v>
      </c>
      <c r="AJ22">
        <f>IFERROR(_xlfn.STDEV.S(INDEX(neos_benchmark!AJ:AJ, (ROW()-2)*averages!$B22+2):INDEX(neos_benchmark!AJ:AJ, (ROW()-2)*averages!$B22+averages!$B22+1)), "")</f>
        <v>579413.40928317804</v>
      </c>
      <c r="AK22" cm="1">
        <f t="array" ref="AK22">IFERROR(_xlfn.STDEV.S(INDEX(neos_benchmark!W:W, (ROW()-2)*averages!$B22+2):INDEX(neos_benchmark!W:W, (ROW()-2)*averages!$B22+averages!$B22+1) + INDEX(neos_benchmark!AA:AA, (ROW()-2)*averages!$B22+2):INDEX(neos_benchmark!AA:AA, (ROW()-2)*averages!$B22+averages!$B22+1)), "")</f>
        <v>1.1377117004955363E-2</v>
      </c>
      <c r="AL22" cm="1">
        <f t="array" ref="AL22">IFERROR(_xlfn.STDEV.S((INDEX(neos_benchmark!AJ:AJ, (ROW()-2)*averages!$B22+2):INDEX(neos_benchmark!AJ:AJ, (ROW()-2)*averages!$B22+averages!$B22+1) - INDEX(neos_benchmark!AI:AI, (ROW()-2)*averages!$B22+2):INDEX(neos_benchmark!AI:AI, (ROW()-2)*averages!$B22+averages!$B22+1)) / 1000), "")</f>
        <v>88.397966859726651</v>
      </c>
    </row>
    <row r="23" spans="1:38" x14ac:dyDescent="0.25">
      <c r="A23" t="str" cm="1">
        <f t="array" ref="A23">INDEX(neos_benchmark!A:A, (ROW()-2)*$B23+2)</f>
        <v>kinematic-car-snopt</v>
      </c>
      <c r="B23">
        <f>COUNTIF(neos_benchmark!A:A, neos_benchmark!A23)</f>
        <v>10</v>
      </c>
      <c r="C23" t="str" cm="1">
        <f t="array" ref="C23">INDEX(neos_benchmark!C:C, (ROW()-2)*$B23+2)</f>
        <v>SNOPT</v>
      </c>
      <c r="D23" t="str" cm="1">
        <f t="array" ref="D23">INDEX(neos_benchmark!D:D, (ROW()-2)*$B23+2)</f>
        <v>7.6.1</v>
      </c>
      <c r="E23" t="str" cm="1">
        <f t="array" ref="E23">INDEX(neos_benchmark!E:E, (ROW()-2)*$B23+2)</f>
        <v>infeasible</v>
      </c>
      <c r="F23">
        <f>IFERROR(_xlfn.STDEV.S(INDEX(neos_benchmark!F:F, (ROW()-2)*averages!$B23+2):INDEX(neos_benchmark!F:F, (ROW()-2)*averages!$B23+averages!$B23+1)), "")</f>
        <v>0</v>
      </c>
      <c r="G23">
        <f>IFERROR(_xlfn.STDEV.S(INDEX(neos_benchmark!G:G, (ROW()-2)*averages!$B23+2):INDEX(neos_benchmark!G:G, (ROW()-2)*averages!$B23+averages!$B23+1)), "")</f>
        <v>0</v>
      </c>
      <c r="H23" t="str">
        <f>IFERROR(_xlfn.STDEV.S(INDEX(neos_benchmark!H:H, (ROW()-2)*averages!$B23+2):INDEX(neos_benchmark!H:H, (ROW()-2)*averages!$B23+averages!$B23+1)), "")</f>
        <v/>
      </c>
      <c r="I23" t="str">
        <f>IFERROR(_xlfn.STDEV.S(INDEX(neos_benchmark!I:I, (ROW()-2)*averages!$B23+2):INDEX(neos_benchmark!I:I, (ROW()-2)*averages!$B23+averages!$B23+1)), "")</f>
        <v/>
      </c>
      <c r="J23" t="str">
        <f>IFERROR(_xlfn.STDEV.S(INDEX(neos_benchmark!J:J, (ROW()-2)*averages!$B23+2):INDEX(neos_benchmark!J:J, (ROW()-2)*averages!$B23+averages!$B23+1)), "")</f>
        <v/>
      </c>
      <c r="K23" t="str">
        <f>IFERROR(_xlfn.STDEV.S(INDEX(neos_benchmark!K:K, (ROW()-2)*averages!$B23+2):INDEX(neos_benchmark!K:K, (ROW()-2)*averages!$B23+averages!$B23+1)), "")</f>
        <v/>
      </c>
      <c r="L23" t="str">
        <f>IFERROR(_xlfn.STDEV.S(INDEX(neos_benchmark!L:L, (ROW()-2)*averages!$B23+2):INDEX(neos_benchmark!L:L, (ROW()-2)*averages!$B23+averages!$B23+1)), "")</f>
        <v/>
      </c>
      <c r="M23" t="str">
        <f>IFERROR(_xlfn.STDEV.S(INDEX(neos_benchmark!M:M, (ROW()-2)*averages!$B23+2):INDEX(neos_benchmark!M:M, (ROW()-2)*averages!$B23+averages!$B23+1)), "")</f>
        <v/>
      </c>
      <c r="N23" t="str">
        <f>IFERROR(_xlfn.STDEV.S(INDEX(neos_benchmark!N:N, (ROW()-2)*averages!$B23+2):INDEX(neos_benchmark!N:N, (ROW()-2)*averages!$B23+averages!$B23+1)), "")</f>
        <v/>
      </c>
      <c r="O23" t="str">
        <f>IFERROR(_xlfn.STDEV.S(INDEX(neos_benchmark!O:O, (ROW()-2)*averages!$B23+2):INDEX(neos_benchmark!O:O, (ROW()-2)*averages!$B23+averages!$B23+1)), "")</f>
        <v/>
      </c>
      <c r="P23" t="str">
        <f>IFERROR(_xlfn.STDEV.S(INDEX(neos_benchmark!P:P, (ROW()-2)*averages!$B23+2):INDEX(neos_benchmark!P:P, (ROW()-2)*averages!$B23+averages!$B23+1)), "")</f>
        <v/>
      </c>
      <c r="Q23" t="str">
        <f>IFERROR(_xlfn.STDEV.S(INDEX(neos_benchmark!Q:Q, (ROW()-2)*averages!$B23+2):INDEX(neos_benchmark!Q:Q, (ROW()-2)*averages!$B23+averages!$B23+1)), "")</f>
        <v/>
      </c>
      <c r="R23" t="str">
        <f>IFERROR(_xlfn.STDEV.S(INDEX(neos_benchmark!R:R, (ROW()-2)*averages!$B23+2):INDEX(neos_benchmark!R:R, (ROW()-2)*averages!$B23+averages!$B23+1)), "")</f>
        <v/>
      </c>
      <c r="S23" t="str">
        <f>IFERROR(_xlfn.STDEV.S(INDEX(neos_benchmark!S:S, (ROW()-2)*averages!$B23+2):INDEX(neos_benchmark!S:S, (ROW()-2)*averages!$B23+averages!$B23+1)), "")</f>
        <v/>
      </c>
      <c r="T23" t="str">
        <f>IFERROR(_xlfn.STDEV.S(INDEX(neos_benchmark!T:T, (ROW()-2)*averages!$B23+2):INDEX(neos_benchmark!T:T, (ROW()-2)*averages!$B23+averages!$B23+1)), "")</f>
        <v/>
      </c>
      <c r="U23" t="str">
        <f>IFERROR(_xlfn.STDEV.S(INDEX(neos_benchmark!U:U, (ROW()-2)*averages!$B23+2):INDEX(neos_benchmark!U:U, (ROW()-2)*averages!$B23+averages!$B23+1)), "")</f>
        <v/>
      </c>
      <c r="V23" t="str">
        <f>IFERROR(_xlfn.STDEV.S(INDEX(neos_benchmark!V:V, (ROW()-2)*averages!$B23+2):INDEX(neos_benchmark!V:V, (ROW()-2)*averages!$B23+averages!$B23+1)), "")</f>
        <v/>
      </c>
      <c r="W23">
        <f>IFERROR(_xlfn.STDEV.S(INDEX(neos_benchmark!W:W, (ROW()-2)*averages!$B23+2):INDEX(neos_benchmark!W:W, (ROW()-2)*averages!$B23+averages!$B23+1)), "")</f>
        <v>2.1862453456147599E-2</v>
      </c>
      <c r="X23">
        <f>IFERROR(_xlfn.STDEV.S(INDEX(neos_benchmark!X:X, (ROW()-2)*averages!$B23+2):INDEX(neos_benchmark!X:X, (ROW()-2)*averages!$B23+averages!$B23+1)), "")</f>
        <v>6.084920013169179E-3</v>
      </c>
      <c r="Y23">
        <f>IFERROR(_xlfn.STDEV.S(INDEX(neos_benchmark!Y:Y, (ROW()-2)*averages!$B23+2):INDEX(neos_benchmark!Y:Y, (ROW()-2)*averages!$B23+averages!$B23+1)), "")</f>
        <v>1.8427722263541505E-2</v>
      </c>
      <c r="Z23">
        <f>IFERROR(_xlfn.STDEV.S(INDEX(neos_benchmark!Z:Z, (ROW()-2)*averages!$B23+2):INDEX(neos_benchmark!Z:Z, (ROW()-2)*averages!$B23+averages!$B23+1)), "")</f>
        <v>2.2612691362988564E-2</v>
      </c>
      <c r="AA23">
        <f>IFERROR(_xlfn.STDEV.S(INDEX(neos_benchmark!AA:AA, (ROW()-2)*averages!$B23+2):INDEX(neos_benchmark!AA:AA, (ROW()-2)*averages!$B23+averages!$B23+1)), "")</f>
        <v>5.5341743025596061E-3</v>
      </c>
      <c r="AB23">
        <f>IFERROR(_xlfn.STDEV.S(INDEX(neos_benchmark!AB:AB, (ROW()-2)*averages!$B23+2):INDEX(neos_benchmark!AB:AB, (ROW()-2)*averages!$B23+averages!$B23+1)), "")</f>
        <v>1.2208214402151072E-3</v>
      </c>
      <c r="AC23">
        <f>IFERROR(_xlfn.STDEV.S(INDEX(neos_benchmark!AC:AC, (ROW()-2)*averages!$B23+2):INDEX(neos_benchmark!AC:AC, (ROW()-2)*averages!$B23+averages!$B23+1)), "")</f>
        <v>1.2862630670969985E-3</v>
      </c>
      <c r="AD23">
        <f>IFERROR(_xlfn.STDEV.S(INDEX(neos_benchmark!AD:AD, (ROW()-2)*averages!$B23+2):INDEX(neos_benchmark!AD:AD, (ROW()-2)*averages!$B23+averages!$B23+1)), "")</f>
        <v>1.5519354797585282E-3</v>
      </c>
      <c r="AE23">
        <f>IFERROR(_xlfn.STDEV.S(INDEX(neos_benchmark!AE:AE, (ROW()-2)*averages!$B23+2):INDEX(neos_benchmark!AE:AE, (ROW()-2)*averages!$B23+averages!$B23+1)), "")</f>
        <v>0</v>
      </c>
      <c r="AF23">
        <f>IFERROR(_xlfn.STDEV.S(INDEX(neos_benchmark!AF:AF, (ROW()-2)*averages!$B23+2):INDEX(neos_benchmark!AF:AF, (ROW()-2)*averages!$B23+averages!$B23+1)), "")</f>
        <v>0</v>
      </c>
      <c r="AG23">
        <f>IFERROR(_xlfn.STDEV.S(INDEX(neos_benchmark!AG:AG, (ROW()-2)*averages!$B23+2):INDEX(neos_benchmark!AG:AG, (ROW()-2)*averages!$B23+averages!$B23+1)), "")</f>
        <v>0</v>
      </c>
      <c r="AH23">
        <f>IFERROR(_xlfn.STDEV.S(INDEX(neos_benchmark!AH:AH, (ROW()-2)*averages!$B23+2):INDEX(neos_benchmark!AH:AH, (ROW()-2)*averages!$B23+averages!$B23+1)), "")</f>
        <v>0</v>
      </c>
      <c r="AI23">
        <f>IFERROR(_xlfn.STDEV.S(INDEX(neos_benchmark!AI:AI, (ROW()-2)*averages!$B23+2):INDEX(neos_benchmark!AI:AI, (ROW()-2)*averages!$B23+averages!$B23+1)), "")</f>
        <v>292096.79472705995</v>
      </c>
      <c r="AJ23">
        <f>IFERROR(_xlfn.STDEV.S(INDEX(neos_benchmark!AJ:AJ, (ROW()-2)*averages!$B23+2):INDEX(neos_benchmark!AJ:AJ, (ROW()-2)*averages!$B23+averages!$B23+1)), "")</f>
        <v>292274.43907662464</v>
      </c>
      <c r="AK23" cm="1">
        <f t="array" ref="AK23">IFERROR(_xlfn.STDEV.S(INDEX(neos_benchmark!W:W, (ROW()-2)*averages!$B23+2):INDEX(neos_benchmark!W:W, (ROW()-2)*averages!$B23+averages!$B23+1) + INDEX(neos_benchmark!AA:AA, (ROW()-2)*averages!$B23+2):INDEX(neos_benchmark!AA:AA, (ROW()-2)*averages!$B23+averages!$B23+1)), "")</f>
        <v>2.4826733444235281E-2</v>
      </c>
      <c r="AL23" cm="1">
        <f t="array" ref="AL23">IFERROR(_xlfn.STDEV.S((INDEX(neos_benchmark!AJ:AJ, (ROW()-2)*averages!$B23+2):INDEX(neos_benchmark!AJ:AJ, (ROW()-2)*averages!$B23+averages!$B23+1) - INDEX(neos_benchmark!AI:AI, (ROW()-2)*averages!$B23+2):INDEX(neos_benchmark!AI:AI, (ROW()-2)*averages!$B23+averages!$B23+1)) / 1000), "")</f>
        <v>3.7266709958233668</v>
      </c>
    </row>
    <row r="24" spans="1:38" x14ac:dyDescent="0.25">
      <c r="A24" t="str" cm="1">
        <f t="array" ref="A24">INDEX(neos_benchmark!A:A, (ROW()-2)*$B24+2)</f>
        <v>moving-block</v>
      </c>
      <c r="B24">
        <f>COUNTIF(neos_benchmark!A:A, neos_benchmark!A24)</f>
        <v>10</v>
      </c>
      <c r="C24" t="str" cm="1">
        <f t="array" ref="C24">INDEX(neos_benchmark!C:C, (ROW()-2)*$B24+2)</f>
        <v>Ipopt</v>
      </c>
      <c r="D24" t="str" cm="1">
        <f t="array" ref="D24">INDEX(neos_benchmark!D:D, (ROW()-2)*$B24+2)</f>
        <v>3.14.12</v>
      </c>
      <c r="E24" t="str" cm="1">
        <f t="array" ref="E24">INDEX(neos_benchmark!E:E, (ROW()-2)*$B24+2)</f>
        <v>solved</v>
      </c>
      <c r="F24">
        <f>IFERROR(_xlfn.STDEV.S(INDEX(neos_benchmark!F:F, (ROW()-2)*averages!$B24+2):INDEX(neos_benchmark!F:F, (ROW()-2)*averages!$B24+averages!$B24+1)), "")</f>
        <v>0</v>
      </c>
      <c r="G24">
        <f>IFERROR(_xlfn.STDEV.S(INDEX(neos_benchmark!G:G, (ROW()-2)*averages!$B24+2):INDEX(neos_benchmark!G:G, (ROW()-2)*averages!$B24+averages!$B24+1)), "")</f>
        <v>1.8724445165742407E-15</v>
      </c>
      <c r="H24" t="str">
        <f>IFERROR(_xlfn.STDEV.S(INDEX(neos_benchmark!H:H, (ROW()-2)*averages!$B24+2):INDEX(neos_benchmark!H:H, (ROW()-2)*averages!$B24+averages!$B24+1)), "")</f>
        <v/>
      </c>
      <c r="I24">
        <f>IFERROR(_xlfn.STDEV.S(INDEX(neos_benchmark!I:I, (ROW()-2)*averages!$B24+2):INDEX(neos_benchmark!I:I, (ROW()-2)*averages!$B24+averages!$B24+1)), "")</f>
        <v>0</v>
      </c>
      <c r="J24">
        <f>IFERROR(_xlfn.STDEV.S(INDEX(neos_benchmark!J:J, (ROW()-2)*averages!$B24+2):INDEX(neos_benchmark!J:J, (ROW()-2)*averages!$B24+averages!$B24+1)), "")</f>
        <v>0</v>
      </c>
      <c r="K24">
        <f>IFERROR(_xlfn.STDEV.S(INDEX(neos_benchmark!K:K, (ROW()-2)*averages!$B24+2):INDEX(neos_benchmark!K:K, (ROW()-2)*averages!$B24+averages!$B24+1)), "")</f>
        <v>0</v>
      </c>
      <c r="L24">
        <f>IFERROR(_xlfn.STDEV.S(INDEX(neos_benchmark!L:L, (ROW()-2)*averages!$B24+2):INDEX(neos_benchmark!L:L, (ROW()-2)*averages!$B24+averages!$B24+1)), "")</f>
        <v>0</v>
      </c>
      <c r="M24">
        <f>IFERROR(_xlfn.STDEV.S(INDEX(neos_benchmark!M:M, (ROW()-2)*averages!$B24+2):INDEX(neos_benchmark!M:M, (ROW()-2)*averages!$B24+averages!$B24+1)), "")</f>
        <v>0</v>
      </c>
      <c r="N24">
        <f>IFERROR(_xlfn.STDEV.S(INDEX(neos_benchmark!N:N, (ROW()-2)*averages!$B24+2):INDEX(neos_benchmark!N:N, (ROW()-2)*averages!$B24+averages!$B24+1)), "")</f>
        <v>0</v>
      </c>
      <c r="O24">
        <f>IFERROR(_xlfn.STDEV.S(INDEX(neos_benchmark!O:O, (ROW()-2)*averages!$B24+2):INDEX(neos_benchmark!O:O, (ROW()-2)*averages!$B24+averages!$B24+1)), "")</f>
        <v>0</v>
      </c>
      <c r="P24">
        <f>IFERROR(_xlfn.STDEV.S(INDEX(neos_benchmark!P:P, (ROW()-2)*averages!$B24+2):INDEX(neos_benchmark!P:P, (ROW()-2)*averages!$B24+averages!$B24+1)), "")</f>
        <v>0</v>
      </c>
      <c r="Q24">
        <f>IFERROR(_xlfn.STDEV.S(INDEX(neos_benchmark!Q:Q, (ROW()-2)*averages!$B24+2):INDEX(neos_benchmark!Q:Q, (ROW()-2)*averages!$B24+averages!$B24+1)), "")</f>
        <v>0</v>
      </c>
      <c r="R24">
        <f>IFERROR(_xlfn.STDEV.S(INDEX(neos_benchmark!R:R, (ROW()-2)*averages!$B24+2):INDEX(neos_benchmark!R:R, (ROW()-2)*averages!$B24+averages!$B24+1)), "")</f>
        <v>1.8287822299126939E-3</v>
      </c>
      <c r="S24">
        <f>IFERROR(_xlfn.STDEV.S(INDEX(neos_benchmark!S:S, (ROW()-2)*averages!$B24+2):INDEX(neos_benchmark!S:S, (ROW()-2)*averages!$B24+averages!$B24+1)), "")</f>
        <v>0</v>
      </c>
      <c r="T24">
        <f>IFERROR(_xlfn.STDEV.S(INDEX(neos_benchmark!T:T, (ROW()-2)*averages!$B24+2):INDEX(neos_benchmark!T:T, (ROW()-2)*averages!$B24+averages!$B24+1)), "")</f>
        <v>0</v>
      </c>
      <c r="U24">
        <f>IFERROR(_xlfn.STDEV.S(INDEX(neos_benchmark!U:U, (ROW()-2)*averages!$B24+2):INDEX(neos_benchmark!U:U, (ROW()-2)*averages!$B24+averages!$B24+1)), "")</f>
        <v>0</v>
      </c>
      <c r="V24">
        <f>IFERROR(_xlfn.STDEV.S(INDEX(neos_benchmark!V:V, (ROW()-2)*averages!$B24+2):INDEX(neos_benchmark!V:V, (ROW()-2)*averages!$B24+averages!$B24+1)), "")</f>
        <v>0</v>
      </c>
      <c r="W24">
        <f>IFERROR(_xlfn.STDEV.S(INDEX(neos_benchmark!W:W, (ROW()-2)*averages!$B24+2):INDEX(neos_benchmark!W:W, (ROW()-2)*averages!$B24+averages!$B24+1)), "")</f>
        <v>2.3861486425712148E-3</v>
      </c>
      <c r="X24">
        <f>IFERROR(_xlfn.STDEV.S(INDEX(neos_benchmark!X:X, (ROW()-2)*averages!$B24+2):INDEX(neos_benchmark!X:X, (ROW()-2)*averages!$B24+averages!$B24+1)), "")</f>
        <v>1.7081235611044071E-3</v>
      </c>
      <c r="Y24">
        <f>IFERROR(_xlfn.STDEV.S(INDEX(neos_benchmark!Y:Y, (ROW()-2)*averages!$B24+2):INDEX(neos_benchmark!Y:Y, (ROW()-2)*averages!$B24+averages!$B24+1)), "")</f>
        <v>2.1997805951200376E-3</v>
      </c>
      <c r="Z24">
        <f>IFERROR(_xlfn.STDEV.S(INDEX(neos_benchmark!Z:Z, (ROW()-2)*averages!$B24+2):INDEX(neos_benchmark!Z:Z, (ROW()-2)*averages!$B24+averages!$B24+1)), "")</f>
        <v>2.8600839323348532E-3</v>
      </c>
      <c r="AA24">
        <f>IFERROR(_xlfn.STDEV.S(INDEX(neos_benchmark!AA:AA, (ROW()-2)*averages!$B24+2):INDEX(neos_benchmark!AA:AA, (ROW()-2)*averages!$B24+averages!$B24+1)), "")</f>
        <v>2.4688024897373483E-3</v>
      </c>
      <c r="AB24">
        <f>IFERROR(_xlfn.STDEV.S(INDEX(neos_benchmark!AB:AB, (ROW()-2)*averages!$B24+2):INDEX(neos_benchmark!AB:AB, (ROW()-2)*averages!$B24+averages!$B24+1)), "")</f>
        <v>1.2353633023887704E-3</v>
      </c>
      <c r="AC24">
        <f>IFERROR(_xlfn.STDEV.S(INDEX(neos_benchmark!AC:AC, (ROW()-2)*averages!$B24+2):INDEX(neos_benchmark!AC:AC, (ROW()-2)*averages!$B24+averages!$B24+1)), "")</f>
        <v>2.0605811720644895E-3</v>
      </c>
      <c r="AD24">
        <f>IFERROR(_xlfn.STDEV.S(INDEX(neos_benchmark!AD:AD, (ROW()-2)*averages!$B24+2):INDEX(neos_benchmark!AD:AD, (ROW()-2)*averages!$B24+averages!$B24+1)), "")</f>
        <v>2.4211201838084044E-3</v>
      </c>
      <c r="AE24">
        <f>IFERROR(_xlfn.STDEV.S(INDEX(neos_benchmark!AE:AE, (ROW()-2)*averages!$B24+2):INDEX(neos_benchmark!AE:AE, (ROW()-2)*averages!$B24+averages!$B24+1)), "")</f>
        <v>0</v>
      </c>
      <c r="AF24">
        <f>IFERROR(_xlfn.STDEV.S(INDEX(neos_benchmark!AF:AF, (ROW()-2)*averages!$B24+2):INDEX(neos_benchmark!AF:AF, (ROW()-2)*averages!$B24+averages!$B24+1)), "")</f>
        <v>0</v>
      </c>
      <c r="AG24">
        <f>IFERROR(_xlfn.STDEV.S(INDEX(neos_benchmark!AG:AG, (ROW()-2)*averages!$B24+2):INDEX(neos_benchmark!AG:AG, (ROW()-2)*averages!$B24+averages!$B24+1)), "")</f>
        <v>0</v>
      </c>
      <c r="AH24">
        <f>IFERROR(_xlfn.STDEV.S(INDEX(neos_benchmark!AH:AH, (ROW()-2)*averages!$B24+2):INDEX(neos_benchmark!AH:AH, (ROW()-2)*averages!$B24+averages!$B24+1)), "")</f>
        <v>0</v>
      </c>
      <c r="AI24">
        <f>IFERROR(_xlfn.STDEV.S(INDEX(neos_benchmark!AI:AI, (ROW()-2)*averages!$B24+2):INDEX(neos_benchmark!AI:AI, (ROW()-2)*averages!$B24+averages!$B24+1)), "")</f>
        <v>404602.36507230153</v>
      </c>
      <c r="AJ24">
        <f>IFERROR(_xlfn.STDEV.S(INDEX(neos_benchmark!AJ:AJ, (ROW()-2)*averages!$B24+2):INDEX(neos_benchmark!AJ:AJ, (ROW()-2)*averages!$B24+averages!$B24+1)), "")</f>
        <v>407272.70817678852</v>
      </c>
      <c r="AK24" cm="1">
        <f t="array" ref="AK24">IFERROR(_xlfn.STDEV.S(INDEX(neos_benchmark!W:W, (ROW()-2)*averages!$B24+2):INDEX(neos_benchmark!W:W, (ROW()-2)*averages!$B24+averages!$B24+1) + INDEX(neos_benchmark!AA:AA, (ROW()-2)*averages!$B24+2):INDEX(neos_benchmark!AA:AA, (ROW()-2)*averages!$B24+averages!$B24+1)), "")</f>
        <v>4.8182966388548567E-3</v>
      </c>
      <c r="AL24" cm="1">
        <f t="array" ref="AL24">IFERROR(_xlfn.STDEV.S((INDEX(neos_benchmark!AJ:AJ, (ROW()-2)*averages!$B24+2):INDEX(neos_benchmark!AJ:AJ, (ROW()-2)*averages!$B24+averages!$B24+1) - INDEX(neos_benchmark!AI:AI, (ROW()-2)*averages!$B24+2):INDEX(neos_benchmark!AI:AI, (ROW()-2)*averages!$B24+averages!$B24+1)) / 1000), "")</f>
        <v>4.9875327679235459</v>
      </c>
    </row>
    <row r="25" spans="1:38" x14ac:dyDescent="0.25">
      <c r="A25" t="str" cm="1">
        <f t="array" ref="A25">INDEX(neos_benchmark!A:A, (ROW()-2)*$B25+2)</f>
        <v>spot-col3</v>
      </c>
      <c r="B25">
        <f>COUNTIF(neos_benchmark!A:A, neos_benchmark!A25)</f>
        <v>10</v>
      </c>
      <c r="C25" t="str" cm="1">
        <f t="array" ref="C25">INDEX(neos_benchmark!C:C, (ROW()-2)*$B25+2)</f>
        <v>Ipopt</v>
      </c>
      <c r="D25" t="str" cm="1">
        <f t="array" ref="D25">INDEX(neos_benchmark!D:D, (ROW()-2)*$B25+2)</f>
        <v>3.14.12</v>
      </c>
      <c r="E25" t="str" cm="1">
        <f t="array" ref="E25">INDEX(neos_benchmark!E:E, (ROW()-2)*$B25+2)</f>
        <v>solved</v>
      </c>
      <c r="F25">
        <f>IFERROR(_xlfn.STDEV.S(INDEX(neos_benchmark!F:F, (ROW()-2)*averages!$B25+2):INDEX(neos_benchmark!F:F, (ROW()-2)*averages!$B25+averages!$B25+1)), "")</f>
        <v>0</v>
      </c>
      <c r="G25">
        <f>IFERROR(_xlfn.STDEV.S(INDEX(neos_benchmark!G:G, (ROW()-2)*averages!$B25+2):INDEX(neos_benchmark!G:G, (ROW()-2)*averages!$B25+averages!$B25+1)), "")</f>
        <v>7.7783258722752914E-12</v>
      </c>
      <c r="H25">
        <f>IFERROR(_xlfn.STDEV.S(INDEX(neos_benchmark!H:H, (ROW()-2)*averages!$B25+2):INDEX(neos_benchmark!H:H, (ROW()-2)*averages!$B25+averages!$B25+1)), "")</f>
        <v>1.9445814680688228E-12</v>
      </c>
      <c r="I25">
        <f>IFERROR(_xlfn.STDEV.S(INDEX(neos_benchmark!I:I, (ROW()-2)*averages!$B25+2):INDEX(neos_benchmark!I:I, (ROW()-2)*averages!$B25+averages!$B25+1)), "")</f>
        <v>0</v>
      </c>
      <c r="J25">
        <f>IFERROR(_xlfn.STDEV.S(INDEX(neos_benchmark!J:J, (ROW()-2)*averages!$B25+2):INDEX(neos_benchmark!J:J, (ROW()-2)*averages!$B25+averages!$B25+1)), "")</f>
        <v>0</v>
      </c>
      <c r="K25">
        <f>IFERROR(_xlfn.STDEV.S(INDEX(neos_benchmark!K:K, (ROW()-2)*averages!$B25+2):INDEX(neos_benchmark!K:K, (ROW()-2)*averages!$B25+averages!$B25+1)), "")</f>
        <v>0</v>
      </c>
      <c r="L25">
        <f>IFERROR(_xlfn.STDEV.S(INDEX(neos_benchmark!L:L, (ROW()-2)*averages!$B25+2):INDEX(neos_benchmark!L:L, (ROW()-2)*averages!$B25+averages!$B25+1)), "")</f>
        <v>0</v>
      </c>
      <c r="M25">
        <f>IFERROR(_xlfn.STDEV.S(INDEX(neos_benchmark!M:M, (ROW()-2)*averages!$B25+2):INDEX(neos_benchmark!M:M, (ROW()-2)*averages!$B25+averages!$B25+1)), "")</f>
        <v>0</v>
      </c>
      <c r="N25">
        <f>IFERROR(_xlfn.STDEV.S(INDEX(neos_benchmark!N:N, (ROW()-2)*averages!$B25+2):INDEX(neos_benchmark!N:N, (ROW()-2)*averages!$B25+averages!$B25+1)), "")</f>
        <v>0</v>
      </c>
      <c r="O25">
        <f>IFERROR(_xlfn.STDEV.S(INDEX(neos_benchmark!O:O, (ROW()-2)*averages!$B25+2):INDEX(neos_benchmark!O:O, (ROW()-2)*averages!$B25+averages!$B25+1)), "")</f>
        <v>0</v>
      </c>
      <c r="P25">
        <f>IFERROR(_xlfn.STDEV.S(INDEX(neos_benchmark!P:P, (ROW()-2)*averages!$B25+2):INDEX(neos_benchmark!P:P, (ROW()-2)*averages!$B25+averages!$B25+1)), "")</f>
        <v>0</v>
      </c>
      <c r="Q25">
        <f>IFERROR(_xlfn.STDEV.S(INDEX(neos_benchmark!Q:Q, (ROW()-2)*averages!$B25+2):INDEX(neos_benchmark!Q:Q, (ROW()-2)*averages!$B25+averages!$B25+1)), "")</f>
        <v>0</v>
      </c>
      <c r="R25">
        <f>IFERROR(_xlfn.STDEV.S(INDEX(neos_benchmark!R:R, (ROW()-2)*averages!$B25+2):INDEX(neos_benchmark!R:R, (ROW()-2)*averages!$B25+averages!$B25+1)), "")</f>
        <v>1.5449473812121515</v>
      </c>
      <c r="S25">
        <f>IFERROR(_xlfn.STDEV.S(INDEX(neos_benchmark!S:S, (ROW()-2)*averages!$B25+2):INDEX(neos_benchmark!S:S, (ROW()-2)*averages!$B25+averages!$B25+1)), "")</f>
        <v>19.658250981276467</v>
      </c>
      <c r="T25">
        <f>IFERROR(_xlfn.STDEV.S(INDEX(neos_benchmark!T:T, (ROW()-2)*averages!$B25+2):INDEX(neos_benchmark!T:T, (ROW()-2)*averages!$B25+averages!$B25+1)), "")</f>
        <v>0</v>
      </c>
      <c r="U25">
        <f>IFERROR(_xlfn.STDEV.S(INDEX(neos_benchmark!U:U, (ROW()-2)*averages!$B25+2):INDEX(neos_benchmark!U:U, (ROW()-2)*averages!$B25+averages!$B25+1)), "")</f>
        <v>0</v>
      </c>
      <c r="V25">
        <f>IFERROR(_xlfn.STDEV.S(INDEX(neos_benchmark!V:V, (ROW()-2)*averages!$B25+2):INDEX(neos_benchmark!V:V, (ROW()-2)*averages!$B25+averages!$B25+1)), "")</f>
        <v>0</v>
      </c>
      <c r="W25">
        <f>IFERROR(_xlfn.STDEV.S(INDEX(neos_benchmark!W:W, (ROW()-2)*averages!$B25+2):INDEX(neos_benchmark!W:W, (ROW()-2)*averages!$B25+averages!$B25+1)), "")</f>
        <v>1.2991951859737148</v>
      </c>
      <c r="X25">
        <f>IFERROR(_xlfn.STDEV.S(INDEX(neos_benchmark!X:X, (ROW()-2)*averages!$B25+2):INDEX(neos_benchmark!X:X, (ROW()-2)*averages!$B25+averages!$B25+1)), "")</f>
        <v>0.18715733564265424</v>
      </c>
      <c r="Y25">
        <f>IFERROR(_xlfn.STDEV.S(INDEX(neos_benchmark!Y:Y, (ROW()-2)*averages!$B25+2):INDEX(neos_benchmark!Y:Y, (ROW()-2)*averages!$B25+averages!$B25+1)), "")</f>
        <v>1.1615649096667493</v>
      </c>
      <c r="Z25">
        <f>IFERROR(_xlfn.STDEV.S(INDEX(neos_benchmark!Z:Z, (ROW()-2)*averages!$B25+2):INDEX(neos_benchmark!Z:Z, (ROW()-2)*averages!$B25+averages!$B25+1)), "")</f>
        <v>1.2999880490047839</v>
      </c>
      <c r="AA25">
        <f>IFERROR(_xlfn.STDEV.S(INDEX(neos_benchmark!AA:AA, (ROW()-2)*averages!$B25+2):INDEX(neos_benchmark!AA:AA, (ROW()-2)*averages!$B25+averages!$B25+1)), "")</f>
        <v>21.267789553393879</v>
      </c>
      <c r="AB25">
        <f>IFERROR(_xlfn.STDEV.S(INDEX(neos_benchmark!AB:AB, (ROW()-2)*averages!$B25+2):INDEX(neos_benchmark!AB:AB, (ROW()-2)*averages!$B25+averages!$B25+1)), "")</f>
        <v>9.8620674544655507E-2</v>
      </c>
      <c r="AC25">
        <f>IFERROR(_xlfn.STDEV.S(INDEX(neos_benchmark!AC:AC, (ROW()-2)*averages!$B25+2):INDEX(neos_benchmark!AC:AC, (ROW()-2)*averages!$B25+averages!$B25+1)), "")</f>
        <v>21.257764903303588</v>
      </c>
      <c r="AD25">
        <f>IFERROR(_xlfn.STDEV.S(INDEX(neos_benchmark!AD:AD, (ROW()-2)*averages!$B25+2):INDEX(neos_benchmark!AD:AD, (ROW()-2)*averages!$B25+averages!$B25+1)), "")</f>
        <v>21.266917532859097</v>
      </c>
      <c r="AE25">
        <f>IFERROR(_xlfn.STDEV.S(INDEX(neos_benchmark!AE:AE, (ROW()-2)*averages!$B25+2):INDEX(neos_benchmark!AE:AE, (ROW()-2)*averages!$B25+averages!$B25+1)), "")</f>
        <v>0</v>
      </c>
      <c r="AF25">
        <f>IFERROR(_xlfn.STDEV.S(INDEX(neos_benchmark!AF:AF, (ROW()-2)*averages!$B25+2):INDEX(neos_benchmark!AF:AF, (ROW()-2)*averages!$B25+averages!$B25+1)), "")</f>
        <v>0</v>
      </c>
      <c r="AG25">
        <f>IFERROR(_xlfn.STDEV.S(INDEX(neos_benchmark!AG:AG, (ROW()-2)*averages!$B25+2):INDEX(neos_benchmark!AG:AG, (ROW()-2)*averages!$B25+averages!$B25+1)), "")</f>
        <v>0</v>
      </c>
      <c r="AH25">
        <f>IFERROR(_xlfn.STDEV.S(INDEX(neos_benchmark!AH:AH, (ROW()-2)*averages!$B25+2):INDEX(neos_benchmark!AH:AH, (ROW()-2)*averages!$B25+averages!$B25+1)), "")</f>
        <v>0</v>
      </c>
      <c r="AI25">
        <f>IFERROR(_xlfn.STDEV.S(INDEX(neos_benchmark!AI:AI, (ROW()-2)*averages!$B25+2):INDEX(neos_benchmark!AI:AI, (ROW()-2)*averages!$B25+averages!$B25+1)), "")</f>
        <v>474570.77614981035</v>
      </c>
      <c r="AJ25">
        <f>IFERROR(_xlfn.STDEV.S(INDEX(neos_benchmark!AJ:AJ, (ROW()-2)*averages!$B25+2):INDEX(neos_benchmark!AJ:AJ, (ROW()-2)*averages!$B25+averages!$B25+1)), "")</f>
        <v>488756.38740314974</v>
      </c>
      <c r="AK25" cm="1">
        <f t="array" ref="AK25">IFERROR(_xlfn.STDEV.S(INDEX(neos_benchmark!W:W, (ROW()-2)*averages!$B25+2):INDEX(neos_benchmark!W:W, (ROW()-2)*averages!$B25+averages!$B25+1) + INDEX(neos_benchmark!AA:AA, (ROW()-2)*averages!$B25+2):INDEX(neos_benchmark!AA:AA, (ROW()-2)*averages!$B25+averages!$B25+1)), "")</f>
        <v>123.33027948162439</v>
      </c>
      <c r="AL25" cm="1">
        <f t="array" ref="AL25">IFERROR(_xlfn.STDEV.S((INDEX(neos_benchmark!AJ:AJ, (ROW()-2)*averages!$B25+2):INDEX(neos_benchmark!AJ:AJ, (ROW()-2)*averages!$B25+averages!$B25+1) - INDEX(neos_benchmark!AI:AI, (ROW()-2)*averages!$B25+2):INDEX(neos_benchmark!AI:AI, (ROW()-2)*averages!$B25+averages!$B25+1)) / 1000), "")</f>
        <v>91.31606262019605</v>
      </c>
    </row>
    <row r="26" spans="1:38" x14ac:dyDescent="0.25">
      <c r="A26" t="str" cm="1">
        <f t="array" ref="A26">INDEX(neos_benchmark!A:A, (ROW()-2)*$B26+2)</f>
        <v>spot-rk1</v>
      </c>
      <c r="B26">
        <f>COUNTIF(neos_benchmark!A:A, neos_benchmark!A26)</f>
        <v>10</v>
      </c>
      <c r="C26" t="str" cm="1">
        <f t="array" ref="C26">INDEX(neos_benchmark!C:C, (ROW()-2)*$B26+2)</f>
        <v>Ipopt</v>
      </c>
      <c r="D26" t="str" cm="1">
        <f t="array" ref="D26">INDEX(neos_benchmark!D:D, (ROW()-2)*$B26+2)</f>
        <v>3.14.12</v>
      </c>
      <c r="E26" t="str" cm="1">
        <f t="array" ref="E26">INDEX(neos_benchmark!E:E, (ROW()-2)*$B26+2)</f>
        <v>solved</v>
      </c>
      <c r="F26">
        <f>IFERROR(_xlfn.STDEV.S(INDEX(neos_benchmark!F:F, (ROW()-2)*averages!$B26+2):INDEX(neos_benchmark!F:F, (ROW()-2)*averages!$B26+averages!$B26+1)), "")</f>
        <v>0</v>
      </c>
      <c r="G26">
        <f>IFERROR(_xlfn.STDEV.S(INDEX(neos_benchmark!G:G, (ROW()-2)*averages!$B26+2):INDEX(neos_benchmark!G:G, (ROW()-2)*averages!$B26+averages!$B26+1)), "")</f>
        <v>0</v>
      </c>
      <c r="H26">
        <f>IFERROR(_xlfn.STDEV.S(INDEX(neos_benchmark!H:H, (ROW()-2)*averages!$B26+2):INDEX(neos_benchmark!H:H, (ROW()-2)*averages!$B26+averages!$B26+1)), "")</f>
        <v>0</v>
      </c>
      <c r="I26">
        <f>IFERROR(_xlfn.STDEV.S(INDEX(neos_benchmark!I:I, (ROW()-2)*averages!$B26+2):INDEX(neos_benchmark!I:I, (ROW()-2)*averages!$B26+averages!$B26+1)), "")</f>
        <v>0</v>
      </c>
      <c r="J26">
        <f>IFERROR(_xlfn.STDEV.S(INDEX(neos_benchmark!J:J, (ROW()-2)*averages!$B26+2):INDEX(neos_benchmark!J:J, (ROW()-2)*averages!$B26+averages!$B26+1)), "")</f>
        <v>0</v>
      </c>
      <c r="K26">
        <f>IFERROR(_xlfn.STDEV.S(INDEX(neos_benchmark!K:K, (ROW()-2)*averages!$B26+2):INDEX(neos_benchmark!K:K, (ROW()-2)*averages!$B26+averages!$B26+1)), "")</f>
        <v>0</v>
      </c>
      <c r="L26">
        <f>IFERROR(_xlfn.STDEV.S(INDEX(neos_benchmark!L:L, (ROW()-2)*averages!$B26+2):INDEX(neos_benchmark!L:L, (ROW()-2)*averages!$B26+averages!$B26+1)), "")</f>
        <v>0</v>
      </c>
      <c r="M26">
        <f>IFERROR(_xlfn.STDEV.S(INDEX(neos_benchmark!M:M, (ROW()-2)*averages!$B26+2):INDEX(neos_benchmark!M:M, (ROW()-2)*averages!$B26+averages!$B26+1)), "")</f>
        <v>0</v>
      </c>
      <c r="N26">
        <f>IFERROR(_xlfn.STDEV.S(INDEX(neos_benchmark!N:N, (ROW()-2)*averages!$B26+2):INDEX(neos_benchmark!N:N, (ROW()-2)*averages!$B26+averages!$B26+1)), "")</f>
        <v>0</v>
      </c>
      <c r="O26">
        <f>IFERROR(_xlfn.STDEV.S(INDEX(neos_benchmark!O:O, (ROW()-2)*averages!$B26+2):INDEX(neos_benchmark!O:O, (ROW()-2)*averages!$B26+averages!$B26+1)), "")</f>
        <v>0</v>
      </c>
      <c r="P26">
        <f>IFERROR(_xlfn.STDEV.S(INDEX(neos_benchmark!P:P, (ROW()-2)*averages!$B26+2):INDEX(neos_benchmark!P:P, (ROW()-2)*averages!$B26+averages!$B26+1)), "")</f>
        <v>0</v>
      </c>
      <c r="Q26">
        <f>IFERROR(_xlfn.STDEV.S(INDEX(neos_benchmark!Q:Q, (ROW()-2)*averages!$B26+2):INDEX(neos_benchmark!Q:Q, (ROW()-2)*averages!$B26+averages!$B26+1)), "")</f>
        <v>0</v>
      </c>
      <c r="R26">
        <f>IFERROR(_xlfn.STDEV.S(INDEX(neos_benchmark!R:R, (ROW()-2)*averages!$B26+2):INDEX(neos_benchmark!R:R, (ROW()-2)*averages!$B26+averages!$B26+1)), "")</f>
        <v>8.484398694728549</v>
      </c>
      <c r="S26">
        <f>IFERROR(_xlfn.STDEV.S(INDEX(neos_benchmark!S:S, (ROW()-2)*averages!$B26+2):INDEX(neos_benchmark!S:S, (ROW()-2)*averages!$B26+averages!$B26+1)), "")</f>
        <v>50.666399464646162</v>
      </c>
      <c r="T26">
        <f>IFERROR(_xlfn.STDEV.S(INDEX(neos_benchmark!T:T, (ROW()-2)*averages!$B26+2):INDEX(neos_benchmark!T:T, (ROW()-2)*averages!$B26+averages!$B26+1)), "")</f>
        <v>0</v>
      </c>
      <c r="U26">
        <f>IFERROR(_xlfn.STDEV.S(INDEX(neos_benchmark!U:U, (ROW()-2)*averages!$B26+2):INDEX(neos_benchmark!U:U, (ROW()-2)*averages!$B26+averages!$B26+1)), "")</f>
        <v>0</v>
      </c>
      <c r="V26">
        <f>IFERROR(_xlfn.STDEV.S(INDEX(neos_benchmark!V:V, (ROW()-2)*averages!$B26+2):INDEX(neos_benchmark!V:V, (ROW()-2)*averages!$B26+averages!$B26+1)), "")</f>
        <v>0</v>
      </c>
      <c r="W26">
        <f>IFERROR(_xlfn.STDEV.S(INDEX(neos_benchmark!W:W, (ROW()-2)*averages!$B26+2):INDEX(neos_benchmark!W:W, (ROW()-2)*averages!$B26+averages!$B26+1)), "")</f>
        <v>0.72207486820927758</v>
      </c>
      <c r="X26">
        <f>IFERROR(_xlfn.STDEV.S(INDEX(neos_benchmark!X:X, (ROW()-2)*averages!$B26+2):INDEX(neos_benchmark!X:X, (ROW()-2)*averages!$B26+averages!$B26+1)), "")</f>
        <v>7.300134654922466E-2</v>
      </c>
      <c r="Y26">
        <f>IFERROR(_xlfn.STDEV.S(INDEX(neos_benchmark!Y:Y, (ROW()-2)*averages!$B26+2):INDEX(neos_benchmark!Y:Y, (ROW()-2)*averages!$B26+averages!$B26+1)), "")</f>
        <v>0.51303383910798506</v>
      </c>
      <c r="Z26">
        <f>IFERROR(_xlfn.STDEV.S(INDEX(neos_benchmark!Z:Z, (ROW()-2)*averages!$B26+2):INDEX(neos_benchmark!Z:Z, (ROW()-2)*averages!$B26+averages!$B26+1)), "")</f>
        <v>0.58090456418157788</v>
      </c>
      <c r="AA26">
        <f>IFERROR(_xlfn.STDEV.S(INDEX(neos_benchmark!AA:AA, (ROW()-2)*averages!$B26+2):INDEX(neos_benchmark!AA:AA, (ROW()-2)*averages!$B26+averages!$B26+1)), "")</f>
        <v>59.195593836005017</v>
      </c>
      <c r="AB26">
        <f>IFERROR(_xlfn.STDEV.S(INDEX(neos_benchmark!AB:AB, (ROW()-2)*averages!$B26+2):INDEX(neos_benchmark!AB:AB, (ROW()-2)*averages!$B26+averages!$B26+1)), "")</f>
        <v>0.52529593801235264</v>
      </c>
      <c r="AC26">
        <f>IFERROR(_xlfn.STDEV.S(INDEX(neos_benchmark!AC:AC, (ROW()-2)*averages!$B26+2):INDEX(neos_benchmark!AC:AC, (ROW()-2)*averages!$B26+averages!$B26+1)), "")</f>
        <v>55.576762725435678</v>
      </c>
      <c r="AD26">
        <f>IFERROR(_xlfn.STDEV.S(INDEX(neos_benchmark!AD:AD, (ROW()-2)*averages!$B26+2):INDEX(neos_benchmark!AD:AD, (ROW()-2)*averages!$B26+averages!$B26+1)), "")</f>
        <v>56.024616866572622</v>
      </c>
      <c r="AE26">
        <f>IFERROR(_xlfn.STDEV.S(INDEX(neos_benchmark!AE:AE, (ROW()-2)*averages!$B26+2):INDEX(neos_benchmark!AE:AE, (ROW()-2)*averages!$B26+averages!$B26+1)), "")</f>
        <v>0</v>
      </c>
      <c r="AF26">
        <f>IFERROR(_xlfn.STDEV.S(INDEX(neos_benchmark!AF:AF, (ROW()-2)*averages!$B26+2):INDEX(neos_benchmark!AF:AF, (ROW()-2)*averages!$B26+averages!$B26+1)), "")</f>
        <v>0</v>
      </c>
      <c r="AG26">
        <f>IFERROR(_xlfn.STDEV.S(INDEX(neos_benchmark!AG:AG, (ROW()-2)*averages!$B26+2):INDEX(neos_benchmark!AG:AG, (ROW()-2)*averages!$B26+averages!$B26+1)), "")</f>
        <v>0</v>
      </c>
      <c r="AH26">
        <f>IFERROR(_xlfn.STDEV.S(INDEX(neos_benchmark!AH:AH, (ROW()-2)*averages!$B26+2):INDEX(neos_benchmark!AH:AH, (ROW()-2)*averages!$B26+averages!$B26+1)), "")</f>
        <v>0</v>
      </c>
      <c r="AI26">
        <f>IFERROR(_xlfn.STDEV.S(INDEX(neos_benchmark!AI:AI, (ROW()-2)*averages!$B26+2):INDEX(neos_benchmark!AI:AI, (ROW()-2)*averages!$B26+averages!$B26+1)), "")</f>
        <v>410321.41820101091</v>
      </c>
      <c r="AJ26">
        <f>IFERROR(_xlfn.STDEV.S(INDEX(neos_benchmark!AJ:AJ, (ROW()-2)*averages!$B26+2):INDEX(neos_benchmark!AJ:AJ, (ROW()-2)*averages!$B26+averages!$B26+1)), "")</f>
        <v>419974.41884323279</v>
      </c>
      <c r="AK26" cm="1">
        <f t="array" ref="AK26">IFERROR(_xlfn.STDEV.S(INDEX(neos_benchmark!W:W, (ROW()-2)*averages!$B26+2):INDEX(neos_benchmark!W:W, (ROW()-2)*averages!$B26+averages!$B26+1) + INDEX(neos_benchmark!AA:AA, (ROW()-2)*averages!$B26+2):INDEX(neos_benchmark!AA:AA, (ROW()-2)*averages!$B26+averages!$B26+1)), "")</f>
        <v>59.846957481018094</v>
      </c>
      <c r="AL26" cm="1">
        <f t="array" ref="AL26">IFERROR(_xlfn.STDEV.S((INDEX(neos_benchmark!AJ:AJ, (ROW()-2)*averages!$B26+2):INDEX(neos_benchmark!AJ:AJ, (ROW()-2)*averages!$B26+averages!$B26+1) - INDEX(neos_benchmark!AI:AI, (ROW()-2)*averages!$B26+2):INDEX(neos_benchmark!AI:AI, (ROW()-2)*averages!$B26+averages!$B26+1)) / 1000), "")</f>
        <v>96.308084505230411</v>
      </c>
    </row>
    <row r="27" spans="1:38" x14ac:dyDescent="0.25">
      <c r="A27" t="str" cm="1">
        <f t="array" ref="A27">INDEX(neos_benchmark!A:A, (ROW()-2)*$B27+2)</f>
        <v>spot-rk4</v>
      </c>
      <c r="B27">
        <f>COUNTIF(neos_benchmark!A:A, neos_benchmark!A27)</f>
        <v>10</v>
      </c>
      <c r="C27" t="str" cm="1">
        <f t="array" ref="C27">INDEX(neos_benchmark!C:C, (ROW()-2)*$B27+2)</f>
        <v/>
      </c>
      <c r="D27" t="str" cm="1">
        <f t="array" ref="D27">INDEX(neos_benchmark!D:D, (ROW()-2)*$B27+2)</f>
        <v/>
      </c>
      <c r="E27" t="str" cm="1">
        <f t="array" ref="E27">INDEX(neos_benchmark!E:E, (ROW()-2)*$B27+2)</f>
        <v/>
      </c>
      <c r="F27">
        <f>IFERROR(_xlfn.STDEV.S(INDEX(neos_benchmark!F:F, (ROW()-2)*averages!$B27+2):INDEX(neos_benchmark!F:F, (ROW()-2)*averages!$B27+averages!$B27+1)), "")</f>
        <v>0</v>
      </c>
      <c r="G27">
        <f>IFERROR(_xlfn.STDEV.S(INDEX(neos_benchmark!G:G, (ROW()-2)*averages!$B27+2):INDEX(neos_benchmark!G:G, (ROW()-2)*averages!$B27+averages!$B27+1)), "")</f>
        <v>0</v>
      </c>
      <c r="H27">
        <f>IFERROR(_xlfn.STDEV.S(INDEX(neos_benchmark!H:H, (ROW()-2)*averages!$B27+2):INDEX(neos_benchmark!H:H, (ROW()-2)*averages!$B27+averages!$B27+1)), "")</f>
        <v>0</v>
      </c>
      <c r="I27">
        <f>IFERROR(_xlfn.STDEV.S(INDEX(neos_benchmark!I:I, (ROW()-2)*averages!$B27+2):INDEX(neos_benchmark!I:I, (ROW()-2)*averages!$B27+averages!$B27+1)), "")</f>
        <v>0</v>
      </c>
      <c r="J27">
        <f>IFERROR(_xlfn.STDEV.S(INDEX(neos_benchmark!J:J, (ROW()-2)*averages!$B27+2):INDEX(neos_benchmark!J:J, (ROW()-2)*averages!$B27+averages!$B27+1)), "")</f>
        <v>0</v>
      </c>
      <c r="K27">
        <f>IFERROR(_xlfn.STDEV.S(INDEX(neos_benchmark!K:K, (ROW()-2)*averages!$B27+2):INDEX(neos_benchmark!K:K, (ROW()-2)*averages!$B27+averages!$B27+1)), "")</f>
        <v>0</v>
      </c>
      <c r="L27">
        <f>IFERROR(_xlfn.STDEV.S(INDEX(neos_benchmark!L:L, (ROW()-2)*averages!$B27+2):INDEX(neos_benchmark!L:L, (ROW()-2)*averages!$B27+averages!$B27+1)), "")</f>
        <v>0</v>
      </c>
      <c r="M27">
        <f>IFERROR(_xlfn.STDEV.S(INDEX(neos_benchmark!M:M, (ROW()-2)*averages!$B27+2):INDEX(neos_benchmark!M:M, (ROW()-2)*averages!$B27+averages!$B27+1)), "")</f>
        <v>0</v>
      </c>
      <c r="N27">
        <f>IFERROR(_xlfn.STDEV.S(INDEX(neos_benchmark!N:N, (ROW()-2)*averages!$B27+2):INDEX(neos_benchmark!N:N, (ROW()-2)*averages!$B27+averages!$B27+1)), "")</f>
        <v>0</v>
      </c>
      <c r="O27">
        <f>IFERROR(_xlfn.STDEV.S(INDEX(neos_benchmark!O:O, (ROW()-2)*averages!$B27+2):INDEX(neos_benchmark!O:O, (ROW()-2)*averages!$B27+averages!$B27+1)), "")</f>
        <v>0</v>
      </c>
      <c r="P27">
        <f>IFERROR(_xlfn.STDEV.S(INDEX(neos_benchmark!P:P, (ROW()-2)*averages!$B27+2):INDEX(neos_benchmark!P:P, (ROW()-2)*averages!$B27+averages!$B27+1)), "")</f>
        <v>0</v>
      </c>
      <c r="Q27">
        <f>IFERROR(_xlfn.STDEV.S(INDEX(neos_benchmark!Q:Q, (ROW()-2)*averages!$B27+2):INDEX(neos_benchmark!Q:Q, (ROW()-2)*averages!$B27+averages!$B27+1)), "")</f>
        <v>0</v>
      </c>
      <c r="R27">
        <f>IFERROR(_xlfn.STDEV.S(INDEX(neos_benchmark!R:R, (ROW()-2)*averages!$B27+2):INDEX(neos_benchmark!R:R, (ROW()-2)*averages!$B27+averages!$B27+1)), "")</f>
        <v>1.1662357180261631</v>
      </c>
      <c r="S27">
        <f>IFERROR(_xlfn.STDEV.S(INDEX(neos_benchmark!S:S, (ROW()-2)*averages!$B27+2):INDEX(neos_benchmark!S:S, (ROW()-2)*averages!$B27+averages!$B27+1)), "")</f>
        <v>13.77709734890159</v>
      </c>
      <c r="T27">
        <f>IFERROR(_xlfn.STDEV.S(INDEX(neos_benchmark!T:T, (ROW()-2)*averages!$B27+2):INDEX(neos_benchmark!T:T, (ROW()-2)*averages!$B27+averages!$B27+1)), "")</f>
        <v>0</v>
      </c>
      <c r="U27">
        <f>IFERROR(_xlfn.STDEV.S(INDEX(neos_benchmark!U:U, (ROW()-2)*averages!$B27+2):INDEX(neos_benchmark!U:U, (ROW()-2)*averages!$B27+averages!$B27+1)), "")</f>
        <v>0</v>
      </c>
      <c r="V27">
        <f>IFERROR(_xlfn.STDEV.S(INDEX(neos_benchmark!V:V, (ROW()-2)*averages!$B27+2):INDEX(neos_benchmark!V:V, (ROW()-2)*averages!$B27+averages!$B27+1)), "")</f>
        <v>0</v>
      </c>
      <c r="W27">
        <f>IFERROR(_xlfn.STDEV.S(INDEX(neos_benchmark!W:W, (ROW()-2)*averages!$B27+2):INDEX(neos_benchmark!W:W, (ROW()-2)*averages!$B27+averages!$B27+1)), "")</f>
        <v>0.7208222475976741</v>
      </c>
      <c r="X27">
        <f>IFERROR(_xlfn.STDEV.S(INDEX(neos_benchmark!X:X, (ROW()-2)*averages!$B27+2):INDEX(neos_benchmark!X:X, (ROW()-2)*averages!$B27+averages!$B27+1)), "")</f>
        <v>0.22562639008879248</v>
      </c>
      <c r="Y27">
        <f>IFERROR(_xlfn.STDEV.S(INDEX(neos_benchmark!Y:Y, (ROW()-2)*averages!$B27+2):INDEX(neos_benchmark!Y:Y, (ROW()-2)*averages!$B27+averages!$B27+1)), "")</f>
        <v>0.68850152806257425</v>
      </c>
      <c r="Z27">
        <f>IFERROR(_xlfn.STDEV.S(INDEX(neos_benchmark!Z:Z, (ROW()-2)*averages!$B27+2):INDEX(neos_benchmark!Z:Z, (ROW()-2)*averages!$B27+averages!$B27+1)), "")</f>
        <v>0.72098344112902502</v>
      </c>
      <c r="AA27">
        <f>IFERROR(_xlfn.STDEV.S(INDEX(neos_benchmark!AA:AA, (ROW()-2)*averages!$B27+2):INDEX(neos_benchmark!AA:AA, (ROW()-2)*averages!$B27+averages!$B27+1)), "")</f>
        <v>14.915762782451392</v>
      </c>
      <c r="AB27">
        <f>IFERROR(_xlfn.STDEV.S(INDEX(neos_benchmark!AB:AB, (ROW()-2)*averages!$B27+2):INDEX(neos_benchmark!AB:AB, (ROW()-2)*averages!$B27+averages!$B27+1)), "")</f>
        <v>0.2428508517611398</v>
      </c>
      <c r="AC27">
        <f>IFERROR(_xlfn.STDEV.S(INDEX(neos_benchmark!AC:AC, (ROW()-2)*averages!$B27+2):INDEX(neos_benchmark!AC:AC, (ROW()-2)*averages!$B27+averages!$B27+1)), "")</f>
        <v>14.799336946002301</v>
      </c>
      <c r="AD27">
        <f>IFERROR(_xlfn.STDEV.S(INDEX(neos_benchmark!AD:AD, (ROW()-2)*averages!$B27+2):INDEX(neos_benchmark!AD:AD, (ROW()-2)*averages!$B27+averages!$B27+1)), "")</f>
        <v>14.905654003723901</v>
      </c>
      <c r="AE27">
        <f>IFERROR(_xlfn.STDEV.S(INDEX(neos_benchmark!AE:AE, (ROW()-2)*averages!$B27+2):INDEX(neos_benchmark!AE:AE, (ROW()-2)*averages!$B27+averages!$B27+1)), "")</f>
        <v>0</v>
      </c>
      <c r="AF27">
        <f>IFERROR(_xlfn.STDEV.S(INDEX(neos_benchmark!AF:AF, (ROW()-2)*averages!$B27+2):INDEX(neos_benchmark!AF:AF, (ROW()-2)*averages!$B27+averages!$B27+1)), "")</f>
        <v>0</v>
      </c>
      <c r="AG27">
        <f>IFERROR(_xlfn.STDEV.S(INDEX(neos_benchmark!AG:AG, (ROW()-2)*averages!$B27+2):INDEX(neos_benchmark!AG:AG, (ROW()-2)*averages!$B27+averages!$B27+1)), "")</f>
        <v>0</v>
      </c>
      <c r="AH27">
        <f>IFERROR(_xlfn.STDEV.S(INDEX(neos_benchmark!AH:AH, (ROW()-2)*averages!$B27+2):INDEX(neos_benchmark!AH:AH, (ROW()-2)*averages!$B27+averages!$B27+1)), "")</f>
        <v>0</v>
      </c>
      <c r="AI27">
        <f>IFERROR(_xlfn.STDEV.S(INDEX(neos_benchmark!AI:AI, (ROW()-2)*averages!$B27+2):INDEX(neos_benchmark!AI:AI, (ROW()-2)*averages!$B27+averages!$B27+1)), "")</f>
        <v>577177.32769050752</v>
      </c>
      <c r="AJ27">
        <f>IFERROR(_xlfn.STDEV.S(INDEX(neos_benchmark!AJ:AJ, (ROW()-2)*averages!$B27+2):INDEX(neos_benchmark!AJ:AJ, (ROW()-2)*averages!$B27+averages!$B27+1)), "")</f>
        <v>593237.19460547797</v>
      </c>
      <c r="AK27" cm="1">
        <f t="array" ref="AK27">IFERROR(_xlfn.STDEV.S(INDEX(neos_benchmark!W:W, (ROW()-2)*averages!$B27+2):INDEX(neos_benchmark!W:W, (ROW()-2)*averages!$B27+averages!$B27+1) + INDEX(neos_benchmark!AA:AA, (ROW()-2)*averages!$B27+2):INDEX(neos_benchmark!AA:AA, (ROW()-2)*averages!$B27+averages!$B27+1)), "")</f>
        <v>56.981329520945522</v>
      </c>
      <c r="AL27" cm="1">
        <f t="array" ref="AL27">IFERROR(_xlfn.STDEV.S((INDEX(neos_benchmark!AJ:AJ, (ROW()-2)*averages!$B27+2):INDEX(neos_benchmark!AJ:AJ, (ROW()-2)*averages!$B27+averages!$B27+1) - INDEX(neos_benchmark!AI:AI, (ROW()-2)*averages!$B27+2):INDEX(neos_benchmark!AI:AI, (ROW()-2)*averages!$B27+averages!$B27+1)) / 1000), "")</f>
        <v>109.93750447696294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905C-A928-45ED-8A9D-3AC60204056F}">
  <dimension ref="A1:M27"/>
  <sheetViews>
    <sheetView tabSelected="1" zoomScaleNormal="100" workbookViewId="0">
      <pane xSplit="1" topLeftCell="F1" activePane="topRight" state="frozen"/>
      <selection pane="topRight" activeCell="B2" sqref="A1:M27"/>
    </sheetView>
  </sheetViews>
  <sheetFormatPr defaultRowHeight="15" x14ac:dyDescent="0.25"/>
  <cols>
    <col min="1" max="1" width="21.5703125" bestFit="1" customWidth="1"/>
    <col min="2" max="2" width="10.28515625" bestFit="1" customWidth="1"/>
    <col min="3" max="3" width="15.140625" bestFit="1" customWidth="1"/>
    <col min="4" max="4" width="17.5703125" bestFit="1" customWidth="1"/>
    <col min="5" max="5" width="26.5703125" bestFit="1" customWidth="1"/>
    <col min="6" max="6" width="16.85546875" bestFit="1" customWidth="1"/>
    <col min="7" max="7" width="19.28515625" bestFit="1" customWidth="1"/>
    <col min="8" max="8" width="28.28515625" bestFit="1" customWidth="1"/>
    <col min="9" max="9" width="20.7109375" bestFit="1" customWidth="1"/>
    <col min="10" max="10" width="16" bestFit="1" customWidth="1"/>
    <col min="11" max="13" width="13.140625" bestFit="1" customWidth="1"/>
  </cols>
  <sheetData>
    <row r="1" spans="1:13" x14ac:dyDescent="0.25">
      <c r="A1" t="s">
        <v>55</v>
      </c>
      <c r="B1" t="s">
        <v>126</v>
      </c>
      <c r="C1" t="s">
        <v>80</v>
      </c>
      <c r="D1" t="s">
        <v>79</v>
      </c>
      <c r="E1" t="s">
        <v>78</v>
      </c>
      <c r="F1" t="s">
        <v>77</v>
      </c>
      <c r="G1" t="s">
        <v>76</v>
      </c>
      <c r="H1" t="s">
        <v>75</v>
      </c>
      <c r="I1" t="s">
        <v>120</v>
      </c>
      <c r="J1" t="s">
        <v>119</v>
      </c>
      <c r="K1" t="s">
        <v>121</v>
      </c>
      <c r="L1" t="s">
        <v>122</v>
      </c>
      <c r="M1" t="s">
        <v>123</v>
      </c>
    </row>
    <row r="2" spans="1:13" x14ac:dyDescent="0.25">
      <c r="A2" t="s">
        <v>33</v>
      </c>
      <c r="B2" t="s">
        <v>72</v>
      </c>
      <c r="C2">
        <f>averages!AE2</f>
        <v>8779</v>
      </c>
      <c r="D2">
        <f>averages!AF2</f>
        <v>132</v>
      </c>
      <c r="E2">
        <f>IFERROR((C2 - D2) / C2, "")</f>
        <v>0.98496411892015034</v>
      </c>
      <c r="F2">
        <f>averages!AG2</f>
        <v>8824</v>
      </c>
      <c r="G2">
        <f>averages!AH2</f>
        <v>134</v>
      </c>
      <c r="H2">
        <f>IFERROR((F2 - G2) / F2, "")</f>
        <v>0.98481414324569361</v>
      </c>
      <c r="I2">
        <f>averages!AK2</f>
        <v>7.8038199999999988E-2</v>
      </c>
      <c r="J2">
        <f>averages!AN2</f>
        <v>61.599599999999988</v>
      </c>
      <c r="K2">
        <f>averages!Z2</f>
        <v>4.6360299999999986E-2</v>
      </c>
      <c r="L2">
        <f>averages!AD2</f>
        <v>3.4775499999999994E-2</v>
      </c>
      <c r="M2">
        <f>IFERROR(K2/L2, "")</f>
        <v>1.3331310836652239</v>
      </c>
    </row>
    <row r="3" spans="1:13" x14ac:dyDescent="0.25">
      <c r="A3" t="s">
        <v>35</v>
      </c>
      <c r="B3" t="s">
        <v>72</v>
      </c>
      <c r="C3">
        <f>averages!AE3</f>
        <v>4388</v>
      </c>
      <c r="D3">
        <f>averages!AF3</f>
        <v>80</v>
      </c>
      <c r="E3">
        <f t="shared" ref="E3:E27" si="0">IFERROR((C3 - D3) / C3, "")</f>
        <v>0.98176845943482227</v>
      </c>
      <c r="F3">
        <f>averages!AG3</f>
        <v>4413</v>
      </c>
      <c r="G3">
        <f>averages!AH3</f>
        <v>74</v>
      </c>
      <c r="H3">
        <f t="shared" ref="H3:H27" si="1">IFERROR((F3 - G3) / F3, "")</f>
        <v>0.98323136188533877</v>
      </c>
      <c r="I3">
        <f>averages!AK3</f>
        <v>7.2208999999999995E-2</v>
      </c>
      <c r="J3">
        <f>averages!AN3</f>
        <v>27.414200000000001</v>
      </c>
      <c r="K3">
        <f>averages!Z3</f>
        <v>2.2304399999999995E-2</v>
      </c>
      <c r="L3">
        <f>averages!AD3</f>
        <v>5.2493900000000003E-2</v>
      </c>
      <c r="M3">
        <f t="shared" ref="M3:M27" si="2">IFERROR(K3/L3, "")</f>
        <v>0.42489508304774448</v>
      </c>
    </row>
    <row r="4" spans="1:13" x14ac:dyDescent="0.25">
      <c r="A4" t="s">
        <v>36</v>
      </c>
      <c r="B4" t="s">
        <v>72</v>
      </c>
      <c r="C4">
        <f>averages!AE4</f>
        <v>13169</v>
      </c>
      <c r="D4">
        <f>averages!AF4</f>
        <v>202</v>
      </c>
      <c r="E4">
        <f t="shared" si="0"/>
        <v>0.98466094616143973</v>
      </c>
      <c r="F4">
        <f>averages!AG4</f>
        <v>13234</v>
      </c>
      <c r="G4">
        <f>averages!AH4</f>
        <v>176</v>
      </c>
      <c r="H4">
        <f t="shared" si="1"/>
        <v>0.98670092186791603</v>
      </c>
      <c r="I4">
        <f>averages!AK4</f>
        <v>9.0072300000000022E-2</v>
      </c>
      <c r="J4">
        <f>averages!AN4</f>
        <v>22.384399999999999</v>
      </c>
      <c r="K4">
        <f>averages!Z4</f>
        <v>6.2005099999999994E-2</v>
      </c>
      <c r="L4">
        <f>averages!AD4</f>
        <v>3.0870600000000005E-2</v>
      </c>
      <c r="M4">
        <f t="shared" si="2"/>
        <v>2.0085485866811785</v>
      </c>
    </row>
    <row r="5" spans="1:13" x14ac:dyDescent="0.25">
      <c r="A5" t="s">
        <v>37</v>
      </c>
      <c r="B5" t="s">
        <v>74</v>
      </c>
      <c r="C5">
        <f>averages!AE5</f>
        <v>99109</v>
      </c>
      <c r="D5">
        <f>averages!AF5</f>
        <v>266</v>
      </c>
      <c r="E5">
        <f t="shared" si="0"/>
        <v>0.99731608632919311</v>
      </c>
      <c r="F5">
        <f>averages!AG5</f>
        <v>98877</v>
      </c>
      <c r="G5">
        <f>averages!AH5</f>
        <v>214</v>
      </c>
      <c r="H5">
        <f t="shared" si="1"/>
        <v>0.99783569485320145</v>
      </c>
      <c r="I5">
        <f>averages!AK5</f>
        <v>0.6868341</v>
      </c>
      <c r="J5">
        <f>averages!AN5</f>
        <v>10.1564</v>
      </c>
      <c r="K5">
        <f>averages!Z5</f>
        <v>0.52274149999999997</v>
      </c>
      <c r="L5">
        <f>averages!AD5</f>
        <v>0.16510939999999999</v>
      </c>
      <c r="M5">
        <f t="shared" si="2"/>
        <v>3.1660311284518023</v>
      </c>
    </row>
    <row r="6" spans="1:13" x14ac:dyDescent="0.25">
      <c r="A6" t="s">
        <v>38</v>
      </c>
      <c r="B6" t="s">
        <v>74</v>
      </c>
      <c r="C6">
        <f>averages!AE6</f>
        <v>46821</v>
      </c>
      <c r="D6">
        <f>averages!AF6</f>
        <v>326</v>
      </c>
      <c r="E6">
        <f t="shared" si="0"/>
        <v>0.99303731231712267</v>
      </c>
      <c r="F6">
        <f>averages!AG6</f>
        <v>46820</v>
      </c>
      <c r="G6">
        <f>averages!AH6</f>
        <v>302</v>
      </c>
      <c r="H6">
        <f t="shared" si="1"/>
        <v>0.99354976505766768</v>
      </c>
      <c r="I6">
        <f>averages!AK6</f>
        <v>0.66164990000000001</v>
      </c>
      <c r="J6">
        <f>averages!AN6</f>
        <v>12.415699999999999</v>
      </c>
      <c r="K6">
        <f>averages!Z6</f>
        <v>0.30985999999999997</v>
      </c>
      <c r="L6">
        <f>averages!AD6</f>
        <v>0.34927249999999999</v>
      </c>
      <c r="M6">
        <f t="shared" si="2"/>
        <v>0.88715830762513503</v>
      </c>
    </row>
    <row r="7" spans="1:13" x14ac:dyDescent="0.25">
      <c r="A7" t="s">
        <v>39</v>
      </c>
      <c r="B7" t="s">
        <v>74</v>
      </c>
      <c r="C7">
        <f>averages!AE7</f>
        <v>371155</v>
      </c>
      <c r="D7">
        <f>averages!AF7</f>
        <v>2345</v>
      </c>
      <c r="E7">
        <f t="shared" si="0"/>
        <v>0.99368188492678267</v>
      </c>
      <c r="F7">
        <f>averages!AG7</f>
        <v>372492</v>
      </c>
      <c r="G7">
        <f>averages!AH7</f>
        <v>2537</v>
      </c>
      <c r="H7">
        <f t="shared" si="1"/>
        <v>0.99318911547093625</v>
      </c>
      <c r="I7">
        <f>averages!AK7</f>
        <v>36.254462400000001</v>
      </c>
      <c r="J7">
        <f>averages!AN7</f>
        <v>70.011200000000002</v>
      </c>
      <c r="K7">
        <f>averages!Z7</f>
        <v>2.6315590999999996</v>
      </c>
      <c r="L7">
        <f>averages!AD7</f>
        <v>33.523009999999999</v>
      </c>
      <c r="M7">
        <f t="shared" si="2"/>
        <v>7.8500083972173132E-2</v>
      </c>
    </row>
    <row r="8" spans="1:13" x14ac:dyDescent="0.25">
      <c r="A8" t="s">
        <v>81</v>
      </c>
      <c r="B8" t="s">
        <v>74</v>
      </c>
      <c r="C8" t="str">
        <f>averages!AE8</f>
        <v/>
      </c>
      <c r="D8" t="str">
        <f>averages!AF8</f>
        <v/>
      </c>
      <c r="E8" t="str">
        <f t="shared" si="0"/>
        <v/>
      </c>
      <c r="F8" t="str">
        <f>averages!AG8</f>
        <v/>
      </c>
      <c r="G8" t="str">
        <f>averages!AH8</f>
        <v/>
      </c>
      <c r="H8" t="str">
        <f t="shared" si="1"/>
        <v/>
      </c>
      <c r="I8">
        <f>averages!AK8</f>
        <v>0</v>
      </c>
      <c r="J8">
        <f>averages!AN8</f>
        <v>40.64889999999999</v>
      </c>
      <c r="K8" t="str">
        <f>averages!Z8</f>
        <v/>
      </c>
      <c r="L8" t="str">
        <f>averages!AD8</f>
        <v/>
      </c>
      <c r="M8" t="str">
        <f t="shared" si="2"/>
        <v/>
      </c>
    </row>
    <row r="9" spans="1:13" x14ac:dyDescent="0.25">
      <c r="A9" t="s">
        <v>110</v>
      </c>
      <c r="B9" t="s">
        <v>73</v>
      </c>
      <c r="C9">
        <f>averages!AE9</f>
        <v>29729</v>
      </c>
      <c r="D9">
        <f>averages!AF9</f>
        <v>73</v>
      </c>
      <c r="E9">
        <f t="shared" si="0"/>
        <v>0.99754448518281813</v>
      </c>
      <c r="F9">
        <f>averages!AG9</f>
        <v>29766</v>
      </c>
      <c r="G9">
        <f>averages!AH9</f>
        <v>80</v>
      </c>
      <c r="H9">
        <f t="shared" si="1"/>
        <v>0.99731236981791305</v>
      </c>
      <c r="I9">
        <f>averages!AK9</f>
        <v>0.17161419999999999</v>
      </c>
      <c r="J9">
        <f>averages!AN9</f>
        <v>14.598200000000002</v>
      </c>
      <c r="K9">
        <f>averages!Z9</f>
        <v>0.15430550000000001</v>
      </c>
      <c r="L9">
        <f>averages!AD9</f>
        <v>6.8347000000000008E-3</v>
      </c>
      <c r="M9">
        <f t="shared" si="2"/>
        <v>22.576777327461336</v>
      </c>
    </row>
    <row r="10" spans="1:13" x14ac:dyDescent="0.25">
      <c r="A10" t="s">
        <v>82</v>
      </c>
      <c r="B10" t="s">
        <v>73</v>
      </c>
      <c r="C10" t="str">
        <f>averages!AE10</f>
        <v/>
      </c>
      <c r="D10" t="str">
        <f>averages!AF10</f>
        <v/>
      </c>
      <c r="E10" t="str">
        <f t="shared" si="0"/>
        <v/>
      </c>
      <c r="F10" t="str">
        <f>averages!AG10</f>
        <v/>
      </c>
      <c r="G10" t="str">
        <f>averages!AH10</f>
        <v/>
      </c>
      <c r="H10" t="str">
        <f t="shared" si="1"/>
        <v/>
      </c>
      <c r="I10">
        <f>averages!AK10</f>
        <v>0</v>
      </c>
      <c r="J10">
        <f>averages!AN10</f>
        <v>8.6436999999999991</v>
      </c>
      <c r="K10" t="str">
        <f>averages!Z10</f>
        <v/>
      </c>
      <c r="L10" t="str">
        <f>averages!AD10</f>
        <v/>
      </c>
      <c r="M10" t="str">
        <f t="shared" si="2"/>
        <v/>
      </c>
    </row>
    <row r="11" spans="1:13" x14ac:dyDescent="0.25">
      <c r="A11" t="s">
        <v>83</v>
      </c>
      <c r="B11" t="s">
        <v>73</v>
      </c>
      <c r="C11">
        <f>averages!AE11</f>
        <v>29729</v>
      </c>
      <c r="D11">
        <f>averages!AF11</f>
        <v>73</v>
      </c>
      <c r="E11">
        <f t="shared" si="0"/>
        <v>0.99754448518281813</v>
      </c>
      <c r="F11">
        <f>averages!AG11</f>
        <v>29766</v>
      </c>
      <c r="G11">
        <f>averages!AH11</f>
        <v>80</v>
      </c>
      <c r="H11">
        <f t="shared" si="1"/>
        <v>0.99731236981791305</v>
      </c>
      <c r="I11">
        <f>averages!AK11</f>
        <v>0.16288930000000001</v>
      </c>
      <c r="J11">
        <f>averages!AN11</f>
        <v>9.3768999999999991</v>
      </c>
      <c r="K11">
        <f>averages!Z11</f>
        <v>0.1486439</v>
      </c>
      <c r="L11">
        <f>averages!AD11</f>
        <v>9.5829000000000018E-3</v>
      </c>
      <c r="M11">
        <f t="shared" si="2"/>
        <v>15.511369209738175</v>
      </c>
    </row>
    <row r="12" spans="1:13" x14ac:dyDescent="0.25">
      <c r="A12" t="s">
        <v>84</v>
      </c>
      <c r="B12" t="s">
        <v>73</v>
      </c>
      <c r="C12">
        <f>averages!AE12</f>
        <v>29729</v>
      </c>
      <c r="D12">
        <f>averages!AF12</f>
        <v>73</v>
      </c>
      <c r="E12">
        <f t="shared" si="0"/>
        <v>0.99754448518281813</v>
      </c>
      <c r="F12">
        <f>averages!AG12</f>
        <v>29766</v>
      </c>
      <c r="G12">
        <f>averages!AH12</f>
        <v>80</v>
      </c>
      <c r="H12">
        <f t="shared" si="1"/>
        <v>0.99731236981791305</v>
      </c>
      <c r="I12">
        <f>averages!AK12</f>
        <v>0.70682120000000004</v>
      </c>
      <c r="J12">
        <f>averages!AN12</f>
        <v>25.7546</v>
      </c>
      <c r="K12">
        <f>averages!Z12</f>
        <v>0.1691666</v>
      </c>
      <c r="L12">
        <f>averages!AD12</f>
        <v>9.1933699999999979E-2</v>
      </c>
      <c r="M12">
        <f t="shared" si="2"/>
        <v>1.8400934586555315</v>
      </c>
    </row>
    <row r="13" spans="1:13" x14ac:dyDescent="0.25">
      <c r="A13" t="s">
        <v>85</v>
      </c>
      <c r="B13" t="s">
        <v>73</v>
      </c>
      <c r="C13" t="str">
        <f>averages!AE13</f>
        <v/>
      </c>
      <c r="D13" t="str">
        <f>averages!AF13</f>
        <v/>
      </c>
      <c r="E13" t="str">
        <f t="shared" si="0"/>
        <v/>
      </c>
      <c r="F13" t="str">
        <f>averages!AG13</f>
        <v/>
      </c>
      <c r="G13" t="str">
        <f>averages!AH13</f>
        <v/>
      </c>
      <c r="H13" t="str">
        <f t="shared" si="1"/>
        <v/>
      </c>
      <c r="I13">
        <f>averages!AK13</f>
        <v>0</v>
      </c>
      <c r="J13">
        <f>averages!AN13</f>
        <v>36.077299999999994</v>
      </c>
      <c r="K13" t="str">
        <f>averages!Z13</f>
        <v/>
      </c>
      <c r="L13" t="str">
        <f>averages!AD13</f>
        <v/>
      </c>
      <c r="M13" t="str">
        <f t="shared" si="2"/>
        <v/>
      </c>
    </row>
    <row r="14" spans="1:13" x14ac:dyDescent="0.25">
      <c r="A14" t="s">
        <v>86</v>
      </c>
      <c r="B14" t="s">
        <v>73</v>
      </c>
      <c r="C14" t="str">
        <f>averages!AE14</f>
        <v/>
      </c>
      <c r="D14" t="str">
        <f>averages!AF14</f>
        <v/>
      </c>
      <c r="E14" t="str">
        <f t="shared" si="0"/>
        <v/>
      </c>
      <c r="F14" t="str">
        <f>averages!AG14</f>
        <v/>
      </c>
      <c r="G14" t="str">
        <f>averages!AH14</f>
        <v/>
      </c>
      <c r="H14" t="str">
        <f t="shared" si="1"/>
        <v/>
      </c>
      <c r="I14">
        <f>averages!AK14</f>
        <v>0</v>
      </c>
      <c r="J14">
        <f>averages!AN14</f>
        <v>28.452400000000001</v>
      </c>
      <c r="K14" t="str">
        <f>averages!Z14</f>
        <v/>
      </c>
      <c r="L14" t="str">
        <f>averages!AD14</f>
        <v/>
      </c>
      <c r="M14" t="str">
        <f t="shared" si="2"/>
        <v/>
      </c>
    </row>
    <row r="15" spans="1:13" x14ac:dyDescent="0.25">
      <c r="A15" t="s">
        <v>87</v>
      </c>
      <c r="B15" t="s">
        <v>72</v>
      </c>
      <c r="C15">
        <f>averages!AE15</f>
        <v>16623</v>
      </c>
      <c r="D15">
        <f>averages!AF15</f>
        <v>391</v>
      </c>
      <c r="E15">
        <f t="shared" si="0"/>
        <v>0.97647837333814591</v>
      </c>
      <c r="F15">
        <f>averages!AG15</f>
        <v>16624</v>
      </c>
      <c r="G15">
        <f>averages!AH15</f>
        <v>341</v>
      </c>
      <c r="H15">
        <f t="shared" si="1"/>
        <v>0.97948748796920115</v>
      </c>
      <c r="I15">
        <f>averages!AK15</f>
        <v>0.18266060000000001</v>
      </c>
      <c r="J15">
        <f>averages!AN15</f>
        <v>36.9114</v>
      </c>
      <c r="K15">
        <f>averages!Z15</f>
        <v>9.2590199999999998E-2</v>
      </c>
      <c r="L15">
        <f>averages!AD15</f>
        <v>9.2735299999999993E-2</v>
      </c>
      <c r="M15">
        <f t="shared" si="2"/>
        <v>0.99843533152963337</v>
      </c>
    </row>
    <row r="16" spans="1:13" x14ac:dyDescent="0.25">
      <c r="A16" t="s">
        <v>88</v>
      </c>
      <c r="B16" t="s">
        <v>72</v>
      </c>
      <c r="C16">
        <f>averages!AE16</f>
        <v>16623</v>
      </c>
      <c r="D16">
        <f>averages!AF16</f>
        <v>391</v>
      </c>
      <c r="E16">
        <f t="shared" si="0"/>
        <v>0.97647837333814591</v>
      </c>
      <c r="F16">
        <f>averages!AG16</f>
        <v>16624</v>
      </c>
      <c r="G16">
        <f>averages!AH16</f>
        <v>341</v>
      </c>
      <c r="H16">
        <f t="shared" si="1"/>
        <v>0.97948748796920115</v>
      </c>
      <c r="I16">
        <f>averages!AK16</f>
        <v>0.10124580000000001</v>
      </c>
      <c r="J16">
        <f>averages!AN16</f>
        <v>9.2436000000000007</v>
      </c>
      <c r="K16">
        <f>averages!Z16</f>
        <v>9.3075900000000003E-2</v>
      </c>
      <c r="L16">
        <f>averages!AD16</f>
        <v>1.0501E-2</v>
      </c>
      <c r="M16">
        <f t="shared" si="2"/>
        <v>8.8635272831158947</v>
      </c>
    </row>
    <row r="17" spans="1:13" x14ac:dyDescent="0.25">
      <c r="A17" t="s">
        <v>89</v>
      </c>
      <c r="B17" t="s">
        <v>72</v>
      </c>
      <c r="C17" t="str">
        <f>averages!AE17</f>
        <v/>
      </c>
      <c r="D17" t="str">
        <f>averages!AF17</f>
        <v/>
      </c>
      <c r="E17" t="str">
        <f t="shared" si="0"/>
        <v/>
      </c>
      <c r="F17" t="str">
        <f>averages!AG17</f>
        <v/>
      </c>
      <c r="G17" t="str">
        <f>averages!AH17</f>
        <v/>
      </c>
      <c r="H17" t="str">
        <f t="shared" si="1"/>
        <v/>
      </c>
      <c r="I17">
        <f>averages!AK17</f>
        <v>0</v>
      </c>
      <c r="J17">
        <f>averages!AN17</f>
        <v>16.7666</v>
      </c>
      <c r="K17" t="str">
        <f>averages!Z17</f>
        <v/>
      </c>
      <c r="L17" t="str">
        <f>averages!AD17</f>
        <v/>
      </c>
      <c r="M17" t="str">
        <f t="shared" si="2"/>
        <v/>
      </c>
    </row>
    <row r="18" spans="1:13" x14ac:dyDescent="0.25">
      <c r="A18" t="s">
        <v>90</v>
      </c>
      <c r="B18" t="s">
        <v>72</v>
      </c>
      <c r="C18">
        <f>averages!AE18</f>
        <v>16623</v>
      </c>
      <c r="D18">
        <f>averages!AF18</f>
        <v>391</v>
      </c>
      <c r="E18">
        <f t="shared" si="0"/>
        <v>0.97647837333814591</v>
      </c>
      <c r="F18">
        <f>averages!AG18</f>
        <v>16624</v>
      </c>
      <c r="G18">
        <f>averages!AH18</f>
        <v>341</v>
      </c>
      <c r="H18">
        <f t="shared" si="1"/>
        <v>0.97948748796920115</v>
      </c>
      <c r="I18">
        <f>averages!AK18</f>
        <v>0.51328909999999994</v>
      </c>
      <c r="J18">
        <f>averages!AN18</f>
        <v>7.716499999999999</v>
      </c>
      <c r="K18">
        <f>averages!Z18</f>
        <v>0.10002360000000002</v>
      </c>
      <c r="L18">
        <f>averages!AD18</f>
        <v>0.41468309999999997</v>
      </c>
      <c r="M18">
        <f t="shared" si="2"/>
        <v>0.24120491044848469</v>
      </c>
    </row>
    <row r="19" spans="1:13" x14ac:dyDescent="0.25">
      <c r="A19" t="s">
        <v>91</v>
      </c>
      <c r="B19" t="s">
        <v>72</v>
      </c>
      <c r="C19" t="str">
        <f>averages!AE19</f>
        <v/>
      </c>
      <c r="D19" t="str">
        <f>averages!AF19</f>
        <v/>
      </c>
      <c r="E19" t="str">
        <f t="shared" si="0"/>
        <v/>
      </c>
      <c r="F19" t="str">
        <f>averages!AG19</f>
        <v/>
      </c>
      <c r="G19" t="str">
        <f>averages!AH19</f>
        <v/>
      </c>
      <c r="H19" t="str">
        <f t="shared" si="1"/>
        <v/>
      </c>
      <c r="I19">
        <f>averages!AK19</f>
        <v>0</v>
      </c>
      <c r="J19">
        <f>averages!AN19</f>
        <v>7.0746000000000011</v>
      </c>
      <c r="K19" t="str">
        <f>averages!Z19</f>
        <v/>
      </c>
      <c r="L19" t="str">
        <f>averages!AD19</f>
        <v/>
      </c>
      <c r="M19" t="str">
        <f t="shared" si="2"/>
        <v/>
      </c>
    </row>
    <row r="20" spans="1:13" x14ac:dyDescent="0.25">
      <c r="A20" t="s">
        <v>92</v>
      </c>
      <c r="B20" t="s">
        <v>72</v>
      </c>
      <c r="C20">
        <f>averages!AE20</f>
        <v>16623</v>
      </c>
      <c r="D20">
        <f>averages!AF20</f>
        <v>391</v>
      </c>
      <c r="E20">
        <f t="shared" si="0"/>
        <v>0.97647837333814591</v>
      </c>
      <c r="F20">
        <f>averages!AG20</f>
        <v>16624</v>
      </c>
      <c r="G20">
        <f>averages!AH20</f>
        <v>341</v>
      </c>
      <c r="H20">
        <f t="shared" si="1"/>
        <v>0.97948748796920115</v>
      </c>
      <c r="I20">
        <f>averages!AK20</f>
        <v>9.6046199999999998E-2</v>
      </c>
      <c r="J20">
        <f>averages!AN20</f>
        <v>25.808199999999999</v>
      </c>
      <c r="K20">
        <f>averages!Z20</f>
        <v>9.1437100000000007E-2</v>
      </c>
      <c r="L20">
        <f>averages!AD20</f>
        <v>6.2613E-3</v>
      </c>
      <c r="M20">
        <f t="shared" si="2"/>
        <v>14.603532812674684</v>
      </c>
    </row>
    <row r="21" spans="1:13" x14ac:dyDescent="0.25">
      <c r="A21" t="s">
        <v>111</v>
      </c>
      <c r="B21" t="s">
        <v>72</v>
      </c>
      <c r="C21">
        <f>averages!AE21</f>
        <v>16623</v>
      </c>
      <c r="D21">
        <f>averages!AF21</f>
        <v>391</v>
      </c>
      <c r="E21">
        <f t="shared" si="0"/>
        <v>0.97647837333814591</v>
      </c>
      <c r="F21">
        <f>averages!AG21</f>
        <v>16624</v>
      </c>
      <c r="G21">
        <f>averages!AH21</f>
        <v>341</v>
      </c>
      <c r="H21">
        <f t="shared" si="1"/>
        <v>0.97948748796920115</v>
      </c>
      <c r="I21">
        <f>averages!AK21</f>
        <v>0.2093149</v>
      </c>
      <c r="J21">
        <f>averages!AN21</f>
        <v>9.9779999999999998</v>
      </c>
      <c r="K21">
        <f>averages!Z21</f>
        <v>0.1033553</v>
      </c>
      <c r="L21">
        <f>averages!AD21</f>
        <v>0.10695810000000001</v>
      </c>
      <c r="M21">
        <f t="shared" si="2"/>
        <v>0.96631578160045839</v>
      </c>
    </row>
    <row r="22" spans="1:13" x14ac:dyDescent="0.25">
      <c r="A22" t="s">
        <v>112</v>
      </c>
      <c r="B22" t="s">
        <v>72</v>
      </c>
      <c r="C22">
        <f>averages!AE22</f>
        <v>16623</v>
      </c>
      <c r="D22">
        <f>averages!AF22</f>
        <v>391</v>
      </c>
      <c r="E22">
        <f t="shared" si="0"/>
        <v>0.97647837333814591</v>
      </c>
      <c r="F22">
        <f>averages!AG22</f>
        <v>16624</v>
      </c>
      <c r="G22">
        <f>averages!AH22</f>
        <v>341</v>
      </c>
      <c r="H22">
        <f t="shared" si="1"/>
        <v>0.97948748796920115</v>
      </c>
      <c r="I22">
        <f>averages!AK22</f>
        <v>0.11023769999999999</v>
      </c>
      <c r="J22">
        <f>averages!AN22</f>
        <v>85.273600000000002</v>
      </c>
      <c r="K22">
        <f>averages!Z22</f>
        <v>9.0997399999999978E-2</v>
      </c>
      <c r="L22">
        <f>averages!AD22</f>
        <v>2.1931800000000001E-2</v>
      </c>
      <c r="M22">
        <f t="shared" si="2"/>
        <v>4.1491076883794298</v>
      </c>
    </row>
    <row r="23" spans="1:13" x14ac:dyDescent="0.25">
      <c r="A23" t="s">
        <v>93</v>
      </c>
      <c r="B23" t="s">
        <v>72</v>
      </c>
      <c r="C23">
        <f>averages!AE23</f>
        <v>16623</v>
      </c>
      <c r="D23">
        <f>averages!AF23</f>
        <v>391</v>
      </c>
      <c r="E23">
        <f t="shared" si="0"/>
        <v>0.97647837333814591</v>
      </c>
      <c r="F23">
        <f>averages!AG23</f>
        <v>16624</v>
      </c>
      <c r="G23">
        <f>averages!AH23</f>
        <v>341</v>
      </c>
      <c r="H23">
        <f t="shared" si="1"/>
        <v>0.97948748796920115</v>
      </c>
      <c r="I23">
        <f>averages!AK23</f>
        <v>0.1081882</v>
      </c>
      <c r="J23">
        <f>averages!AN23</f>
        <v>8.1323999999999987</v>
      </c>
      <c r="K23">
        <f>averages!Z23</f>
        <v>0.1030397</v>
      </c>
      <c r="L23">
        <f>averages!AD23</f>
        <v>6.7377999999999995E-3</v>
      </c>
      <c r="M23">
        <f t="shared" si="2"/>
        <v>15.292781026447802</v>
      </c>
    </row>
    <row r="24" spans="1:13" x14ac:dyDescent="0.25">
      <c r="A24" t="s">
        <v>41</v>
      </c>
      <c r="B24" t="s">
        <v>72</v>
      </c>
      <c r="C24">
        <f>averages!AE24</f>
        <v>6689</v>
      </c>
      <c r="D24">
        <f>averages!AF24</f>
        <v>116</v>
      </c>
      <c r="E24">
        <f t="shared" si="0"/>
        <v>0.98265809538047544</v>
      </c>
      <c r="F24">
        <f>averages!AG24</f>
        <v>6722</v>
      </c>
      <c r="G24">
        <f>averages!AH24</f>
        <v>88</v>
      </c>
      <c r="H24">
        <f t="shared" si="1"/>
        <v>0.98690865813745909</v>
      </c>
      <c r="I24">
        <f>averages!AK24</f>
        <v>2.6092499999999998E-2</v>
      </c>
      <c r="J24">
        <f>averages!AN24</f>
        <v>8.3439999999999994</v>
      </c>
      <c r="K24">
        <f>averages!Z24</f>
        <v>1.7110899999999998E-2</v>
      </c>
      <c r="L24">
        <f>averages!AD24</f>
        <v>1.1927500000000001E-2</v>
      </c>
      <c r="M24">
        <f t="shared" si="2"/>
        <v>1.4345755606791026</v>
      </c>
    </row>
    <row r="25" spans="1:13" x14ac:dyDescent="0.25">
      <c r="A25" t="s">
        <v>42</v>
      </c>
      <c r="B25" t="s">
        <v>71</v>
      </c>
      <c r="C25">
        <f>averages!AE25</f>
        <v>2460541</v>
      </c>
      <c r="D25">
        <f>averages!AF25</f>
        <v>14854</v>
      </c>
      <c r="E25">
        <f t="shared" si="0"/>
        <v>0.99396311624150946</v>
      </c>
      <c r="F25">
        <f>averages!AG25</f>
        <v>2467453</v>
      </c>
      <c r="G25">
        <f>averages!AH25</f>
        <v>14708</v>
      </c>
      <c r="H25">
        <f t="shared" si="1"/>
        <v>0.99403919750447123</v>
      </c>
      <c r="I25">
        <f>averages!AK25</f>
        <v>231.26519759999996</v>
      </c>
      <c r="J25">
        <f>averages!AN25</f>
        <v>290.17129999999997</v>
      </c>
      <c r="K25">
        <f>averages!Z25</f>
        <v>23.832090125000001</v>
      </c>
      <c r="L25">
        <f>averages!AD25</f>
        <v>264.47717612500003</v>
      </c>
      <c r="M25">
        <f t="shared" si="2"/>
        <v>9.0110195799036452E-2</v>
      </c>
    </row>
    <row r="26" spans="1:13" x14ac:dyDescent="0.25">
      <c r="A26" t="s">
        <v>43</v>
      </c>
      <c r="B26" t="s">
        <v>70</v>
      </c>
      <c r="C26">
        <f>averages!AE26</f>
        <v>624391</v>
      </c>
      <c r="D26">
        <f>averages!AF26</f>
        <v>3706</v>
      </c>
      <c r="E26">
        <f t="shared" si="0"/>
        <v>0.99406461656237843</v>
      </c>
      <c r="F26">
        <f>averages!AG26</f>
        <v>627703</v>
      </c>
      <c r="G26">
        <f>averages!AH26</f>
        <v>3560</v>
      </c>
      <c r="H26">
        <f t="shared" si="1"/>
        <v>0.99432852798218263</v>
      </c>
      <c r="I26">
        <f>averages!AK26</f>
        <v>382.32925569999998</v>
      </c>
      <c r="J26">
        <f>averages!AN26</f>
        <v>433.84880000000004</v>
      </c>
      <c r="K26">
        <f>averages!Z26</f>
        <v>5.8797088999999998</v>
      </c>
      <c r="L26">
        <f>averages!AD26</f>
        <v>374.178316</v>
      </c>
      <c r="M26">
        <f t="shared" si="2"/>
        <v>1.5713654823332947E-2</v>
      </c>
    </row>
    <row r="27" spans="1:13" x14ac:dyDescent="0.25">
      <c r="A27" t="s">
        <v>44</v>
      </c>
      <c r="B27" t="s">
        <v>69</v>
      </c>
      <c r="C27">
        <f>averages!AE27</f>
        <v>2460541</v>
      </c>
      <c r="D27">
        <f>averages!AF27</f>
        <v>14836</v>
      </c>
      <c r="E27">
        <f t="shared" si="0"/>
        <v>0.99397043170587285</v>
      </c>
      <c r="F27">
        <f>averages!AG27</f>
        <v>2467453</v>
      </c>
      <c r="G27">
        <f>averages!AH27</f>
        <v>14690</v>
      </c>
      <c r="H27">
        <f t="shared" si="1"/>
        <v>0.99404649247624977</v>
      </c>
      <c r="I27">
        <f>averages!AK27</f>
        <v>157.07774950000001</v>
      </c>
      <c r="J27">
        <f>averages!AN27</f>
        <v>267.9932</v>
      </c>
      <c r="K27">
        <f>averages!Z27</f>
        <v>24.623715000000001</v>
      </c>
      <c r="L27">
        <f>averages!AD27</f>
        <v>149.4086221111111</v>
      </c>
      <c r="M27">
        <f t="shared" si="2"/>
        <v>0.1648078581548528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CB12-5B49-4487-8450-CD6193FB2BE0}">
  <dimension ref="A1:E13"/>
  <sheetViews>
    <sheetView workbookViewId="0">
      <selection activeCell="B13" sqref="B13"/>
    </sheetView>
  </sheetViews>
  <sheetFormatPr defaultRowHeight="15" x14ac:dyDescent="0.25"/>
  <cols>
    <col min="1" max="1" width="18.85546875" bestFit="1" customWidth="1"/>
    <col min="2" max="2" width="12.7109375" bestFit="1" customWidth="1"/>
    <col min="3" max="3" width="16.5703125" bestFit="1" customWidth="1"/>
    <col min="4" max="4" width="16.85546875" bestFit="1" customWidth="1"/>
    <col min="5" max="5" width="20.85546875" bestFit="1" customWidth="1"/>
  </cols>
  <sheetData>
    <row r="1" spans="1: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5">
      <c r="A2" t="s">
        <v>60</v>
      </c>
      <c r="B2">
        <f>averages!AN2</f>
        <v>61.599599999999988</v>
      </c>
      <c r="C2">
        <f>averages!AO2</f>
        <v>3.9649999999999999</v>
      </c>
      <c r="D2">
        <f>averages!AP2</f>
        <v>254.227</v>
      </c>
      <c r="E2">
        <f>'std. dev'!AL2</f>
        <v>101.3091148144573</v>
      </c>
    </row>
    <row r="3" spans="1:5" x14ac:dyDescent="0.25">
      <c r="A3" t="s">
        <v>61</v>
      </c>
      <c r="B3">
        <f>averages!AN4</f>
        <v>22.384399999999999</v>
      </c>
      <c r="C3">
        <f>averages!AO4</f>
        <v>4.4530000000000003</v>
      </c>
      <c r="D3">
        <f>averages!AP4</f>
        <v>136.30699999999999</v>
      </c>
      <c r="E3">
        <f>'std. dev'!AL4</f>
        <v>40.323931811160364</v>
      </c>
    </row>
    <row r="4" spans="1:5" x14ac:dyDescent="0.25">
      <c r="A4" t="s">
        <v>62</v>
      </c>
      <c r="B4">
        <f>averages!AN3</f>
        <v>27.414200000000001</v>
      </c>
      <c r="C4">
        <f>averages!AO3</f>
        <v>4.6050000000000004</v>
      </c>
      <c r="D4">
        <f>averages!AP3</f>
        <v>102.771</v>
      </c>
      <c r="E4">
        <f>'std. dev'!AL3</f>
        <v>36.953492184396083</v>
      </c>
    </row>
    <row r="5" spans="1:5" x14ac:dyDescent="0.25">
      <c r="A5" t="s">
        <v>63</v>
      </c>
      <c r="B5">
        <f>averages!AN10</f>
        <v>8.6436999999999991</v>
      </c>
      <c r="C5">
        <f>averages!AO10</f>
        <v>2.3940000000000001</v>
      </c>
      <c r="D5">
        <f>averages!AP10</f>
        <v>25.786000000000001</v>
      </c>
      <c r="E5">
        <f>'std. dev'!AL10</f>
        <v>8.3782145678207893</v>
      </c>
    </row>
    <row r="6" spans="1:5" x14ac:dyDescent="0.25">
      <c r="A6" t="s">
        <v>64</v>
      </c>
      <c r="B6">
        <f>averages!AN5</f>
        <v>10.1564</v>
      </c>
      <c r="C6">
        <f>averages!AO5</f>
        <v>5.6029999999999998</v>
      </c>
      <c r="D6">
        <f>averages!AP5</f>
        <v>21.164999999999999</v>
      </c>
      <c r="E6">
        <f>'std. dev'!AL5</f>
        <v>5.4740386106704726</v>
      </c>
    </row>
    <row r="7" spans="1:5" x14ac:dyDescent="0.25">
      <c r="A7" t="s">
        <v>65</v>
      </c>
      <c r="B7">
        <f>averages!AN6</f>
        <v>12.415699999999999</v>
      </c>
      <c r="C7">
        <f>averages!AO6</f>
        <v>6.4260000000000002</v>
      </c>
      <c r="D7">
        <f>averages!AP6</f>
        <v>17.664999999999999</v>
      </c>
      <c r="E7">
        <f>'std. dev'!AL6</f>
        <v>4.4748948355116607</v>
      </c>
    </row>
    <row r="8" spans="1:5" x14ac:dyDescent="0.25">
      <c r="A8" t="s">
        <v>66</v>
      </c>
      <c r="B8">
        <f>averages!AN7</f>
        <v>70.011200000000002</v>
      </c>
      <c r="C8">
        <f>averages!AO7</f>
        <v>43.081000000000003</v>
      </c>
      <c r="D8">
        <f>averages!AP7</f>
        <v>99.629000000000005</v>
      </c>
      <c r="E8">
        <f>'std. dev'!AL7</f>
        <v>18.252633318693118</v>
      </c>
    </row>
    <row r="9" spans="1:5" x14ac:dyDescent="0.25">
      <c r="A9" t="s">
        <v>40</v>
      </c>
      <c r="B9">
        <f>averages!AN8</f>
        <v>40.64889999999999</v>
      </c>
      <c r="C9">
        <f>averages!AO8</f>
        <v>12.898</v>
      </c>
      <c r="D9">
        <f>averages!AP8</f>
        <v>73.421999999999997</v>
      </c>
      <c r="E9">
        <f>'std. dev'!AL8</f>
        <v>17.042182903020386</v>
      </c>
    </row>
    <row r="10" spans="1:5" x14ac:dyDescent="0.25">
      <c r="A10" t="s">
        <v>67</v>
      </c>
      <c r="B10">
        <f>averages!AN9</f>
        <v>14.598200000000002</v>
      </c>
      <c r="C10">
        <f>averages!AO9</f>
        <v>4.718</v>
      </c>
      <c r="D10">
        <f>averages!AP9</f>
        <v>35.548999999999999</v>
      </c>
      <c r="E10">
        <f>'std. dev'!AL9</f>
        <v>11.899176692341173</v>
      </c>
    </row>
    <row r="11" spans="1:5" x14ac:dyDescent="0.25">
      <c r="A11" t="s">
        <v>68</v>
      </c>
      <c r="B11">
        <f>averages!AN11</f>
        <v>9.3768999999999991</v>
      </c>
      <c r="C11">
        <f>averages!AO11</f>
        <v>4.8879999999999999</v>
      </c>
      <c r="D11">
        <f>averages!AP11</f>
        <v>27.016999999999999</v>
      </c>
      <c r="E11">
        <f>'std. dev'!AL11</f>
        <v>6.4668089065112602</v>
      </c>
    </row>
    <row r="12" spans="1:5" x14ac:dyDescent="0.25">
      <c r="A12" t="s">
        <v>68</v>
      </c>
      <c r="B12">
        <f>averages!AN12</f>
        <v>25.7546</v>
      </c>
      <c r="C12">
        <f>averages!AO12</f>
        <v>4.9539999999999997</v>
      </c>
      <c r="D12">
        <f>averages!AP12</f>
        <v>152.75899999999999</v>
      </c>
      <c r="E12">
        <f>'std. dev'!AL12</f>
        <v>44.982768170341252</v>
      </c>
    </row>
    <row r="13" spans="1:5" x14ac:dyDescent="0.25">
      <c r="A13" t="s">
        <v>68</v>
      </c>
      <c r="B13">
        <f>averages!AN13</f>
        <v>36.077299999999994</v>
      </c>
      <c r="C13">
        <f>averages!AO13</f>
        <v>18.143000000000001</v>
      </c>
      <c r="D13">
        <f>averages!AP13</f>
        <v>96.789000000000001</v>
      </c>
      <c r="E13">
        <f>'std. dev'!AL13</f>
        <v>24.808704870356394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BF0C-481C-497F-8C91-B67AC2B65BED}">
  <dimension ref="A1:P10"/>
  <sheetViews>
    <sheetView workbookViewId="0"/>
  </sheetViews>
  <sheetFormatPr defaultRowHeight="15" x14ac:dyDescent="0.25"/>
  <cols>
    <col min="1" max="1" width="13.42578125" bestFit="1" customWidth="1"/>
    <col min="2" max="2" width="7.5703125" bestFit="1" customWidth="1"/>
    <col min="3" max="3" width="8.140625" bestFit="1" customWidth="1"/>
    <col min="4" max="4" width="10.28515625" bestFit="1" customWidth="1"/>
    <col min="5" max="5" width="16.28515625" bestFit="1" customWidth="1"/>
    <col min="6" max="6" width="12" bestFit="1" customWidth="1"/>
    <col min="7" max="7" width="12.5703125" bestFit="1" customWidth="1"/>
    <col min="8" max="8" width="13.5703125" bestFit="1" customWidth="1"/>
    <col min="9" max="9" width="13.85546875" bestFit="1" customWidth="1"/>
    <col min="10" max="10" width="17.28515625" bestFit="1" customWidth="1"/>
    <col min="11" max="11" width="7.5703125" bestFit="1" customWidth="1"/>
    <col min="12" max="12" width="7" bestFit="1" customWidth="1"/>
    <col min="13" max="13" width="10.5703125" bestFit="1" customWidth="1"/>
    <col min="14" max="14" width="15.85546875" bestFit="1" customWidth="1"/>
    <col min="15" max="15" width="6" bestFit="1" customWidth="1"/>
    <col min="16" max="16" width="21.5703125" bestFit="1" customWidth="1"/>
  </cols>
  <sheetData>
    <row r="1" spans="1:16" x14ac:dyDescent="0.25">
      <c r="A1" t="s">
        <v>55</v>
      </c>
      <c r="B1" t="s">
        <v>124</v>
      </c>
      <c r="C1" t="s">
        <v>125</v>
      </c>
      <c r="D1" t="s">
        <v>126</v>
      </c>
      <c r="E1" t="s">
        <v>140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</row>
    <row r="2" spans="1:16" x14ac:dyDescent="0.25">
      <c r="A2" t="s">
        <v>138</v>
      </c>
      <c r="B2" t="s">
        <v>139</v>
      </c>
      <c r="C2" t="str">
        <f>_xlfn.TEXTAFTER(P2,"-", -1)</f>
        <v>conopt</v>
      </c>
      <c r="D2" t="s">
        <v>72</v>
      </c>
      <c r="E2" t="str">
        <f>averages!E15</f>
        <v>solved?</v>
      </c>
      <c r="F2">
        <f>averages!G15</f>
        <v>1.9590243219240224</v>
      </c>
      <c r="G2">
        <f>averages!AK15</f>
        <v>0.18266060000000001</v>
      </c>
      <c r="H2">
        <f>averages!AL15</f>
        <v>0.138158</v>
      </c>
      <c r="I2">
        <f>averages!AM15</f>
        <v>0.25604800000000005</v>
      </c>
      <c r="J2" s="2">
        <f>'std. dev'!AK15</f>
        <v>3.8757378457957306E-2</v>
      </c>
      <c r="K2" t="str">
        <f>averages!I15</f>
        <v/>
      </c>
      <c r="L2" t="str">
        <f>averages!T15</f>
        <v/>
      </c>
      <c r="M2" t="str">
        <f>averages!U15</f>
        <v/>
      </c>
      <c r="N2" t="str">
        <f>averages!V15</f>
        <v/>
      </c>
      <c r="P2" t="str">
        <f>averages!A15</f>
        <v>kinematic-car-conopt</v>
      </c>
    </row>
    <row r="3" spans="1:16" x14ac:dyDescent="0.25">
      <c r="A3" t="s">
        <v>138</v>
      </c>
      <c r="B3" t="s">
        <v>139</v>
      </c>
      <c r="C3" t="str">
        <f>_xlfn.TEXTAFTER(P3,"-", -1)</f>
        <v>filter</v>
      </c>
      <c r="D3" t="s">
        <v>72</v>
      </c>
      <c r="E3" t="str">
        <f>averages!E16</f>
        <v>infeasible</v>
      </c>
      <c r="F3">
        <f>averages!G16</f>
        <v>0</v>
      </c>
      <c r="G3">
        <f>averages!AK16</f>
        <v>0.10124580000000001</v>
      </c>
      <c r="H3">
        <f>averages!AL16</f>
        <v>7.9640999999999962E-2</v>
      </c>
      <c r="I3">
        <f>averages!AM16</f>
        <v>0.134326</v>
      </c>
      <c r="J3" s="2">
        <f>'std. dev'!AK16</f>
        <v>2.1557362860774702E-2</v>
      </c>
      <c r="K3" t="str">
        <f>averages!I16</f>
        <v/>
      </c>
      <c r="L3" t="str">
        <f>averages!T16</f>
        <v/>
      </c>
      <c r="M3" t="str">
        <f>averages!U16</f>
        <v/>
      </c>
      <c r="N3" t="str">
        <f>averages!V16</f>
        <v/>
      </c>
      <c r="P3" t="str">
        <f>averages!A16</f>
        <v>kinematic-car-filter</v>
      </c>
    </row>
    <row r="4" spans="1:16" x14ac:dyDescent="0.25">
      <c r="A4" t="s">
        <v>138</v>
      </c>
      <c r="B4" t="s">
        <v>139</v>
      </c>
      <c r="C4" t="str">
        <f>_xlfn.TEXTAFTER(P4,"-", -1)</f>
        <v>gurobi</v>
      </c>
      <c r="D4" t="s">
        <v>72</v>
      </c>
      <c r="E4" t="str">
        <f>averages!E17</f>
        <v>XML-RPC rejected</v>
      </c>
      <c r="F4" t="str">
        <f>averages!G17</f>
        <v/>
      </c>
      <c r="G4">
        <f>averages!AK17</f>
        <v>0</v>
      </c>
      <c r="H4">
        <f>averages!AL17</f>
        <v>0</v>
      </c>
      <c r="I4">
        <f>averages!AM17</f>
        <v>0</v>
      </c>
      <c r="J4" s="2">
        <f>'std. dev'!AK17</f>
        <v>0</v>
      </c>
      <c r="K4" t="str">
        <f>averages!I17</f>
        <v/>
      </c>
      <c r="L4" t="str">
        <f>averages!T17</f>
        <v/>
      </c>
      <c r="M4" t="str">
        <f>averages!U17</f>
        <v/>
      </c>
      <c r="N4" t="str">
        <f>averages!V17</f>
        <v/>
      </c>
      <c r="P4" t="str">
        <f>averages!A17</f>
        <v>kinematic-car-gurobi</v>
      </c>
    </row>
    <row r="5" spans="1:16" x14ac:dyDescent="0.25">
      <c r="A5" t="s">
        <v>138</v>
      </c>
      <c r="B5" t="s">
        <v>139</v>
      </c>
      <c r="C5" t="str">
        <f>_xlfn.TEXTAFTER(P5,"-", -1)</f>
        <v>ipopt</v>
      </c>
      <c r="D5" t="s">
        <v>72</v>
      </c>
      <c r="E5" t="str">
        <f>averages!E18</f>
        <v>solved</v>
      </c>
      <c r="F5">
        <f>averages!G18</f>
        <v>1.9589704802793864</v>
      </c>
      <c r="G5">
        <f>averages!AK18</f>
        <v>0.51328909999999994</v>
      </c>
      <c r="H5">
        <f>averages!AL18</f>
        <v>0.33872400000000003</v>
      </c>
      <c r="I5">
        <f>averages!AM18</f>
        <v>0.72522900000000001</v>
      </c>
      <c r="J5" s="2">
        <f>'std. dev'!AK18</f>
        <v>0.16893359692787305</v>
      </c>
      <c r="K5">
        <f>averages!I18</f>
        <v>70</v>
      </c>
      <c r="L5">
        <f>averages!T18</f>
        <v>391</v>
      </c>
      <c r="M5">
        <f>averages!U18</f>
        <v>341</v>
      </c>
      <c r="N5">
        <f>averages!V18</f>
        <v>0</v>
      </c>
      <c r="P5" t="str">
        <f>averages!A18</f>
        <v>kinematic-car-ipopt</v>
      </c>
    </row>
    <row r="6" spans="1:16" x14ac:dyDescent="0.25">
      <c r="A6" t="s">
        <v>138</v>
      </c>
      <c r="B6" t="s">
        <v>139</v>
      </c>
      <c r="C6" t="str">
        <f>_xlfn.TEXTAFTER(P6,"-", -1)</f>
        <v>knitro</v>
      </c>
      <c r="D6" t="s">
        <v>72</v>
      </c>
      <c r="E6" t="str">
        <f>averages!E19</f>
        <v/>
      </c>
      <c r="F6" t="str">
        <f>averages!G19</f>
        <v/>
      </c>
      <c r="G6">
        <f>averages!AK19</f>
        <v>0</v>
      </c>
      <c r="H6">
        <f>averages!AL19</f>
        <v>0</v>
      </c>
      <c r="I6">
        <f>averages!AM19</f>
        <v>0</v>
      </c>
      <c r="J6" s="2">
        <f>'std. dev'!AK19</f>
        <v>0</v>
      </c>
      <c r="K6" t="str">
        <f>averages!I19</f>
        <v/>
      </c>
      <c r="L6" t="str">
        <f>averages!T19</f>
        <v/>
      </c>
      <c r="M6" t="str">
        <f>averages!U19</f>
        <v/>
      </c>
      <c r="N6" t="str">
        <f>averages!V19</f>
        <v/>
      </c>
      <c r="P6" t="str">
        <f>averages!A19</f>
        <v>kinematic-car-knitro</v>
      </c>
    </row>
    <row r="7" spans="1:16" x14ac:dyDescent="0.25">
      <c r="A7" t="s">
        <v>138</v>
      </c>
      <c r="B7" t="s">
        <v>139</v>
      </c>
      <c r="C7" t="str">
        <f>_xlfn.TEXTAFTER(P7,"-", -1)</f>
        <v>lancelot</v>
      </c>
      <c r="D7" t="s">
        <v>72</v>
      </c>
      <c r="E7" t="str">
        <f>averages!E20</f>
        <v>failure</v>
      </c>
      <c r="F7">
        <f>averages!G20</f>
        <v>0</v>
      </c>
      <c r="G7">
        <f>averages!AK20</f>
        <v>9.6046199999999998E-2</v>
      </c>
      <c r="H7">
        <f>averages!AL20</f>
        <v>7.5784000000000004E-2</v>
      </c>
      <c r="I7">
        <f>averages!AM20</f>
        <v>0.13386200000000001</v>
      </c>
      <c r="J7" s="2">
        <f>'std. dev'!AK20</f>
        <v>1.991307315866191E-2</v>
      </c>
      <c r="K7" t="str">
        <f>averages!I20</f>
        <v/>
      </c>
      <c r="L7" t="str">
        <f>averages!T20</f>
        <v/>
      </c>
      <c r="M7" t="str">
        <f>averages!U20</f>
        <v/>
      </c>
      <c r="N7" t="str">
        <f>averages!V20</f>
        <v/>
      </c>
      <c r="P7" t="str">
        <f>averages!A20</f>
        <v>kinematic-car-lancelot</v>
      </c>
    </row>
    <row r="8" spans="1:16" x14ac:dyDescent="0.25">
      <c r="A8" t="s">
        <v>138</v>
      </c>
      <c r="B8" t="s">
        <v>139</v>
      </c>
      <c r="C8" t="str">
        <f>_xlfn.TEXTAFTER(P8,"-", -1)</f>
        <v>loqo</v>
      </c>
      <c r="D8" t="s">
        <v>72</v>
      </c>
      <c r="E8" t="str">
        <f>averages!E21</f>
        <v>solved</v>
      </c>
      <c r="F8">
        <f>averages!G21</f>
        <v>1.9589704335602907</v>
      </c>
      <c r="G8">
        <f>averages!AK21</f>
        <v>0.2093149</v>
      </c>
      <c r="H8">
        <f>averages!AL21</f>
        <v>0.135462</v>
      </c>
      <c r="I8">
        <f>averages!AM21</f>
        <v>0.270679</v>
      </c>
      <c r="J8" s="2">
        <f>'std. dev'!AK21</f>
        <v>5.1380177488664455E-2</v>
      </c>
      <c r="K8" t="str">
        <f>averages!I21</f>
        <v/>
      </c>
      <c r="L8" t="str">
        <f>averages!T21</f>
        <v/>
      </c>
      <c r="M8" t="str">
        <f>averages!U21</f>
        <v/>
      </c>
      <c r="N8" t="str">
        <f>averages!V21</f>
        <v/>
      </c>
      <c r="P8" t="str">
        <f>averages!A21</f>
        <v>kinematic-car-loqo</v>
      </c>
    </row>
    <row r="9" spans="1:16" x14ac:dyDescent="0.25">
      <c r="A9" t="s">
        <v>138</v>
      </c>
      <c r="B9" t="s">
        <v>139</v>
      </c>
      <c r="C9" t="str">
        <f>_xlfn.TEXTAFTER(P9,"-", -1)</f>
        <v>minos</v>
      </c>
      <c r="D9" t="s">
        <v>72</v>
      </c>
      <c r="E9" t="str">
        <f>averages!E22</f>
        <v>infeasible</v>
      </c>
      <c r="F9">
        <f>averages!G22</f>
        <v>0</v>
      </c>
      <c r="G9">
        <f>averages!AK22</f>
        <v>0.11023769999999999</v>
      </c>
      <c r="H9">
        <f>averages!AL22</f>
        <v>9.3435000000000004E-2</v>
      </c>
      <c r="I9">
        <f>averages!AM22</f>
        <v>0.12802000000000002</v>
      </c>
      <c r="J9" s="2">
        <f>'std. dev'!AK22</f>
        <v>1.1377117004955363E-2</v>
      </c>
      <c r="K9" t="str">
        <f>averages!I22</f>
        <v/>
      </c>
      <c r="L9" t="str">
        <f>averages!T22</f>
        <v/>
      </c>
      <c r="M9" t="str">
        <f>averages!U22</f>
        <v/>
      </c>
      <c r="N9" t="str">
        <f>averages!V22</f>
        <v/>
      </c>
      <c r="P9" t="str">
        <f>averages!A22</f>
        <v>kinematic-car-minos</v>
      </c>
    </row>
    <row r="10" spans="1:16" x14ac:dyDescent="0.25">
      <c r="A10" t="s">
        <v>138</v>
      </c>
      <c r="B10" t="s">
        <v>139</v>
      </c>
      <c r="C10" t="str">
        <f>_xlfn.TEXTAFTER(P10,"-", -1)</f>
        <v>snopt</v>
      </c>
      <c r="D10" t="s">
        <v>72</v>
      </c>
      <c r="E10" t="str">
        <f>averages!E23</f>
        <v>infeasible</v>
      </c>
      <c r="F10">
        <f>averages!G23</f>
        <v>0</v>
      </c>
      <c r="G10">
        <f>averages!AK23</f>
        <v>0.1081882</v>
      </c>
      <c r="H10">
        <f>averages!AL23</f>
        <v>7.5719999999999996E-2</v>
      </c>
      <c r="I10">
        <f>averages!AM23</f>
        <v>0.135187</v>
      </c>
      <c r="J10" s="2">
        <f>'std. dev'!AK23</f>
        <v>2.4826733444235281E-2</v>
      </c>
      <c r="K10" t="str">
        <f>averages!I23</f>
        <v/>
      </c>
      <c r="L10" t="str">
        <f>averages!T23</f>
        <v/>
      </c>
      <c r="M10" t="str">
        <f>averages!U23</f>
        <v/>
      </c>
      <c r="N10" t="str">
        <f>averages!V23</f>
        <v/>
      </c>
      <c r="P10" t="str">
        <f>averages!A23</f>
        <v>kinematic-car-snopt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CEB0A0-D9CE-4CFA-9EB0-EE05356BB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neos_benchmark</vt:lpstr>
      <vt:lpstr>averages</vt:lpstr>
      <vt:lpstr>std. dev</vt:lpstr>
      <vt:lpstr>table_pre</vt:lpstr>
      <vt:lpstr>table_ns</vt:lpstr>
      <vt:lpstr>table_kc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Rosa</dc:creator>
  <cp:lastModifiedBy>Nelson Rosa</cp:lastModifiedBy>
  <dcterms:created xsi:type="dcterms:W3CDTF">2026-06-14T13:28:18Z</dcterms:created>
  <dcterms:modified xsi:type="dcterms:W3CDTF">2026-06-24T20:39:52Z</dcterms:modified>
</cp:coreProperties>
</file>