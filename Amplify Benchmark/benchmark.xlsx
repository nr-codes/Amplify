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\Documents\Sync\IIT\Research Papers\TRO 2026\code\Amplify Benchmark\"/>
    </mc:Choice>
  </mc:AlternateContent>
  <xr:revisionPtr revIDLastSave="0" documentId="13_ncr:1_{C4F1FFBA-41B1-4C46-9B10-990645E8ED64}" xr6:coauthVersionLast="47" xr6:coauthVersionMax="47" xr10:uidLastSave="{00000000-0000-0000-0000-000000000000}"/>
  <bookViews>
    <workbookView xWindow="13665" yWindow="3720" windowWidth="20880" windowHeight="15345" firstSheet="1" activeTab="8" xr2:uid="{ABA3B928-2EC6-44E3-AEA7-F48D40BD5B05}"/>
  </bookViews>
  <sheets>
    <sheet name="benchmark" sheetId="2" r:id="rId1"/>
    <sheet name="averages" sheetId="1" r:id="rId2"/>
    <sheet name="std. dev" sheetId="3" r:id="rId3"/>
    <sheet name="table_ot" sheetId="4" r:id="rId4"/>
    <sheet name="table_tc" sheetId="5" r:id="rId5"/>
    <sheet name="table_hn" sheetId="7" r:id="rId6"/>
    <sheet name="table_pre" sheetId="6" r:id="rId7"/>
    <sheet name="table_ns" sheetId="8" r:id="rId8"/>
    <sheet name="table_kc" sheetId="9" r:id="rId9"/>
    <sheet name="table_gp" sheetId="10" r:id="rId10"/>
  </sheets>
  <definedNames>
    <definedName name="ExternalData_1" localSheetId="0" hidden="1">benchmark!$A$1:$AJ$261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9" l="1"/>
  <c r="M4" i="9"/>
  <c r="M5" i="9"/>
  <c r="M6" i="9"/>
  <c r="M7" i="9"/>
  <c r="M8" i="9"/>
  <c r="M9" i="9"/>
  <c r="M10" i="9"/>
  <c r="M2" i="9"/>
  <c r="L3" i="9"/>
  <c r="L4" i="9"/>
  <c r="L5" i="9"/>
  <c r="L6" i="9"/>
  <c r="L7" i="9"/>
  <c r="L8" i="9"/>
  <c r="L9" i="9"/>
  <c r="L10" i="9"/>
  <c r="L2" i="9"/>
  <c r="E3" i="10"/>
  <c r="E4" i="10"/>
  <c r="E5" i="10"/>
  <c r="E6" i="10"/>
  <c r="E7" i="10"/>
  <c r="E8" i="10"/>
  <c r="E2" i="10"/>
  <c r="O3" i="10"/>
  <c r="O4" i="10"/>
  <c r="O5" i="10"/>
  <c r="O6" i="10"/>
  <c r="O7" i="10"/>
  <c r="C7" i="10" s="1"/>
  <c r="O8" i="10"/>
  <c r="C8" i="10" s="1"/>
  <c r="O2" i="10"/>
  <c r="C6" i="10"/>
  <c r="C5" i="10"/>
  <c r="C4" i="10"/>
  <c r="C3" i="10"/>
  <c r="C2" i="10"/>
  <c r="E3" i="9"/>
  <c r="E4" i="9"/>
  <c r="E5" i="9"/>
  <c r="E6" i="9"/>
  <c r="E7" i="9"/>
  <c r="E8" i="9"/>
  <c r="E9" i="9"/>
  <c r="E10" i="9"/>
  <c r="E2" i="9"/>
  <c r="C3" i="9" l="1"/>
  <c r="C4" i="9"/>
  <c r="C5" i="9"/>
  <c r="C6" i="9"/>
  <c r="C7" i="9"/>
  <c r="C8" i="9"/>
  <c r="C9" i="9"/>
  <c r="C10" i="9"/>
  <c r="C2" i="9"/>
  <c r="O3" i="9"/>
  <c r="O4" i="9"/>
  <c r="O5" i="9"/>
  <c r="O6" i="9"/>
  <c r="O7" i="9"/>
  <c r="O8" i="9"/>
  <c r="O9" i="9"/>
  <c r="O10" i="9"/>
  <c r="O2" i="9"/>
  <c r="B27" i="3"/>
  <c r="C27" i="3" s="1" a="1"/>
  <c r="C27" i="3" s="1"/>
  <c r="B27" i="1"/>
  <c r="M27" i="1" s="1"/>
  <c r="B26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E1" i="3"/>
  <c r="F1" i="3"/>
  <c r="G1" i="3"/>
  <c r="H1" i="3"/>
  <c r="I1" i="3"/>
  <c r="J1" i="3"/>
  <c r="K1" i="3"/>
  <c r="L1" i="3"/>
  <c r="M1" i="3"/>
  <c r="N1" i="3"/>
  <c r="O1" i="3"/>
  <c r="P1" i="3"/>
  <c r="B26" i="1"/>
  <c r="N26" i="3" s="1"/>
  <c r="AC1" i="1"/>
  <c r="AD1" i="1"/>
  <c r="AE1" i="1"/>
  <c r="AF1" i="1"/>
  <c r="AG1" i="1"/>
  <c r="AH1" i="1"/>
  <c r="AI1" i="1"/>
  <c r="AJ1" i="1"/>
  <c r="Z1" i="1"/>
  <c r="AA1" i="1"/>
  <c r="AB1" i="1"/>
  <c r="S1" i="1"/>
  <c r="T1" i="1"/>
  <c r="U1" i="1"/>
  <c r="V1" i="1"/>
  <c r="W1" i="1"/>
  <c r="X1" i="1"/>
  <c r="Y1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B14" i="1"/>
  <c r="G14" i="3" s="1"/>
  <c r="B15" i="1"/>
  <c r="AS15" i="1" s="1"/>
  <c r="B16" i="1"/>
  <c r="M16" i="1" s="1"/>
  <c r="B17" i="1"/>
  <c r="AE17" i="3" s="1"/>
  <c r="B18" i="1"/>
  <c r="AF18" i="3" s="1"/>
  <c r="B19" i="1"/>
  <c r="Y19" i="1" s="1"/>
  <c r="B20" i="1"/>
  <c r="Z20" i="3" s="1"/>
  <c r="B21" i="1"/>
  <c r="AA21" i="3" s="1"/>
  <c r="B22" i="1"/>
  <c r="X22" i="3" s="1"/>
  <c r="B23" i="1"/>
  <c r="U23" i="3" s="1"/>
  <c r="B24" i="1"/>
  <c r="B25" i="1"/>
  <c r="S25" i="3" s="1"/>
  <c r="B16" i="3"/>
  <c r="B17" i="3"/>
  <c r="B18" i="3"/>
  <c r="AL18" i="3" s="1" a="1"/>
  <c r="AL18" i="3" s="1"/>
  <c r="B19" i="3"/>
  <c r="AL19" i="3" s="1" a="1"/>
  <c r="AL19" i="3" s="1"/>
  <c r="B20" i="3"/>
  <c r="AK20" i="3" s="1" a="1"/>
  <c r="AK20" i="3" s="1"/>
  <c r="J7" i="9" s="1"/>
  <c r="B21" i="3"/>
  <c r="C21" i="3" s="1" a="1"/>
  <c r="C21" i="3" s="1"/>
  <c r="B22" i="3"/>
  <c r="D22" i="3" s="1" a="1"/>
  <c r="D22" i="3" s="1"/>
  <c r="B23" i="3"/>
  <c r="C23" i="3" s="1" a="1"/>
  <c r="C23" i="3" s="1"/>
  <c r="B24" i="3"/>
  <c r="A24" i="3" s="1" a="1"/>
  <c r="A24" i="3" s="1"/>
  <c r="B25" i="3"/>
  <c r="B14" i="3"/>
  <c r="B15" i="3"/>
  <c r="AM15" i="3" s="1"/>
  <c r="B13" i="3"/>
  <c r="B12" i="3"/>
  <c r="B11" i="3"/>
  <c r="B10" i="3"/>
  <c r="B9" i="3"/>
  <c r="B8" i="3"/>
  <c r="C8" i="3" s="1" a="1"/>
  <c r="C8" i="3" s="1"/>
  <c r="B7" i="3"/>
  <c r="B6" i="3"/>
  <c r="A6" i="3" s="1" a="1"/>
  <c r="A6" i="3" s="1"/>
  <c r="B5" i="3"/>
  <c r="AK5" i="3" s="1" a="1"/>
  <c r="AK5" i="3" s="1"/>
  <c r="I6" i="4" s="1" a="1"/>
  <c r="I6" i="4" s="1"/>
  <c r="B4" i="3"/>
  <c r="AK4" i="3" s="1" a="1"/>
  <c r="AK4" i="3" s="1"/>
  <c r="I3" i="4" s="1" a="1"/>
  <c r="I3" i="4" s="1"/>
  <c r="B3" i="3"/>
  <c r="AK3" i="3" s="1" a="1"/>
  <c r="AK3" i="3" s="1"/>
  <c r="I4" i="4" s="1" a="1"/>
  <c r="I4" i="4" s="1"/>
  <c r="B2" i="3"/>
  <c r="D1" i="3"/>
  <c r="C1" i="3"/>
  <c r="B1" i="3"/>
  <c r="A1" i="3"/>
  <c r="B13" i="1"/>
  <c r="K13" i="3" s="1"/>
  <c r="B12" i="1"/>
  <c r="G12" i="1" s="1"/>
  <c r="F6" i="10" s="1"/>
  <c r="B11" i="1"/>
  <c r="L11" i="1" s="1"/>
  <c r="B10" i="1"/>
  <c r="Q10" i="1" s="1"/>
  <c r="B9" i="1"/>
  <c r="AQ9" i="1" s="1"/>
  <c r="B8" i="1"/>
  <c r="AN8" i="1" s="1" a="1"/>
  <c r="AN8" i="1" s="1"/>
  <c r="B7" i="1"/>
  <c r="AF7" i="1" s="1"/>
  <c r="D7" i="6" s="1"/>
  <c r="B6" i="1"/>
  <c r="B5" i="1"/>
  <c r="AA5" i="3" s="1"/>
  <c r="B4" i="1"/>
  <c r="AD4" i="3" s="1"/>
  <c r="B3" i="1"/>
  <c r="AM3" i="1" s="1" a="1"/>
  <c r="AM3" i="1" s="1"/>
  <c r="H4" i="4" s="1" a="1"/>
  <c r="H4" i="4" s="1"/>
  <c r="B2" i="1"/>
  <c r="AN2" i="1" s="1" a="1"/>
  <c r="AN2" i="1" s="1"/>
  <c r="A1" i="1"/>
  <c r="AR22" i="1" l="1"/>
  <c r="AC18" i="1"/>
  <c r="L17" i="1"/>
  <c r="S26" i="1"/>
  <c r="O26" i="1"/>
  <c r="AR14" i="1"/>
  <c r="AK12" i="1" a="1"/>
  <c r="AK12" i="1" s="1"/>
  <c r="Q5" i="1"/>
  <c r="AO22" i="1" a="1"/>
  <c r="AO22" i="1" s="1"/>
  <c r="H23" i="1"/>
  <c r="V4" i="1"/>
  <c r="M3" i="4" s="1" a="1"/>
  <c r="M3" i="4" s="1"/>
  <c r="AK8" i="1" a="1"/>
  <c r="AK8" i="1" s="1"/>
  <c r="AN22" i="1" a="1"/>
  <c r="AN22" i="1" s="1"/>
  <c r="G23" i="1"/>
  <c r="F10" i="9" s="1"/>
  <c r="AA3" i="1"/>
  <c r="AO17" i="1" a="1"/>
  <c r="AO17" i="1" s="1"/>
  <c r="M22" i="1"/>
  <c r="AJ26" i="1"/>
  <c r="AP13" i="1" a="1"/>
  <c r="AP13" i="1" s="1"/>
  <c r="L22" i="1"/>
  <c r="AI26" i="1"/>
  <c r="AO8" i="1" a="1"/>
  <c r="AO8" i="1" s="1"/>
  <c r="X19" i="1"/>
  <c r="AD18" i="1"/>
  <c r="L18" i="6" s="1"/>
  <c r="G18" i="1"/>
  <c r="F5" i="9" s="1"/>
  <c r="AS14" i="1"/>
  <c r="AH17" i="1"/>
  <c r="G17" i="6" s="1"/>
  <c r="K17" i="1"/>
  <c r="AA27" i="3"/>
  <c r="X14" i="1"/>
  <c r="AF2" i="1"/>
  <c r="D2" i="6" s="1"/>
  <c r="W14" i="1"/>
  <c r="AE2" i="1"/>
  <c r="C2" i="6" s="1"/>
  <c r="AC13" i="1"/>
  <c r="F5" i="1"/>
  <c r="AB13" i="1"/>
  <c r="AJ22" i="1"/>
  <c r="F4" i="1"/>
  <c r="AG12" i="1"/>
  <c r="F12" i="6" s="1"/>
  <c r="AK17" i="1" a="1"/>
  <c r="AK17" i="1" s="1"/>
  <c r="N27" i="1"/>
  <c r="M11" i="1"/>
  <c r="AK13" i="1" a="1"/>
  <c r="AK13" i="1" s="1"/>
  <c r="P5" i="1"/>
  <c r="AE23" i="1"/>
  <c r="C23" i="6" s="1"/>
  <c r="AR21" i="1"/>
  <c r="AD23" i="1"/>
  <c r="L23" i="6" s="1"/>
  <c r="AH12" i="1"/>
  <c r="G12" i="6" s="1"/>
  <c r="K12" i="1"/>
  <c r="T25" i="1"/>
  <c r="P2" i="7" s="1"/>
  <c r="AL23" i="1" a="1"/>
  <c r="AL23" i="1" s="1"/>
  <c r="H10" i="9" s="1"/>
  <c r="A25" i="1" a="1"/>
  <c r="A25" i="1" s="1"/>
  <c r="O21" i="1"/>
  <c r="AL22" i="1" a="1"/>
  <c r="AL22" i="1" s="1"/>
  <c r="H9" i="9" s="1"/>
  <c r="A23" i="1" a="1"/>
  <c r="A23" i="1" s="1"/>
  <c r="N21" i="1"/>
  <c r="R10" i="1"/>
  <c r="AQ21" i="1"/>
  <c r="T20" i="1"/>
  <c r="U25" i="1"/>
  <c r="Q2" i="7" s="1"/>
  <c r="AL14" i="1" a="1"/>
  <c r="AL14" i="1" s="1"/>
  <c r="H8" i="10" s="1"/>
  <c r="S20" i="1"/>
  <c r="W9" i="1"/>
  <c r="I2" i="1"/>
  <c r="J2" i="4" s="1" a="1"/>
  <c r="J2" i="4" s="1"/>
  <c r="H2" i="1"/>
  <c r="AP3" i="1" a="1"/>
  <c r="AP3" i="1" s="1"/>
  <c r="A7" i="3" a="1"/>
  <c r="A7" i="3" s="1"/>
  <c r="AK7" i="3" a="1"/>
  <c r="AK7" i="3" s="1"/>
  <c r="AL7" i="3" a="1"/>
  <c r="AL7" i="3" s="1"/>
  <c r="AM7" i="3"/>
  <c r="M2" i="5" s="1"/>
  <c r="R24" i="3"/>
  <c r="L24" i="1"/>
  <c r="AF24" i="1"/>
  <c r="D24" i="6" s="1"/>
  <c r="S24" i="3"/>
  <c r="M24" i="1"/>
  <c r="AG24" i="1"/>
  <c r="F24" i="6" s="1"/>
  <c r="T24" i="3"/>
  <c r="N24" i="1"/>
  <c r="AH24" i="1"/>
  <c r="G24" i="6" s="1"/>
  <c r="U24" i="3"/>
  <c r="Y24" i="3"/>
  <c r="R24" i="1"/>
  <c r="Z24" i="3"/>
  <c r="S24" i="1"/>
  <c r="AA24" i="3"/>
  <c r="T24" i="1"/>
  <c r="K5" i="4" s="1" a="1"/>
  <c r="K5" i="4" s="1"/>
  <c r="AB24" i="3"/>
  <c r="U24" i="1"/>
  <c r="L5" i="4" s="1" a="1"/>
  <c r="L5" i="4" s="1"/>
  <c r="AC24" i="3"/>
  <c r="V24" i="1"/>
  <c r="M5" i="4" s="1" a="1"/>
  <c r="M5" i="4" s="1"/>
  <c r="F24" i="1"/>
  <c r="AD24" i="3"/>
  <c r="W24" i="1"/>
  <c r="G24" i="3"/>
  <c r="AE24" i="3"/>
  <c r="X24" i="1"/>
  <c r="H24" i="3"/>
  <c r="AF24" i="3"/>
  <c r="I24" i="3"/>
  <c r="AG24" i="3"/>
  <c r="J24" i="3"/>
  <c r="AH24" i="3"/>
  <c r="AA24" i="1"/>
  <c r="A24" i="1" a="1"/>
  <c r="A24" i="1" s="1"/>
  <c r="K24" i="3"/>
  <c r="AB24" i="1"/>
  <c r="L24" i="3"/>
  <c r="AC24" i="1"/>
  <c r="M24" i="3"/>
  <c r="G24" i="1"/>
  <c r="E5" i="4" s="1" a="1"/>
  <c r="E5" i="4" s="1"/>
  <c r="AD24" i="1"/>
  <c r="L24" i="6" s="1"/>
  <c r="N24" i="3"/>
  <c r="H24" i="1"/>
  <c r="AE24" i="1"/>
  <c r="C24" i="6" s="1"/>
  <c r="AK24" i="1" a="1"/>
  <c r="AK24" i="1" s="1"/>
  <c r="AI24" i="3"/>
  <c r="O24" i="3"/>
  <c r="I24" i="1"/>
  <c r="J5" i="4" s="1" a="1"/>
  <c r="J5" i="4" s="1"/>
  <c r="AN24" i="1" a="1"/>
  <c r="AN24" i="1" s="1"/>
  <c r="AL24" i="1" a="1"/>
  <c r="AL24" i="1" s="1"/>
  <c r="G5" i="4" s="1" a="1"/>
  <c r="G5" i="4" s="1"/>
  <c r="AJ24" i="3"/>
  <c r="P24" i="3"/>
  <c r="J24" i="1"/>
  <c r="Q24" i="3"/>
  <c r="K24" i="1"/>
  <c r="AQ24" i="1"/>
  <c r="AO24" i="1" a="1"/>
  <c r="AO24" i="1" s="1"/>
  <c r="AM24" i="1" a="1"/>
  <c r="AM24" i="1" s="1"/>
  <c r="H5" i="4" s="1" a="1"/>
  <c r="H5" i="4" s="1"/>
  <c r="V24" i="3"/>
  <c r="O24" i="1"/>
  <c r="AR24" i="1"/>
  <c r="W24" i="3"/>
  <c r="P24" i="1"/>
  <c r="AS24" i="1"/>
  <c r="AP24" i="1" a="1"/>
  <c r="AP24" i="1" s="1"/>
  <c r="X24" i="3"/>
  <c r="Q24" i="1"/>
  <c r="AM7" i="1" a="1"/>
  <c r="AM7" i="1" s="1"/>
  <c r="AL2" i="3" a="1"/>
  <c r="AL2" i="3" s="1"/>
  <c r="AM2" i="3"/>
  <c r="AK2" i="3" a="1"/>
  <c r="AK2" i="3" s="1"/>
  <c r="I2" i="4" s="1" a="1"/>
  <c r="I2" i="4" s="1"/>
  <c r="V9" i="1"/>
  <c r="N3" i="10" s="1"/>
  <c r="J10" i="3"/>
  <c r="AD10" i="3"/>
  <c r="X10" i="1"/>
  <c r="K10" i="3"/>
  <c r="AE10" i="3"/>
  <c r="Y10" i="1"/>
  <c r="L10" i="3"/>
  <c r="AF10" i="3"/>
  <c r="Z10" i="1"/>
  <c r="K10" i="6" s="1"/>
  <c r="M10" i="3"/>
  <c r="AG10" i="3"/>
  <c r="N10" i="3"/>
  <c r="AH10" i="3"/>
  <c r="AA10" i="3"/>
  <c r="J10" i="1"/>
  <c r="AG10" i="1"/>
  <c r="F10" i="6" s="1"/>
  <c r="AL10" i="1" a="1"/>
  <c r="AL10" i="1" s="1"/>
  <c r="H4" i="10" s="1"/>
  <c r="AB10" i="3"/>
  <c r="K10" i="1"/>
  <c r="AH10" i="1"/>
  <c r="G10" i="6" s="1"/>
  <c r="AM10" i="1" a="1"/>
  <c r="AM10" i="1" s="1"/>
  <c r="I4" i="10" s="1"/>
  <c r="AC10" i="3"/>
  <c r="L10" i="1"/>
  <c r="M10" i="1"/>
  <c r="N10" i="1"/>
  <c r="G10" i="3"/>
  <c r="O10" i="1"/>
  <c r="H10" i="3"/>
  <c r="P10" i="1"/>
  <c r="A10" i="1" a="1"/>
  <c r="A10" i="1" s="1"/>
  <c r="I10" i="3"/>
  <c r="O10" i="3"/>
  <c r="P10" i="3"/>
  <c r="S10" i="1"/>
  <c r="Q10" i="3"/>
  <c r="T10" i="1"/>
  <c r="R10" i="3"/>
  <c r="U10" i="1"/>
  <c r="M4" i="10" s="1"/>
  <c r="AI10" i="3"/>
  <c r="S10" i="3"/>
  <c r="V10" i="1"/>
  <c r="N4" i="10" s="1"/>
  <c r="AJ10" i="3"/>
  <c r="T10" i="3"/>
  <c r="W10" i="1"/>
  <c r="F10" i="1"/>
  <c r="U10" i="3"/>
  <c r="AA10" i="1"/>
  <c r="AQ10" i="1"/>
  <c r="V10" i="3"/>
  <c r="AB10" i="1"/>
  <c r="AR10" i="1"/>
  <c r="W10" i="3"/>
  <c r="AC10" i="1"/>
  <c r="AS10" i="1"/>
  <c r="AN10" i="1" a="1"/>
  <c r="AN10" i="1" s="1"/>
  <c r="X10" i="3"/>
  <c r="G10" i="1"/>
  <c r="F4" i="10" s="1"/>
  <c r="AD10" i="1"/>
  <c r="L10" i="6" s="1"/>
  <c r="AO10" i="1" a="1"/>
  <c r="AO10" i="1" s="1"/>
  <c r="Y10" i="3"/>
  <c r="H10" i="1"/>
  <c r="AE10" i="1"/>
  <c r="C10" i="6" s="1"/>
  <c r="AK10" i="1" a="1"/>
  <c r="AK10" i="1" s="1"/>
  <c r="Z10" i="3"/>
  <c r="I10" i="1"/>
  <c r="K4" i="10" s="1"/>
  <c r="AF10" i="1"/>
  <c r="AP10" i="1" a="1"/>
  <c r="AP10" i="1" s="1"/>
  <c r="AS7" i="1"/>
  <c r="L2" i="5" s="1"/>
  <c r="V11" i="3"/>
  <c r="P11" i="1"/>
  <c r="W11" i="3"/>
  <c r="Q11" i="1"/>
  <c r="X11" i="3"/>
  <c r="R11" i="1"/>
  <c r="Y11" i="3"/>
  <c r="Z11" i="3"/>
  <c r="AC11" i="3"/>
  <c r="AB11" i="1"/>
  <c r="AN11" i="1" a="1"/>
  <c r="AN11" i="1" s="1"/>
  <c r="AD11" i="3"/>
  <c r="AC11" i="1"/>
  <c r="AE11" i="3"/>
  <c r="G11" i="1"/>
  <c r="F5" i="10" s="1"/>
  <c r="AD11" i="1"/>
  <c r="L11" i="6" s="1"/>
  <c r="AO11" i="1" a="1"/>
  <c r="AO11" i="1" s="1"/>
  <c r="AK11" i="1" a="1"/>
  <c r="AK11" i="1" s="1"/>
  <c r="G11" i="3"/>
  <c r="AF11" i="3"/>
  <c r="H11" i="1"/>
  <c r="AE11" i="1"/>
  <c r="C11" i="6" s="1"/>
  <c r="H11" i="3"/>
  <c r="AG11" i="3"/>
  <c r="I11" i="1"/>
  <c r="K5" i="10" s="1"/>
  <c r="AF11" i="1"/>
  <c r="AP11" i="1" a="1"/>
  <c r="AP11" i="1" s="1"/>
  <c r="AL11" i="1" a="1"/>
  <c r="AL11" i="1" s="1"/>
  <c r="H5" i="10" s="1"/>
  <c r="I11" i="3"/>
  <c r="AH11" i="3"/>
  <c r="J11" i="1"/>
  <c r="AG11" i="1"/>
  <c r="F11" i="6" s="1"/>
  <c r="J11" i="3"/>
  <c r="K11" i="1"/>
  <c r="AH11" i="1"/>
  <c r="G11" i="6" s="1"/>
  <c r="AM11" i="1" a="1"/>
  <c r="AM11" i="1" s="1"/>
  <c r="I5" i="10" s="1"/>
  <c r="K11" i="3"/>
  <c r="L11" i="3"/>
  <c r="M11" i="3"/>
  <c r="N11" i="1"/>
  <c r="N11" i="3"/>
  <c r="O11" i="1"/>
  <c r="O11" i="3"/>
  <c r="S11" i="1"/>
  <c r="P11" i="3"/>
  <c r="T11" i="1"/>
  <c r="Q11" i="3"/>
  <c r="U11" i="1"/>
  <c r="M5" i="10" s="1"/>
  <c r="AI11" i="3"/>
  <c r="R11" i="3"/>
  <c r="V11" i="1"/>
  <c r="N5" i="10" s="1"/>
  <c r="F11" i="1"/>
  <c r="AJ11" i="3"/>
  <c r="S11" i="3"/>
  <c r="W11" i="1"/>
  <c r="T11" i="3"/>
  <c r="X11" i="1"/>
  <c r="U11" i="3"/>
  <c r="Y11" i="1"/>
  <c r="AQ11" i="1"/>
  <c r="AA11" i="3"/>
  <c r="Z11" i="1"/>
  <c r="K11" i="6" s="1"/>
  <c r="AR11" i="1"/>
  <c r="AB11" i="3"/>
  <c r="AA11" i="1"/>
  <c r="AS11" i="1"/>
  <c r="AM25" i="3"/>
  <c r="N2" i="7" s="1"/>
  <c r="AL25" i="3" a="1"/>
  <c r="AL25" i="3" s="1"/>
  <c r="AK25" i="3" a="1"/>
  <c r="AK25" i="3" s="1"/>
  <c r="J2" i="7" s="1"/>
  <c r="A25" i="3" a="1"/>
  <c r="A25" i="3" s="1"/>
  <c r="Y24" i="1"/>
  <c r="AJ2" i="3"/>
  <c r="AA2" i="3"/>
  <c r="Q2" i="1"/>
  <c r="H2" i="3"/>
  <c r="AB2" i="3"/>
  <c r="R2" i="1"/>
  <c r="I2" i="3"/>
  <c r="AC2" i="3"/>
  <c r="S2" i="1"/>
  <c r="K2" i="3"/>
  <c r="AH2" i="3"/>
  <c r="X2" i="1"/>
  <c r="L2" i="3"/>
  <c r="Y2" i="1"/>
  <c r="AM2" i="1" a="1"/>
  <c r="AM2" i="1" s="1"/>
  <c r="H2" i="4" s="1" a="1"/>
  <c r="H2" i="4" s="1"/>
  <c r="M2" i="3"/>
  <c r="Z2" i="1"/>
  <c r="K2" i="6" s="1"/>
  <c r="AS2" i="1"/>
  <c r="AL2" i="1" a="1"/>
  <c r="AL2" i="1" s="1"/>
  <c r="G2" i="4" s="1" a="1"/>
  <c r="G2" i="4" s="1"/>
  <c r="N2" i="3"/>
  <c r="AA2" i="1"/>
  <c r="AR2" i="1"/>
  <c r="AK2" i="1" a="1"/>
  <c r="AK2" i="1" s="1"/>
  <c r="O2" i="3"/>
  <c r="AB2" i="1"/>
  <c r="AQ2" i="1"/>
  <c r="P2" i="3"/>
  <c r="AC2" i="1"/>
  <c r="AP2" i="1" a="1"/>
  <c r="AP2" i="1" s="1"/>
  <c r="Q2" i="3"/>
  <c r="G2" i="1"/>
  <c r="E2" i="4" s="1" a="1"/>
  <c r="E2" i="4" s="1"/>
  <c r="AD2" i="1"/>
  <c r="L2" i="6" s="1"/>
  <c r="AO2" i="1" a="1"/>
  <c r="AO2" i="1" s="1"/>
  <c r="R2" i="3"/>
  <c r="S2" i="3"/>
  <c r="T2" i="3"/>
  <c r="J2" i="1"/>
  <c r="AG2" i="1"/>
  <c r="F2" i="6" s="1"/>
  <c r="U2" i="3"/>
  <c r="K2" i="1"/>
  <c r="AH2" i="1"/>
  <c r="G2" i="6" s="1"/>
  <c r="V2" i="3"/>
  <c r="L2" i="1"/>
  <c r="W2" i="3"/>
  <c r="M2" i="1"/>
  <c r="X2" i="3"/>
  <c r="N2" i="1"/>
  <c r="Y2" i="3"/>
  <c r="O2" i="1"/>
  <c r="Z2" i="3"/>
  <c r="P2" i="1"/>
  <c r="AD2" i="3"/>
  <c r="T2" i="1"/>
  <c r="K2" i="4" s="1" a="1"/>
  <c r="K2" i="4" s="1"/>
  <c r="AE2" i="3"/>
  <c r="U2" i="1"/>
  <c r="L2" i="4" s="1" a="1"/>
  <c r="L2" i="4" s="1"/>
  <c r="AF2" i="3"/>
  <c r="V2" i="1"/>
  <c r="M2" i="4" s="1" a="1"/>
  <c r="M2" i="4" s="1"/>
  <c r="J2" i="3"/>
  <c r="AG2" i="3"/>
  <c r="W2" i="1"/>
  <c r="AL10" i="3" a="1"/>
  <c r="AL10" i="3" s="1"/>
  <c r="AK10" i="3" a="1"/>
  <c r="AK10" i="3" s="1"/>
  <c r="J4" i="10" s="1"/>
  <c r="A10" i="3" a="1"/>
  <c r="A10" i="3" s="1"/>
  <c r="AM10" i="3"/>
  <c r="N7" i="3"/>
  <c r="AH7" i="3"/>
  <c r="H7" i="1"/>
  <c r="AB7" i="1"/>
  <c r="O7" i="3"/>
  <c r="I7" i="1"/>
  <c r="N2" i="5" s="1"/>
  <c r="AC7" i="1"/>
  <c r="AI7" i="3"/>
  <c r="P7" i="3"/>
  <c r="J7" i="1"/>
  <c r="AD7" i="1"/>
  <c r="L7" i="6" s="1"/>
  <c r="AJ7" i="3"/>
  <c r="Q7" i="3"/>
  <c r="R7" i="3"/>
  <c r="AE7" i="3"/>
  <c r="V7" i="1"/>
  <c r="Q2" i="5" s="1"/>
  <c r="G7" i="3"/>
  <c r="AF7" i="3"/>
  <c r="W7" i="1"/>
  <c r="H7" i="3"/>
  <c r="AG7" i="3"/>
  <c r="X7" i="1"/>
  <c r="A7" i="1" a="1"/>
  <c r="A7" i="1" s="1"/>
  <c r="AN7" i="1" a="1"/>
  <c r="AN7" i="1" s="1"/>
  <c r="I7" i="3"/>
  <c r="Y7" i="1"/>
  <c r="J7" i="3"/>
  <c r="Z7" i="1"/>
  <c r="K7" i="6" s="1"/>
  <c r="AO7" i="1" a="1"/>
  <c r="AO7" i="1" s="1"/>
  <c r="K7" i="3"/>
  <c r="AA7" i="1"/>
  <c r="AQ7" i="1"/>
  <c r="J2" i="5" s="1"/>
  <c r="AP7" i="1" a="1"/>
  <c r="AP7" i="1" s="1"/>
  <c r="AK7" i="1" a="1"/>
  <c r="AK7" i="1" s="1"/>
  <c r="I7" i="6" s="1"/>
  <c r="L7" i="3"/>
  <c r="AE7" i="1"/>
  <c r="C7" i="6" s="1"/>
  <c r="E7" i="6" s="1"/>
  <c r="AR7" i="1"/>
  <c r="K2" i="5" s="1"/>
  <c r="AL7" i="1" a="1"/>
  <c r="AL7" i="1" s="1"/>
  <c r="M7" i="3"/>
  <c r="S7" i="3"/>
  <c r="T7" i="3"/>
  <c r="K7" i="1"/>
  <c r="AH7" i="1"/>
  <c r="G7" i="6" s="1"/>
  <c r="U7" i="3"/>
  <c r="L7" i="1"/>
  <c r="F7" i="1"/>
  <c r="D7" i="1" a="1"/>
  <c r="D7" i="1" s="1"/>
  <c r="V7" i="3"/>
  <c r="M7" i="1"/>
  <c r="W7" i="3"/>
  <c r="N7" i="1"/>
  <c r="X7" i="3"/>
  <c r="O7" i="1"/>
  <c r="Y7" i="3"/>
  <c r="P7" i="1"/>
  <c r="Z7" i="3"/>
  <c r="Q7" i="1"/>
  <c r="AA7" i="3"/>
  <c r="R7" i="1"/>
  <c r="AB7" i="3"/>
  <c r="S7" i="1"/>
  <c r="AC7" i="3"/>
  <c r="T7" i="1"/>
  <c r="O2" i="5" s="1"/>
  <c r="AD7" i="3"/>
  <c r="U7" i="1"/>
  <c r="P2" i="5" s="1"/>
  <c r="R19" i="3"/>
  <c r="L19" i="1"/>
  <c r="AF19" i="1"/>
  <c r="D19" i="6" s="1"/>
  <c r="S19" i="3"/>
  <c r="M19" i="1"/>
  <c r="AG19" i="1"/>
  <c r="F19" i="6" s="1"/>
  <c r="T19" i="3"/>
  <c r="N19" i="1"/>
  <c r="AH19" i="1"/>
  <c r="G19" i="6" s="1"/>
  <c r="U19" i="3"/>
  <c r="AI19" i="3"/>
  <c r="M19" i="3"/>
  <c r="Q19" i="1"/>
  <c r="A19" i="1" a="1"/>
  <c r="A19" i="1" s="1"/>
  <c r="N19" i="3"/>
  <c r="R19" i="1"/>
  <c r="AQ19" i="1"/>
  <c r="O19" i="3"/>
  <c r="S19" i="1"/>
  <c r="AR19" i="1"/>
  <c r="P19" i="3"/>
  <c r="T19" i="1"/>
  <c r="AS19" i="1"/>
  <c r="Q19" i="3"/>
  <c r="U19" i="1"/>
  <c r="AJ19" i="3"/>
  <c r="V19" i="3"/>
  <c r="V19" i="1"/>
  <c r="N6" i="9" s="1"/>
  <c r="W19" i="3"/>
  <c r="W19" i="1"/>
  <c r="X19" i="3"/>
  <c r="Y19" i="3"/>
  <c r="Z19" i="3"/>
  <c r="Z19" i="1"/>
  <c r="K19" i="6" s="1"/>
  <c r="AA19" i="3"/>
  <c r="AA19" i="1"/>
  <c r="AB19" i="3"/>
  <c r="AB19" i="1"/>
  <c r="AC19" i="3"/>
  <c r="AC19" i="1"/>
  <c r="AD19" i="3"/>
  <c r="G19" i="1"/>
  <c r="F6" i="9" s="1"/>
  <c r="AD19" i="1"/>
  <c r="L19" i="6" s="1"/>
  <c r="G19" i="3"/>
  <c r="AE19" i="3"/>
  <c r="H19" i="1"/>
  <c r="AE19" i="1"/>
  <c r="C19" i="6" s="1"/>
  <c r="AN19" i="1" a="1"/>
  <c r="AN19" i="1" s="1"/>
  <c r="H19" i="3"/>
  <c r="AF19" i="3"/>
  <c r="I19" i="1"/>
  <c r="K6" i="9" s="1"/>
  <c r="AO19" i="1" a="1"/>
  <c r="AO19" i="1" s="1"/>
  <c r="AK19" i="1" a="1"/>
  <c r="AK19" i="1" s="1"/>
  <c r="I19" i="3"/>
  <c r="AG19" i="3"/>
  <c r="J19" i="1"/>
  <c r="AP19" i="1" a="1"/>
  <c r="AP19" i="1" s="1"/>
  <c r="AL19" i="1" a="1"/>
  <c r="AL19" i="1" s="1"/>
  <c r="H6" i="9" s="1"/>
  <c r="J19" i="3"/>
  <c r="AH19" i="3"/>
  <c r="K19" i="1"/>
  <c r="AM19" i="1" a="1"/>
  <c r="AM19" i="1" s="1"/>
  <c r="I6" i="9" s="1"/>
  <c r="K19" i="3"/>
  <c r="O19" i="1"/>
  <c r="L19" i="3"/>
  <c r="P19" i="1"/>
  <c r="F19" i="1"/>
  <c r="AI16" i="3"/>
  <c r="V16" i="3"/>
  <c r="P16" i="1"/>
  <c r="F16" i="1"/>
  <c r="AJ16" i="3"/>
  <c r="W16" i="3"/>
  <c r="Q16" i="1"/>
  <c r="X16" i="3"/>
  <c r="R16" i="1"/>
  <c r="Y16" i="3"/>
  <c r="Z16" i="3"/>
  <c r="S16" i="3"/>
  <c r="AC16" i="1"/>
  <c r="T16" i="3"/>
  <c r="G16" i="1"/>
  <c r="F3" i="9" s="1"/>
  <c r="AD16" i="1"/>
  <c r="L16" i="6" s="1"/>
  <c r="U16" i="3"/>
  <c r="H16" i="1"/>
  <c r="AE16" i="1"/>
  <c r="C16" i="6" s="1"/>
  <c r="AN16" i="1" a="1"/>
  <c r="AN16" i="1" s="1"/>
  <c r="AA16" i="3"/>
  <c r="I16" i="1"/>
  <c r="K3" i="9" s="1"/>
  <c r="AF16" i="1"/>
  <c r="D16" i="6" s="1"/>
  <c r="AB16" i="3"/>
  <c r="J16" i="1"/>
  <c r="AG16" i="1"/>
  <c r="F16" i="6" s="1"/>
  <c r="AO16" i="1" a="1"/>
  <c r="AO16" i="1" s="1"/>
  <c r="AK16" i="1" a="1"/>
  <c r="AK16" i="1" s="1"/>
  <c r="AC16" i="3"/>
  <c r="K16" i="1"/>
  <c r="AH16" i="1"/>
  <c r="G16" i="6" s="1"/>
  <c r="AP16" i="1" a="1"/>
  <c r="AP16" i="1" s="1"/>
  <c r="AL16" i="1" a="1"/>
  <c r="AL16" i="1" s="1"/>
  <c r="H3" i="9" s="1"/>
  <c r="AD16" i="3"/>
  <c r="L16" i="1"/>
  <c r="AM16" i="1" a="1"/>
  <c r="AM16" i="1" s="1"/>
  <c r="I3" i="9" s="1"/>
  <c r="AE16" i="3"/>
  <c r="G16" i="3"/>
  <c r="AF16" i="3"/>
  <c r="H16" i="3"/>
  <c r="AG16" i="3"/>
  <c r="O16" i="1"/>
  <c r="I16" i="3"/>
  <c r="AH16" i="3"/>
  <c r="S16" i="1"/>
  <c r="J16" i="3"/>
  <c r="T16" i="1"/>
  <c r="K16" i="3"/>
  <c r="U16" i="1"/>
  <c r="AQ16" i="1"/>
  <c r="L16" i="3"/>
  <c r="V16" i="1"/>
  <c r="N3" i="9" s="1"/>
  <c r="AR16" i="1"/>
  <c r="M16" i="3"/>
  <c r="W16" i="1"/>
  <c r="AS16" i="1"/>
  <c r="N16" i="3"/>
  <c r="X16" i="1"/>
  <c r="O16" i="3"/>
  <c r="Y16" i="1"/>
  <c r="A16" i="1" a="1"/>
  <c r="A16" i="1" s="1"/>
  <c r="P16" i="3"/>
  <c r="Z16" i="1"/>
  <c r="K16" i="6" s="1"/>
  <c r="Q16" i="3"/>
  <c r="AA16" i="1"/>
  <c r="R16" i="3"/>
  <c r="AB16" i="1"/>
  <c r="Z24" i="1"/>
  <c r="K24" i="6" s="1"/>
  <c r="J15" i="3"/>
  <c r="AD15" i="3"/>
  <c r="X15" i="1"/>
  <c r="K15" i="3"/>
  <c r="AE15" i="3"/>
  <c r="Y15" i="1"/>
  <c r="L15" i="3"/>
  <c r="AF15" i="3"/>
  <c r="Z15" i="1"/>
  <c r="K15" i="6" s="1"/>
  <c r="M15" i="3"/>
  <c r="AG15" i="3"/>
  <c r="N15" i="3"/>
  <c r="AH15" i="3"/>
  <c r="V15" i="3"/>
  <c r="K15" i="1"/>
  <c r="AH15" i="1"/>
  <c r="G15" i="6" s="1"/>
  <c r="AP15" i="1" a="1"/>
  <c r="AP15" i="1" s="1"/>
  <c r="W15" i="3"/>
  <c r="L15" i="1"/>
  <c r="AL15" i="1" a="1"/>
  <c r="AL15" i="1" s="1"/>
  <c r="H2" i="9" s="1"/>
  <c r="AI15" i="3"/>
  <c r="X15" i="3"/>
  <c r="M15" i="1"/>
  <c r="AJ15" i="3"/>
  <c r="Y15" i="3"/>
  <c r="N15" i="1"/>
  <c r="AM15" i="1" a="1"/>
  <c r="AM15" i="1" s="1"/>
  <c r="I2" i="9" s="1"/>
  <c r="Z15" i="3"/>
  <c r="O15" i="1"/>
  <c r="AA15" i="3"/>
  <c r="P15" i="1"/>
  <c r="AB15" i="3"/>
  <c r="Q15" i="1"/>
  <c r="AC15" i="3"/>
  <c r="T15" i="1"/>
  <c r="AQ15" i="1"/>
  <c r="G15" i="3"/>
  <c r="U15" i="1"/>
  <c r="AR15" i="1"/>
  <c r="H15" i="3"/>
  <c r="V15" i="1"/>
  <c r="N2" i="9" s="1"/>
  <c r="I15" i="3"/>
  <c r="W15" i="1"/>
  <c r="O15" i="3"/>
  <c r="AA15" i="1"/>
  <c r="P15" i="3"/>
  <c r="AB15" i="1"/>
  <c r="A15" i="1" a="1"/>
  <c r="A15" i="1" s="1"/>
  <c r="Q15" i="3"/>
  <c r="AC15" i="1"/>
  <c r="R15" i="3"/>
  <c r="G15" i="1"/>
  <c r="F2" i="9" s="1"/>
  <c r="AD15" i="1"/>
  <c r="L15" i="6" s="1"/>
  <c r="S15" i="3"/>
  <c r="H15" i="1"/>
  <c r="AE15" i="1"/>
  <c r="C15" i="6" s="1"/>
  <c r="AN15" i="1" a="1"/>
  <c r="AN15" i="1" s="1"/>
  <c r="T15" i="3"/>
  <c r="I15" i="1"/>
  <c r="K2" i="9" s="1"/>
  <c r="AF15" i="1"/>
  <c r="D15" i="6" s="1"/>
  <c r="F15" i="1"/>
  <c r="AO15" i="1" a="1"/>
  <c r="AO15" i="1" s="1"/>
  <c r="U15" i="3"/>
  <c r="J15" i="1"/>
  <c r="AG15" i="1"/>
  <c r="F15" i="6" s="1"/>
  <c r="AK15" i="1" a="1"/>
  <c r="AK15" i="1" s="1"/>
  <c r="S15" i="1"/>
  <c r="G7" i="1"/>
  <c r="E2" i="5" s="1"/>
  <c r="Z3" i="3"/>
  <c r="T3" i="1"/>
  <c r="K4" i="4" s="1" a="1"/>
  <c r="K4" i="4" s="1"/>
  <c r="G3" i="3"/>
  <c r="AA3" i="3"/>
  <c r="U3" i="1"/>
  <c r="L4" i="4" s="1" a="1"/>
  <c r="L4" i="4" s="1"/>
  <c r="H3" i="3"/>
  <c r="AB3" i="3"/>
  <c r="V3" i="1"/>
  <c r="M4" i="4" s="1" a="1"/>
  <c r="M4" i="4" s="1"/>
  <c r="I3" i="3"/>
  <c r="AC3" i="3"/>
  <c r="J3" i="3"/>
  <c r="AD3" i="3"/>
  <c r="M3" i="3"/>
  <c r="P3" i="1"/>
  <c r="N3" i="3"/>
  <c r="Q3" i="1"/>
  <c r="O3" i="3"/>
  <c r="R3" i="1"/>
  <c r="P3" i="3"/>
  <c r="S3" i="1"/>
  <c r="AI3" i="3"/>
  <c r="Q3" i="3"/>
  <c r="W3" i="1"/>
  <c r="Z3" i="1"/>
  <c r="K3" i="6" s="1"/>
  <c r="AJ3" i="3"/>
  <c r="R3" i="3"/>
  <c r="X3" i="1"/>
  <c r="AN3" i="1" a="1"/>
  <c r="AN3" i="1" s="1"/>
  <c r="S3" i="3"/>
  <c r="Y3" i="1"/>
  <c r="F3" i="1"/>
  <c r="AO3" i="1" a="1"/>
  <c r="AO3" i="1" s="1"/>
  <c r="T3" i="3"/>
  <c r="U3" i="3"/>
  <c r="V3" i="3"/>
  <c r="AB3" i="1"/>
  <c r="AK3" i="1" a="1"/>
  <c r="AK3" i="1" s="1"/>
  <c r="W3" i="3"/>
  <c r="AC3" i="1"/>
  <c r="AL3" i="1" a="1"/>
  <c r="AL3" i="1" s="1"/>
  <c r="G4" i="4" s="1" a="1"/>
  <c r="G4" i="4" s="1"/>
  <c r="X3" i="3"/>
  <c r="G3" i="1"/>
  <c r="E4" i="4" s="1" a="1"/>
  <c r="E4" i="4" s="1"/>
  <c r="AD3" i="1"/>
  <c r="L3" i="6" s="1"/>
  <c r="Y3" i="3"/>
  <c r="H3" i="1"/>
  <c r="AE3" i="1"/>
  <c r="C3" i="6" s="1"/>
  <c r="AE3" i="3"/>
  <c r="I3" i="1"/>
  <c r="J4" i="4" s="1" a="1"/>
  <c r="J4" i="4" s="1"/>
  <c r="AF3" i="1"/>
  <c r="D3" i="6" s="1"/>
  <c r="AQ3" i="1"/>
  <c r="AF3" i="3"/>
  <c r="J3" i="1"/>
  <c r="AG3" i="1"/>
  <c r="F3" i="6" s="1"/>
  <c r="AR3" i="1"/>
  <c r="AG3" i="3"/>
  <c r="K3" i="1"/>
  <c r="AH3" i="1"/>
  <c r="G3" i="6" s="1"/>
  <c r="AS3" i="1"/>
  <c r="AH3" i="3"/>
  <c r="L3" i="1"/>
  <c r="M3" i="1"/>
  <c r="K3" i="3"/>
  <c r="N3" i="1"/>
  <c r="L3" i="3"/>
  <c r="O3" i="1"/>
  <c r="AI6" i="3"/>
  <c r="V6" i="3"/>
  <c r="P6" i="1"/>
  <c r="AJ6" i="3"/>
  <c r="W6" i="3"/>
  <c r="Q6" i="1"/>
  <c r="X6" i="3"/>
  <c r="R6" i="1"/>
  <c r="Y6" i="3"/>
  <c r="Z6" i="3"/>
  <c r="I6" i="3"/>
  <c r="AH6" i="3"/>
  <c r="AA6" i="1"/>
  <c r="AO6" i="1" a="1"/>
  <c r="AO6" i="1" s="1"/>
  <c r="AK6" i="1" a="1"/>
  <c r="AK6" i="1" s="1"/>
  <c r="J6" i="3"/>
  <c r="AB6" i="1"/>
  <c r="A6" i="1" a="1"/>
  <c r="A6" i="1" s="1"/>
  <c r="AP6" i="1" a="1"/>
  <c r="AP6" i="1" s="1"/>
  <c r="K6" i="3"/>
  <c r="AC6" i="1"/>
  <c r="AQ6" i="1"/>
  <c r="AL6" i="1" a="1"/>
  <c r="AL6" i="1" s="1"/>
  <c r="G7" i="4" s="1" a="1"/>
  <c r="G7" i="4" s="1"/>
  <c r="L6" i="3"/>
  <c r="G6" i="1"/>
  <c r="E7" i="4" s="1" a="1"/>
  <c r="E7" i="4" s="1"/>
  <c r="AD6" i="1"/>
  <c r="L6" i="6" s="1"/>
  <c r="AR6" i="1"/>
  <c r="AM6" i="1" a="1"/>
  <c r="AM6" i="1" s="1"/>
  <c r="H7" i="4" s="1" a="1"/>
  <c r="H7" i="4" s="1"/>
  <c r="M6" i="3"/>
  <c r="H6" i="1"/>
  <c r="AE6" i="1"/>
  <c r="C6" i="6" s="1"/>
  <c r="AS6" i="1"/>
  <c r="N6" i="3"/>
  <c r="I6" i="1"/>
  <c r="J7" i="4" s="1" a="1"/>
  <c r="J7" i="4" s="1"/>
  <c r="AF6" i="1"/>
  <c r="D6" i="6" s="1"/>
  <c r="O6" i="3"/>
  <c r="J6" i="1"/>
  <c r="AG6" i="1"/>
  <c r="F6" i="6" s="1"/>
  <c r="P6" i="3"/>
  <c r="Q6" i="3"/>
  <c r="R6" i="3"/>
  <c r="M6" i="1"/>
  <c r="F6" i="1"/>
  <c r="S6" i="3"/>
  <c r="N6" i="1"/>
  <c r="T6" i="3"/>
  <c r="O6" i="1"/>
  <c r="U6" i="3"/>
  <c r="S6" i="1"/>
  <c r="AA6" i="3"/>
  <c r="T6" i="1"/>
  <c r="K7" i="4" s="1" a="1"/>
  <c r="K7" i="4" s="1"/>
  <c r="AB6" i="3"/>
  <c r="U6" i="1"/>
  <c r="L7" i="4" s="1" a="1"/>
  <c r="L7" i="4" s="1"/>
  <c r="AC6" i="3"/>
  <c r="V6" i="1"/>
  <c r="M7" i="4" s="1" a="1"/>
  <c r="M7" i="4" s="1"/>
  <c r="AD6" i="3"/>
  <c r="W6" i="1"/>
  <c r="AE6" i="3"/>
  <c r="X6" i="1"/>
  <c r="G6" i="3"/>
  <c r="AF6" i="3"/>
  <c r="Y6" i="1"/>
  <c r="H6" i="3"/>
  <c r="AG6" i="3"/>
  <c r="Z6" i="1"/>
  <c r="K6" i="6" s="1"/>
  <c r="AN6" i="1" a="1"/>
  <c r="AN6" i="1" s="1"/>
  <c r="Z8" i="3"/>
  <c r="T8" i="1"/>
  <c r="G8" i="3"/>
  <c r="AA8" i="3"/>
  <c r="U8" i="1"/>
  <c r="M2" i="10" s="1"/>
  <c r="H8" i="3"/>
  <c r="AB8" i="3"/>
  <c r="V8" i="1"/>
  <c r="N2" i="10" s="1"/>
  <c r="I8" i="3"/>
  <c r="AC8" i="3"/>
  <c r="AI8" i="3"/>
  <c r="J8" i="3"/>
  <c r="AD8" i="3"/>
  <c r="AG8" i="3"/>
  <c r="Q8" i="1"/>
  <c r="AH8" i="3"/>
  <c r="R8" i="1"/>
  <c r="S8" i="1"/>
  <c r="K8" i="3"/>
  <c r="W8" i="1"/>
  <c r="L8" i="3"/>
  <c r="X8" i="1"/>
  <c r="A8" i="1" a="1"/>
  <c r="A8" i="1" s="1"/>
  <c r="M8" i="3"/>
  <c r="Y8" i="1"/>
  <c r="N8" i="3"/>
  <c r="Z8" i="1"/>
  <c r="K8" i="6" s="1"/>
  <c r="O8" i="3"/>
  <c r="P8" i="3"/>
  <c r="Q8" i="3"/>
  <c r="AC8" i="1"/>
  <c r="AR8" i="1"/>
  <c r="AJ8" i="3"/>
  <c r="R8" i="3"/>
  <c r="G8" i="1"/>
  <c r="F2" i="10" s="1"/>
  <c r="AD8" i="1"/>
  <c r="L8" i="6" s="1"/>
  <c r="AS8" i="1"/>
  <c r="AP8" i="1" a="1"/>
  <c r="AP8" i="1" s="1"/>
  <c r="AL8" i="1" a="1"/>
  <c r="AL8" i="1" s="1"/>
  <c r="S8" i="3"/>
  <c r="H8" i="1"/>
  <c r="AE8" i="1"/>
  <c r="C8" i="6" s="1"/>
  <c r="F8" i="1"/>
  <c r="T8" i="3"/>
  <c r="I8" i="1"/>
  <c r="K2" i="10" s="1"/>
  <c r="AF8" i="1"/>
  <c r="AM8" i="1" a="1"/>
  <c r="AM8" i="1" s="1"/>
  <c r="U8" i="3"/>
  <c r="J8" i="1"/>
  <c r="AG8" i="1"/>
  <c r="F8" i="6" s="1"/>
  <c r="V8" i="3"/>
  <c r="K8" i="1"/>
  <c r="AH8" i="1"/>
  <c r="G8" i="6" s="1"/>
  <c r="W8" i="3"/>
  <c r="L8" i="1"/>
  <c r="X8" i="3"/>
  <c r="M8" i="1"/>
  <c r="Y8" i="3"/>
  <c r="N8" i="1"/>
  <c r="AE8" i="3"/>
  <c r="O8" i="1"/>
  <c r="AF8" i="3"/>
  <c r="P8" i="1"/>
  <c r="R9" i="3"/>
  <c r="L9" i="1"/>
  <c r="AF9" i="1"/>
  <c r="S9" i="3"/>
  <c r="M9" i="1"/>
  <c r="AG9" i="1"/>
  <c r="F9" i="6" s="1"/>
  <c r="T9" i="3"/>
  <c r="N9" i="1"/>
  <c r="AH9" i="1"/>
  <c r="G9" i="6" s="1"/>
  <c r="U9" i="3"/>
  <c r="V9" i="3"/>
  <c r="AI9" i="3"/>
  <c r="AD9" i="3"/>
  <c r="O9" i="1"/>
  <c r="AE9" i="3"/>
  <c r="P9" i="1"/>
  <c r="G9" i="3"/>
  <c r="AF9" i="3"/>
  <c r="Q9" i="1"/>
  <c r="H9" i="3"/>
  <c r="AG9" i="3"/>
  <c r="R9" i="1"/>
  <c r="I9" i="3"/>
  <c r="AH9" i="3"/>
  <c r="S9" i="1"/>
  <c r="J9" i="3"/>
  <c r="T9" i="1"/>
  <c r="A9" i="1" a="1"/>
  <c r="A9" i="1" s="1"/>
  <c r="K9" i="3"/>
  <c r="U9" i="1"/>
  <c r="M3" i="10" s="1"/>
  <c r="L9" i="3"/>
  <c r="M9" i="3"/>
  <c r="N9" i="3"/>
  <c r="X9" i="1"/>
  <c r="O9" i="3"/>
  <c r="Y9" i="1"/>
  <c r="AJ9" i="3"/>
  <c r="P9" i="3"/>
  <c r="Z9" i="1"/>
  <c r="K9" i="6" s="1"/>
  <c r="Q9" i="3"/>
  <c r="AA9" i="1"/>
  <c r="F9" i="1"/>
  <c r="AR9" i="1"/>
  <c r="AN9" i="1" a="1"/>
  <c r="AN9" i="1" s="1"/>
  <c r="W9" i="3"/>
  <c r="AB9" i="1"/>
  <c r="AS9" i="1"/>
  <c r="X9" i="3"/>
  <c r="AC9" i="1"/>
  <c r="AO9" i="1" a="1"/>
  <c r="AO9" i="1" s="1"/>
  <c r="AK9" i="1" a="1"/>
  <c r="AK9" i="1" s="1"/>
  <c r="Y9" i="3"/>
  <c r="G9" i="1"/>
  <c r="F3" i="10" s="1"/>
  <c r="AD9" i="1"/>
  <c r="L9" i="6" s="1"/>
  <c r="AP9" i="1" a="1"/>
  <c r="AP9" i="1" s="1"/>
  <c r="Z9" i="3"/>
  <c r="H9" i="1"/>
  <c r="AE9" i="1"/>
  <c r="C9" i="6" s="1"/>
  <c r="AL9" i="1" a="1"/>
  <c r="AL9" i="1" s="1"/>
  <c r="AA9" i="3"/>
  <c r="I9" i="1"/>
  <c r="K3" i="10" s="1"/>
  <c r="AM9" i="1" a="1"/>
  <c r="AM9" i="1" s="1"/>
  <c r="AB9" i="3"/>
  <c r="J9" i="1"/>
  <c r="AC9" i="3"/>
  <c r="K9" i="1"/>
  <c r="D14" i="3" a="1"/>
  <c r="D14" i="3" s="1"/>
  <c r="AM14" i="3"/>
  <c r="AL14" i="3" a="1"/>
  <c r="AL14" i="3" s="1"/>
  <c r="A14" i="3" a="1"/>
  <c r="A14" i="3" s="1"/>
  <c r="AK14" i="3" a="1"/>
  <c r="AK14" i="3" s="1"/>
  <c r="J8" i="10" s="1"/>
  <c r="N12" i="3"/>
  <c r="AH12" i="3"/>
  <c r="H12" i="1"/>
  <c r="AB12" i="1"/>
  <c r="O12" i="3"/>
  <c r="I12" i="1"/>
  <c r="K6" i="10" s="1"/>
  <c r="AC12" i="1"/>
  <c r="P12" i="3"/>
  <c r="J12" i="1"/>
  <c r="AD12" i="1"/>
  <c r="L12" i="6" s="1"/>
  <c r="Q12" i="3"/>
  <c r="R12" i="3"/>
  <c r="Z12" i="3"/>
  <c r="W12" i="1"/>
  <c r="AQ12" i="1"/>
  <c r="AA12" i="3"/>
  <c r="X12" i="1"/>
  <c r="AR12" i="1"/>
  <c r="AB12" i="3"/>
  <c r="Y12" i="1"/>
  <c r="AS12" i="1"/>
  <c r="AC12" i="3"/>
  <c r="Z12" i="1"/>
  <c r="K12" i="6" s="1"/>
  <c r="AD12" i="3"/>
  <c r="AA12" i="1"/>
  <c r="AE12" i="3"/>
  <c r="AE12" i="1"/>
  <c r="C12" i="6" s="1"/>
  <c r="AN12" i="1" a="1"/>
  <c r="AN12" i="1" s="1"/>
  <c r="G12" i="3"/>
  <c r="AF12" i="3"/>
  <c r="AF12" i="1"/>
  <c r="AO12" i="1" a="1"/>
  <c r="AO12" i="1" s="1"/>
  <c r="H12" i="3"/>
  <c r="AG12" i="3"/>
  <c r="I12" i="3"/>
  <c r="J12" i="3"/>
  <c r="L12" i="1"/>
  <c r="AL12" i="1" a="1"/>
  <c r="AL12" i="1" s="1"/>
  <c r="H6" i="10" s="1"/>
  <c r="K12" i="3"/>
  <c r="M12" i="1"/>
  <c r="A12" i="1" a="1"/>
  <c r="A12" i="1" s="1"/>
  <c r="AM12" i="1" a="1"/>
  <c r="AM12" i="1" s="1"/>
  <c r="I6" i="10" s="1"/>
  <c r="L12" i="3"/>
  <c r="N12" i="1"/>
  <c r="M12" i="3"/>
  <c r="O12" i="1"/>
  <c r="S12" i="3"/>
  <c r="P12" i="1"/>
  <c r="T12" i="3"/>
  <c r="Q12" i="1"/>
  <c r="U12" i="3"/>
  <c r="R12" i="1"/>
  <c r="F12" i="1"/>
  <c r="AI12" i="3"/>
  <c r="V12" i="3"/>
  <c r="S12" i="1"/>
  <c r="AJ12" i="3"/>
  <c r="W12" i="3"/>
  <c r="T12" i="1"/>
  <c r="X12" i="3"/>
  <c r="U12" i="1"/>
  <c r="M6" i="10" s="1"/>
  <c r="Y12" i="3"/>
  <c r="V12" i="1"/>
  <c r="N6" i="10" s="1"/>
  <c r="R15" i="1"/>
  <c r="AH6" i="1"/>
  <c r="G6" i="6" s="1"/>
  <c r="AL11" i="3" a="1"/>
  <c r="AL11" i="3" s="1"/>
  <c r="AK11" i="3" a="1"/>
  <c r="AK11" i="3" s="1"/>
  <c r="AM11" i="3"/>
  <c r="D12" i="3" a="1"/>
  <c r="D12" i="3" s="1"/>
  <c r="AL12" i="3" a="1"/>
  <c r="AL12" i="3" s="1"/>
  <c r="AK12" i="3" a="1"/>
  <c r="AK12" i="3" s="1"/>
  <c r="AM12" i="3"/>
  <c r="AM13" i="3"/>
  <c r="AL13" i="3" a="1"/>
  <c r="AL13" i="3" s="1"/>
  <c r="A13" i="3" a="1"/>
  <c r="A13" i="3" s="1"/>
  <c r="AK13" i="3" a="1"/>
  <c r="AK13" i="3" s="1"/>
  <c r="AJ24" i="1"/>
  <c r="AQ8" i="1"/>
  <c r="AB8" i="1"/>
  <c r="AA8" i="1"/>
  <c r="N16" i="1"/>
  <c r="AG7" i="1"/>
  <c r="F7" i="6" s="1"/>
  <c r="AP12" i="1" a="1"/>
  <c r="AP12" i="1" s="1"/>
  <c r="A11" i="1" a="1"/>
  <c r="A11" i="1" s="1"/>
  <c r="L6" i="1"/>
  <c r="K6" i="1"/>
  <c r="A17" i="3" a="1"/>
  <c r="A17" i="3" s="1"/>
  <c r="AK17" i="3" a="1"/>
  <c r="AK17" i="3" s="1"/>
  <c r="J4" i="9" s="1"/>
  <c r="AM17" i="3"/>
  <c r="AL25" i="1" a="1"/>
  <c r="AL25" i="1" s="1"/>
  <c r="H2" i="7" s="1"/>
  <c r="AK20" i="1" a="1"/>
  <c r="AK20" i="1" s="1"/>
  <c r="AM5" i="1" a="1"/>
  <c r="AM5" i="1" s="1"/>
  <c r="H6" i="4" s="1" a="1"/>
  <c r="H6" i="4" s="1"/>
  <c r="AQ25" i="1"/>
  <c r="K2" i="7" s="1"/>
  <c r="AR18" i="1"/>
  <c r="AQ5" i="1"/>
  <c r="A18" i="1" a="1"/>
  <c r="A18" i="1" s="1"/>
  <c r="A5" i="1" a="1"/>
  <c r="A5" i="1" s="1"/>
  <c r="Y27" i="1"/>
  <c r="AD26" i="1"/>
  <c r="L26" i="6" s="1"/>
  <c r="G26" i="1"/>
  <c r="L25" i="1"/>
  <c r="S23" i="1"/>
  <c r="X22" i="1"/>
  <c r="AC21" i="1"/>
  <c r="AH20" i="1"/>
  <c r="G20" i="6" s="1"/>
  <c r="K20" i="1"/>
  <c r="R18" i="1"/>
  <c r="W17" i="1"/>
  <c r="O14" i="1"/>
  <c r="Q13" i="1"/>
  <c r="AE5" i="1"/>
  <c r="C5" i="6" s="1"/>
  <c r="H5" i="1"/>
  <c r="J4" i="1"/>
  <c r="AL27" i="1" a="1"/>
  <c r="AL27" i="1" s="1"/>
  <c r="H4" i="7" s="1"/>
  <c r="K27" i="3"/>
  <c r="P26" i="3"/>
  <c r="T25" i="3"/>
  <c r="X23" i="3"/>
  <c r="AB22" i="3"/>
  <c r="AF21" i="3"/>
  <c r="H21" i="3"/>
  <c r="H20" i="3"/>
  <c r="P18" i="3"/>
  <c r="T17" i="3"/>
  <c r="X14" i="3"/>
  <c r="V13" i="3"/>
  <c r="AH4" i="3"/>
  <c r="I4" i="3"/>
  <c r="AJ13" i="3"/>
  <c r="AL24" i="3" a="1"/>
  <c r="AL24" i="3" s="1"/>
  <c r="AM24" i="3"/>
  <c r="A16" i="3" a="1"/>
  <c r="A16" i="3" s="1"/>
  <c r="AK16" i="3" a="1"/>
  <c r="AK16" i="3" s="1"/>
  <c r="J3" i="9" s="1"/>
  <c r="AM16" i="3"/>
  <c r="AK25" i="1" a="1"/>
  <c r="AK25" i="1" s="1"/>
  <c r="AN20" i="1" a="1"/>
  <c r="AN20" i="1" s="1"/>
  <c r="AQ18" i="1"/>
  <c r="AS4" i="1"/>
  <c r="X27" i="1"/>
  <c r="AC26" i="1"/>
  <c r="AH25" i="1"/>
  <c r="G25" i="6" s="1"/>
  <c r="K25" i="1"/>
  <c r="R23" i="1"/>
  <c r="W22" i="1"/>
  <c r="AB21" i="1"/>
  <c r="AG20" i="1"/>
  <c r="F20" i="6" s="1"/>
  <c r="J20" i="1"/>
  <c r="Q18" i="1"/>
  <c r="V17" i="1"/>
  <c r="N4" i="9" s="1"/>
  <c r="K14" i="1"/>
  <c r="P13" i="1"/>
  <c r="AD5" i="1"/>
  <c r="L5" i="6" s="1"/>
  <c r="G5" i="1"/>
  <c r="E6" i="4" s="1" a="1"/>
  <c r="E6" i="4" s="1"/>
  <c r="I4" i="1"/>
  <c r="J3" i="4" s="1" a="1"/>
  <c r="J3" i="4" s="1"/>
  <c r="AG27" i="3"/>
  <c r="J27" i="3"/>
  <c r="O26" i="3"/>
  <c r="W23" i="3"/>
  <c r="AA22" i="3"/>
  <c r="AE21" i="3"/>
  <c r="G21" i="3"/>
  <c r="G20" i="3"/>
  <c r="O18" i="3"/>
  <c r="S17" i="3"/>
  <c r="W14" i="3"/>
  <c r="U13" i="3"/>
  <c r="AG4" i="3"/>
  <c r="H4" i="3"/>
  <c r="AI13" i="3"/>
  <c r="AK22" i="3" a="1"/>
  <c r="AK22" i="3" s="1"/>
  <c r="J9" i="9" s="1"/>
  <c r="AL23" i="3" a="1"/>
  <c r="AL23" i="3" s="1"/>
  <c r="AM23" i="3"/>
  <c r="J25" i="3"/>
  <c r="AD25" i="3"/>
  <c r="X25" i="1"/>
  <c r="K25" i="3"/>
  <c r="AE25" i="3"/>
  <c r="Y25" i="1"/>
  <c r="L25" i="3"/>
  <c r="AF25" i="3"/>
  <c r="Z25" i="1"/>
  <c r="K25" i="6" s="1"/>
  <c r="M25" i="3"/>
  <c r="AG25" i="3"/>
  <c r="AM14" i="1" a="1"/>
  <c r="AM14" i="1" s="1"/>
  <c r="I8" i="10" s="1"/>
  <c r="AL5" i="1" a="1"/>
  <c r="AL5" i="1" s="1"/>
  <c r="G6" i="4" s="1" a="1"/>
  <c r="G6" i="4" s="1"/>
  <c r="AP5" i="1" a="1"/>
  <c r="AP5" i="1" s="1"/>
  <c r="AS17" i="1"/>
  <c r="AR4" i="1"/>
  <c r="A17" i="1" a="1"/>
  <c r="A17" i="1" s="1"/>
  <c r="A4" i="1" a="1"/>
  <c r="A4" i="1" s="1"/>
  <c r="F14" i="1"/>
  <c r="W27" i="1"/>
  <c r="AB26" i="1"/>
  <c r="AG25" i="1"/>
  <c r="F25" i="6" s="1"/>
  <c r="J25" i="1"/>
  <c r="Q23" i="1"/>
  <c r="V22" i="1"/>
  <c r="N9" i="9" s="1"/>
  <c r="AA21" i="1"/>
  <c r="AF20" i="1"/>
  <c r="D20" i="6" s="1"/>
  <c r="I20" i="1"/>
  <c r="K7" i="9" s="1"/>
  <c r="P18" i="1"/>
  <c r="U17" i="1"/>
  <c r="J14" i="1"/>
  <c r="O13" i="1"/>
  <c r="AC5" i="1"/>
  <c r="AE4" i="1"/>
  <c r="C4" i="6" s="1"/>
  <c r="H4" i="1"/>
  <c r="AK27" i="1" a="1"/>
  <c r="AK27" i="1" s="1"/>
  <c r="AF27" i="3"/>
  <c r="I27" i="3"/>
  <c r="R25" i="3"/>
  <c r="V23" i="3"/>
  <c r="Z22" i="3"/>
  <c r="AD21" i="3"/>
  <c r="AH20" i="3"/>
  <c r="N18" i="3"/>
  <c r="M17" i="3"/>
  <c r="Q14" i="3"/>
  <c r="T13" i="3"/>
  <c r="AC5" i="3"/>
  <c r="AF4" i="3"/>
  <c r="G4" i="3"/>
  <c r="AJ25" i="3"/>
  <c r="AK21" i="3" a="1"/>
  <c r="AK21" i="3" s="1"/>
  <c r="J8" i="9" s="1"/>
  <c r="AL22" i="3" a="1"/>
  <c r="AL22" i="3" s="1"/>
  <c r="AM22" i="3"/>
  <c r="AK5" i="1" a="1"/>
  <c r="AK5" i="1" s="1"/>
  <c r="AR17" i="1"/>
  <c r="AQ4" i="1"/>
  <c r="A26" i="1" a="1"/>
  <c r="A26" i="1" s="1"/>
  <c r="AI26" i="3"/>
  <c r="V26" i="3"/>
  <c r="AK26" i="1" a="1"/>
  <c r="AK26" i="1" s="1"/>
  <c r="P26" i="1"/>
  <c r="AJ26" i="3"/>
  <c r="W26" i="3"/>
  <c r="AL26" i="1" a="1"/>
  <c r="AL26" i="1" s="1"/>
  <c r="H3" i="7" s="1"/>
  <c r="Q26" i="1"/>
  <c r="F26" i="1"/>
  <c r="X26" i="3"/>
  <c r="R26" i="1"/>
  <c r="C26" i="1" a="1"/>
  <c r="C26" i="1" s="1"/>
  <c r="F13" i="1"/>
  <c r="V27" i="1"/>
  <c r="R4" i="7" s="1"/>
  <c r="AA26" i="1"/>
  <c r="AF25" i="1"/>
  <c r="D25" i="6" s="1"/>
  <c r="I25" i="1"/>
  <c r="O2" i="7" s="1"/>
  <c r="P23" i="1"/>
  <c r="U22" i="1"/>
  <c r="Z21" i="1"/>
  <c r="K21" i="6" s="1"/>
  <c r="AE20" i="1"/>
  <c r="C20" i="6" s="1"/>
  <c r="H20" i="1"/>
  <c r="O18" i="1"/>
  <c r="T17" i="1"/>
  <c r="I14" i="1"/>
  <c r="K8" i="10" s="1"/>
  <c r="N13" i="1"/>
  <c r="AB5" i="1"/>
  <c r="AD4" i="1"/>
  <c r="L4" i="6" s="1"/>
  <c r="G4" i="1"/>
  <c r="E3" i="4" s="1" a="1"/>
  <c r="E3" i="4" s="1"/>
  <c r="AS26" i="1"/>
  <c r="M3" i="7" s="1"/>
  <c r="A22" i="3" a="1"/>
  <c r="A22" i="3" s="1"/>
  <c r="AE27" i="3"/>
  <c r="H27" i="3"/>
  <c r="M26" i="3"/>
  <c r="Q25" i="3"/>
  <c r="Y22" i="3"/>
  <c r="AC21" i="3"/>
  <c r="AC20" i="3"/>
  <c r="M18" i="3"/>
  <c r="L17" i="3"/>
  <c r="P14" i="3"/>
  <c r="S13" i="3"/>
  <c r="AB5" i="3"/>
  <c r="AE4" i="3"/>
  <c r="AI25" i="3"/>
  <c r="AK19" i="3" a="1"/>
  <c r="AK19" i="3" s="1"/>
  <c r="J6" i="9" s="1"/>
  <c r="AL21" i="3" a="1"/>
  <c r="AL21" i="3" s="1"/>
  <c r="AM21" i="3"/>
  <c r="Z23" i="3"/>
  <c r="T23" i="1"/>
  <c r="G23" i="3"/>
  <c r="AA23" i="3"/>
  <c r="U23" i="1"/>
  <c r="H23" i="3"/>
  <c r="AB23" i="3"/>
  <c r="V23" i="1"/>
  <c r="N10" i="9" s="1"/>
  <c r="I23" i="3"/>
  <c r="AC23" i="3"/>
  <c r="AK14" i="1" a="1"/>
  <c r="AK14" i="1" s="1"/>
  <c r="AM4" i="1" a="1"/>
  <c r="AM4" i="1" s="1"/>
  <c r="H3" i="4" s="1" a="1"/>
  <c r="H3" i="4" s="1"/>
  <c r="AP14" i="1" a="1"/>
  <c r="AP14" i="1" s="1"/>
  <c r="AO5" i="1" a="1"/>
  <c r="AO5" i="1" s="1"/>
  <c r="AS23" i="1"/>
  <c r="AQ17" i="1"/>
  <c r="E26" i="1" a="1"/>
  <c r="E26" i="1" s="1"/>
  <c r="U27" i="1"/>
  <c r="Q4" i="7" s="1"/>
  <c r="Z26" i="1"/>
  <c r="K26" i="6" s="1"/>
  <c r="AE25" i="1"/>
  <c r="C25" i="6" s="1"/>
  <c r="H25" i="1"/>
  <c r="F2" i="7" s="1"/>
  <c r="O23" i="1"/>
  <c r="T22" i="1"/>
  <c r="Y21" i="1"/>
  <c r="AD20" i="1"/>
  <c r="L20" i="6" s="1"/>
  <c r="G20" i="1"/>
  <c r="F7" i="9" s="1"/>
  <c r="N18" i="1"/>
  <c r="S17" i="1"/>
  <c r="AE14" i="1"/>
  <c r="C14" i="6" s="1"/>
  <c r="H14" i="1"/>
  <c r="M13" i="1"/>
  <c r="AA5" i="1"/>
  <c r="AC4" i="1"/>
  <c r="AR26" i="1"/>
  <c r="L3" i="7" s="1"/>
  <c r="A21" i="3" a="1"/>
  <c r="A21" i="3" s="1"/>
  <c r="AD27" i="3"/>
  <c r="G27" i="3"/>
  <c r="L26" i="3"/>
  <c r="P25" i="3"/>
  <c r="T23" i="3"/>
  <c r="AB21" i="3"/>
  <c r="AB20" i="3"/>
  <c r="L18" i="3"/>
  <c r="K17" i="3"/>
  <c r="O14" i="3"/>
  <c r="R13" i="3"/>
  <c r="AK15" i="3" a="1"/>
  <c r="AK15" i="3" s="1"/>
  <c r="J2" i="9" s="1"/>
  <c r="AL20" i="3" a="1"/>
  <c r="AL20" i="3" s="1"/>
  <c r="AM20" i="3"/>
  <c r="R4" i="3"/>
  <c r="L4" i="1"/>
  <c r="AF4" i="1"/>
  <c r="D4" i="6" s="1"/>
  <c r="S4" i="3"/>
  <c r="M4" i="1"/>
  <c r="AG4" i="1"/>
  <c r="F4" i="6" s="1"/>
  <c r="T4" i="3"/>
  <c r="N4" i="1"/>
  <c r="AH4" i="1"/>
  <c r="G4" i="6" s="1"/>
  <c r="U4" i="3"/>
  <c r="V4" i="3"/>
  <c r="J5" i="3"/>
  <c r="AD5" i="3"/>
  <c r="X5" i="1"/>
  <c r="K5" i="3"/>
  <c r="AE5" i="3"/>
  <c r="Y5" i="1"/>
  <c r="L5" i="3"/>
  <c r="AF5" i="3"/>
  <c r="Z5" i="1"/>
  <c r="K5" i="6" s="1"/>
  <c r="M5" i="3"/>
  <c r="AG5" i="3"/>
  <c r="N5" i="3"/>
  <c r="AH5" i="3"/>
  <c r="D9" i="3" a="1"/>
  <c r="D9" i="3" s="1"/>
  <c r="AL9" i="3" a="1"/>
  <c r="AL9" i="3" s="1"/>
  <c r="N22" i="3"/>
  <c r="AH22" i="3"/>
  <c r="H22" i="1"/>
  <c r="AB22" i="1"/>
  <c r="O22" i="3"/>
  <c r="I22" i="1"/>
  <c r="K9" i="9" s="1"/>
  <c r="AC22" i="1"/>
  <c r="P22" i="3"/>
  <c r="J22" i="1"/>
  <c r="AD22" i="1"/>
  <c r="L22" i="6" s="1"/>
  <c r="Q22" i="3"/>
  <c r="AM18" i="1" a="1"/>
  <c r="AM18" i="1" s="1"/>
  <c r="I5" i="9" s="1"/>
  <c r="AM13" i="1" a="1"/>
  <c r="AM13" i="1" s="1"/>
  <c r="I7" i="10" s="1"/>
  <c r="AL4" i="1" a="1"/>
  <c r="AL4" i="1" s="1"/>
  <c r="G3" i="4" s="1" a="1"/>
  <c r="G3" i="4" s="1"/>
  <c r="AO14" i="1" a="1"/>
  <c r="AO14" i="1" s="1"/>
  <c r="AR23" i="1"/>
  <c r="T27" i="1"/>
  <c r="P4" i="7" s="1"/>
  <c r="Y26" i="1"/>
  <c r="AD25" i="1"/>
  <c r="L25" i="6" s="1"/>
  <c r="G25" i="1"/>
  <c r="N23" i="1"/>
  <c r="S22" i="1"/>
  <c r="X21" i="1"/>
  <c r="AC20" i="1"/>
  <c r="M18" i="1"/>
  <c r="R17" i="1"/>
  <c r="AD14" i="1"/>
  <c r="L14" i="6" s="1"/>
  <c r="G14" i="1"/>
  <c r="F8" i="10" s="1"/>
  <c r="L13" i="1"/>
  <c r="W5" i="1"/>
  <c r="AB4" i="1"/>
  <c r="AQ26" i="1"/>
  <c r="K3" i="7" s="1"/>
  <c r="AC27" i="3"/>
  <c r="AH26" i="3"/>
  <c r="K26" i="3"/>
  <c r="O25" i="3"/>
  <c r="S23" i="3"/>
  <c r="W22" i="3"/>
  <c r="AA20" i="3"/>
  <c r="K18" i="3"/>
  <c r="J17" i="3"/>
  <c r="N14" i="3"/>
  <c r="Q13" i="3"/>
  <c r="Z5" i="3"/>
  <c r="AC4" i="3"/>
  <c r="AM18" i="3"/>
  <c r="V21" i="3"/>
  <c r="P21" i="1"/>
  <c r="W21" i="3"/>
  <c r="Q21" i="1"/>
  <c r="X21" i="3"/>
  <c r="R21" i="1"/>
  <c r="Y21" i="3"/>
  <c r="AL18" i="1" a="1"/>
  <c r="AL18" i="1" s="1"/>
  <c r="H5" i="9" s="1"/>
  <c r="AL13" i="1" a="1"/>
  <c r="AL13" i="1" s="1"/>
  <c r="H7" i="10" s="1"/>
  <c r="AP23" i="1" a="1"/>
  <c r="AP23" i="1" s="1"/>
  <c r="AP18" i="1" a="1"/>
  <c r="AP18" i="1" s="1"/>
  <c r="AN5" i="1" a="1"/>
  <c r="AN5" i="1" s="1"/>
  <c r="AQ23" i="1"/>
  <c r="A14" i="1" a="1"/>
  <c r="A14" i="1" s="1"/>
  <c r="D26" i="1" a="1"/>
  <c r="D26" i="1" s="1"/>
  <c r="S27" i="1"/>
  <c r="X26" i="1"/>
  <c r="AC25" i="1"/>
  <c r="M23" i="1"/>
  <c r="R22" i="1"/>
  <c r="W21" i="1"/>
  <c r="AB20" i="1"/>
  <c r="L18" i="1"/>
  <c r="Q17" i="1"/>
  <c r="AC14" i="1"/>
  <c r="AH13" i="1"/>
  <c r="G13" i="6" s="1"/>
  <c r="K13" i="1"/>
  <c r="V5" i="1"/>
  <c r="M6" i="4" s="1" a="1"/>
  <c r="M6" i="4" s="1"/>
  <c r="AA4" i="1"/>
  <c r="AP26" i="1" a="1"/>
  <c r="AP26" i="1" s="1"/>
  <c r="A20" i="3" a="1"/>
  <c r="A20" i="3" s="1"/>
  <c r="AB27" i="3"/>
  <c r="AG26" i="3"/>
  <c r="J26" i="3"/>
  <c r="N25" i="3"/>
  <c r="R23" i="3"/>
  <c r="V22" i="3"/>
  <c r="Z21" i="3"/>
  <c r="AH18" i="3"/>
  <c r="J18" i="3"/>
  <c r="I17" i="3"/>
  <c r="M14" i="3"/>
  <c r="P13" i="3"/>
  <c r="Y5" i="3"/>
  <c r="AB4" i="3"/>
  <c r="AJ23" i="3"/>
  <c r="J20" i="3"/>
  <c r="AD20" i="3"/>
  <c r="X20" i="1"/>
  <c r="K20" i="3"/>
  <c r="AE20" i="3"/>
  <c r="Y20" i="1"/>
  <c r="L20" i="3"/>
  <c r="AF20" i="3"/>
  <c r="Z20" i="1"/>
  <c r="K20" i="6" s="1"/>
  <c r="M20" i="3"/>
  <c r="AG20" i="3"/>
  <c r="AM23" i="1" a="1"/>
  <c r="AM23" i="1" s="1"/>
  <c r="I10" i="9" s="1"/>
  <c r="AK18" i="1" a="1"/>
  <c r="AK18" i="1" s="1"/>
  <c r="AK4" i="1" a="1"/>
  <c r="AK4" i="1" s="1"/>
  <c r="AO23" i="1" a="1"/>
  <c r="AO23" i="1" s="1"/>
  <c r="AO18" i="1" a="1"/>
  <c r="AO18" i="1" s="1"/>
  <c r="AN14" i="1" a="1"/>
  <c r="AN14" i="1" s="1"/>
  <c r="AP4" i="1" a="1"/>
  <c r="AP4" i="1" s="1"/>
  <c r="AS22" i="1"/>
  <c r="A13" i="1" a="1"/>
  <c r="A13" i="1" s="1"/>
  <c r="E27" i="1" a="1"/>
  <c r="E27" i="1" s="1"/>
  <c r="R27" i="1"/>
  <c r="W26" i="1"/>
  <c r="AB25" i="1"/>
  <c r="L23" i="1"/>
  <c r="Q22" i="1"/>
  <c r="V21" i="1"/>
  <c r="N8" i="9" s="1"/>
  <c r="AA20" i="1"/>
  <c r="AH18" i="1"/>
  <c r="G18" i="6" s="1"/>
  <c r="K18" i="1"/>
  <c r="P17" i="1"/>
  <c r="AB14" i="1"/>
  <c r="AG13" i="1"/>
  <c r="F13" i="6" s="1"/>
  <c r="J13" i="1"/>
  <c r="U5" i="1"/>
  <c r="L6" i="4" s="1" a="1"/>
  <c r="L6" i="4" s="1"/>
  <c r="Z4" i="1"/>
  <c r="K4" i="6" s="1"/>
  <c r="AO26" i="1" a="1"/>
  <c r="AO26" i="1" s="1"/>
  <c r="AF26" i="3"/>
  <c r="I26" i="3"/>
  <c r="I25" i="3"/>
  <c r="Q23" i="3"/>
  <c r="U22" i="3"/>
  <c r="U21" i="3"/>
  <c r="Y20" i="3"/>
  <c r="AG18" i="3"/>
  <c r="AG17" i="3"/>
  <c r="H17" i="3"/>
  <c r="L14" i="3"/>
  <c r="O13" i="3"/>
  <c r="X5" i="3"/>
  <c r="AA4" i="3"/>
  <c r="AI23" i="3"/>
  <c r="A27" i="1" a="1"/>
  <c r="A27" i="1" s="1"/>
  <c r="N27" i="3"/>
  <c r="AH27" i="3"/>
  <c r="AQ27" i="1"/>
  <c r="K4" i="7" s="1"/>
  <c r="H27" i="1"/>
  <c r="F4" i="7" s="1"/>
  <c r="AB27" i="1"/>
  <c r="O27" i="3"/>
  <c r="AR27" i="1"/>
  <c r="L4" i="7" s="1"/>
  <c r="I27" i="1"/>
  <c r="O4" i="7" s="1"/>
  <c r="AC27" i="1"/>
  <c r="P27" i="3"/>
  <c r="AS27" i="1"/>
  <c r="M4" i="7" s="1"/>
  <c r="J27" i="1"/>
  <c r="AD27" i="1"/>
  <c r="L27" i="6" s="1"/>
  <c r="AJ27" i="3"/>
  <c r="Q27" i="1"/>
  <c r="V26" i="1"/>
  <c r="R3" i="7" s="1"/>
  <c r="AA25" i="1"/>
  <c r="AH23" i="1"/>
  <c r="G23" i="6" s="1"/>
  <c r="K23" i="1"/>
  <c r="P22" i="1"/>
  <c r="U21" i="1"/>
  <c r="W20" i="1"/>
  <c r="AG18" i="1"/>
  <c r="F18" i="6" s="1"/>
  <c r="J18" i="1"/>
  <c r="O17" i="1"/>
  <c r="AA14" i="1"/>
  <c r="AF13" i="1"/>
  <c r="I13" i="1"/>
  <c r="K7" i="10" s="1"/>
  <c r="T5" i="1"/>
  <c r="K6" i="4" s="1" a="1"/>
  <c r="K6" i="4" s="1"/>
  <c r="Y4" i="1"/>
  <c r="AN26" i="1" a="1"/>
  <c r="AN26" i="1" s="1"/>
  <c r="Z27" i="3"/>
  <c r="AE26" i="3"/>
  <c r="H26" i="3"/>
  <c r="H25" i="3"/>
  <c r="P23" i="3"/>
  <c r="T22" i="3"/>
  <c r="T21" i="3"/>
  <c r="X20" i="3"/>
  <c r="AF17" i="3"/>
  <c r="G17" i="3"/>
  <c r="K14" i="3"/>
  <c r="N13" i="3"/>
  <c r="W5" i="3"/>
  <c r="Z4" i="3"/>
  <c r="AJ22" i="3"/>
  <c r="AL17" i="3" a="1"/>
  <c r="AL17" i="3" s="1"/>
  <c r="Z18" i="3"/>
  <c r="T18" i="1"/>
  <c r="G18" i="3"/>
  <c r="AA18" i="3"/>
  <c r="U18" i="1"/>
  <c r="H18" i="3"/>
  <c r="AB18" i="3"/>
  <c r="V18" i="1"/>
  <c r="N5" i="9" s="1"/>
  <c r="F18" i="1"/>
  <c r="I18" i="3"/>
  <c r="AC18" i="3"/>
  <c r="AI18" i="3"/>
  <c r="AK23" i="1" a="1"/>
  <c r="AK23" i="1" s="1"/>
  <c r="AM17" i="1" a="1"/>
  <c r="AM17" i="1" s="1"/>
  <c r="I4" i="9" s="1"/>
  <c r="AN23" i="1" a="1"/>
  <c r="AN23" i="1" s="1"/>
  <c r="AN18" i="1" a="1"/>
  <c r="AN18" i="1" s="1"/>
  <c r="AO13" i="1" a="1"/>
  <c r="AO13" i="1" s="1"/>
  <c r="AO4" i="1" a="1"/>
  <c r="AO4" i="1" s="1"/>
  <c r="AQ22" i="1"/>
  <c r="P27" i="1"/>
  <c r="U26" i="1"/>
  <c r="Q3" i="7" s="1"/>
  <c r="W25" i="1"/>
  <c r="AG23" i="1"/>
  <c r="F23" i="6" s="1"/>
  <c r="J23" i="1"/>
  <c r="O22" i="1"/>
  <c r="T21" i="1"/>
  <c r="V20" i="1"/>
  <c r="N7" i="9" s="1"/>
  <c r="AF18" i="1"/>
  <c r="D18" i="6" s="1"/>
  <c r="I18" i="1"/>
  <c r="K5" i="9" s="1"/>
  <c r="N17" i="1"/>
  <c r="Z14" i="1"/>
  <c r="K14" i="6" s="1"/>
  <c r="AE13" i="1"/>
  <c r="C13" i="6" s="1"/>
  <c r="H13" i="1"/>
  <c r="S5" i="1"/>
  <c r="X4" i="1"/>
  <c r="AJ27" i="1"/>
  <c r="AM26" i="1" a="1"/>
  <c r="AM26" i="1" s="1"/>
  <c r="I3" i="7" s="1"/>
  <c r="Y27" i="3"/>
  <c r="AD26" i="3"/>
  <c r="G26" i="3"/>
  <c r="G25" i="3"/>
  <c r="O23" i="3"/>
  <c r="S22" i="3"/>
  <c r="S21" i="3"/>
  <c r="W20" i="3"/>
  <c r="AE18" i="3"/>
  <c r="J14" i="3"/>
  <c r="M13" i="3"/>
  <c r="V5" i="3"/>
  <c r="Y4" i="3"/>
  <c r="AI22" i="3"/>
  <c r="AL16" i="3" a="1"/>
  <c r="AL16" i="3" s="1"/>
  <c r="AM9" i="3"/>
  <c r="N17" i="3"/>
  <c r="AH17" i="3"/>
  <c r="H17" i="1"/>
  <c r="AB17" i="1"/>
  <c r="O17" i="3"/>
  <c r="I17" i="1"/>
  <c r="K4" i="9" s="1"/>
  <c r="AC17" i="1"/>
  <c r="F17" i="1"/>
  <c r="AI17" i="3"/>
  <c r="P17" i="3"/>
  <c r="J17" i="1"/>
  <c r="AD17" i="1"/>
  <c r="L17" i="6" s="1"/>
  <c r="AJ17" i="3"/>
  <c r="Q17" i="3"/>
  <c r="R17" i="3"/>
  <c r="AJ25" i="1"/>
  <c r="AM22" i="1" a="1"/>
  <c r="AM22" i="1" s="1"/>
  <c r="I9" i="9" s="1"/>
  <c r="AL17" i="1" a="1"/>
  <c r="AL17" i="1" s="1"/>
  <c r="H4" i="9" s="1"/>
  <c r="AP22" i="1" a="1"/>
  <c r="AP22" i="1" s="1"/>
  <c r="AP17" i="1" a="1"/>
  <c r="AP17" i="1" s="1"/>
  <c r="AN13" i="1" a="1"/>
  <c r="AN13" i="1" s="1"/>
  <c r="AN4" i="1" a="1"/>
  <c r="AN4" i="1" s="1"/>
  <c r="AS21" i="1"/>
  <c r="O27" i="1"/>
  <c r="T26" i="1"/>
  <c r="P3" i="7" s="1"/>
  <c r="V25" i="1"/>
  <c r="R2" i="7" s="1"/>
  <c r="AF23" i="1"/>
  <c r="D23" i="6" s="1"/>
  <c r="I23" i="1"/>
  <c r="K10" i="9" s="1"/>
  <c r="N22" i="1"/>
  <c r="S21" i="1"/>
  <c r="U20" i="1"/>
  <c r="AE18" i="1"/>
  <c r="C18" i="6" s="1"/>
  <c r="H18" i="1"/>
  <c r="M17" i="1"/>
  <c r="Y14" i="1"/>
  <c r="AD13" i="1"/>
  <c r="L13" i="6" s="1"/>
  <c r="G13" i="1"/>
  <c r="F7" i="10" s="1"/>
  <c r="R5" i="1"/>
  <c r="W4" i="1"/>
  <c r="AI27" i="1"/>
  <c r="X27" i="3"/>
  <c r="AC26" i="3"/>
  <c r="AH25" i="3"/>
  <c r="N23" i="3"/>
  <c r="R22" i="3"/>
  <c r="R21" i="3"/>
  <c r="V20" i="3"/>
  <c r="AD18" i="3"/>
  <c r="AD17" i="3"/>
  <c r="AH14" i="3"/>
  <c r="I14" i="3"/>
  <c r="L13" i="3"/>
  <c r="U5" i="3"/>
  <c r="X4" i="3"/>
  <c r="AJ21" i="3"/>
  <c r="AJ5" i="3"/>
  <c r="AL15" i="3" a="1"/>
  <c r="AL15" i="3" s="1"/>
  <c r="AM8" i="3"/>
  <c r="W27" i="3"/>
  <c r="AB26" i="3"/>
  <c r="AC25" i="3"/>
  <c r="M23" i="3"/>
  <c r="M22" i="3"/>
  <c r="Q21" i="3"/>
  <c r="U20" i="3"/>
  <c r="Y18" i="3"/>
  <c r="AC17" i="3"/>
  <c r="AG14" i="3"/>
  <c r="H14" i="3"/>
  <c r="T5" i="3"/>
  <c r="W4" i="3"/>
  <c r="AI21" i="3"/>
  <c r="AI5" i="3"/>
  <c r="E26" i="3" a="1"/>
  <c r="E26" i="3" s="1"/>
  <c r="AK26" i="3" a="1"/>
  <c r="AK26" i="3" s="1"/>
  <c r="J3" i="7" s="1"/>
  <c r="AL26" i="3" a="1"/>
  <c r="AL26" i="3" s="1"/>
  <c r="AM26" i="3"/>
  <c r="N3" i="7" s="1"/>
  <c r="V27" i="3"/>
  <c r="AA26" i="3"/>
  <c r="AB25" i="3"/>
  <c r="L23" i="3"/>
  <c r="L22" i="3"/>
  <c r="P21" i="3"/>
  <c r="T20" i="3"/>
  <c r="X18" i="3"/>
  <c r="AB17" i="3"/>
  <c r="AF14" i="3"/>
  <c r="S5" i="3"/>
  <c r="Q4" i="3"/>
  <c r="AJ20" i="3"/>
  <c r="AJ4" i="3"/>
  <c r="AL8" i="3" a="1"/>
  <c r="AL8" i="3" s="1"/>
  <c r="AM6" i="3"/>
  <c r="Z13" i="3"/>
  <c r="T13" i="1"/>
  <c r="G13" i="3"/>
  <c r="AA13" i="3"/>
  <c r="U13" i="1"/>
  <c r="M7" i="10" s="1"/>
  <c r="H13" i="3"/>
  <c r="AB13" i="3"/>
  <c r="V13" i="1"/>
  <c r="N7" i="10" s="1"/>
  <c r="I13" i="3"/>
  <c r="AC13" i="3"/>
  <c r="J13" i="3"/>
  <c r="AD13" i="3"/>
  <c r="R14" i="3"/>
  <c r="L14" i="1"/>
  <c r="AF14" i="1"/>
  <c r="S14" i="3"/>
  <c r="M14" i="1"/>
  <c r="AG14" i="1"/>
  <c r="F14" i="6" s="1"/>
  <c r="T14" i="3"/>
  <c r="N14" i="1"/>
  <c r="AH14" i="1"/>
  <c r="G14" i="6" s="1"/>
  <c r="U14" i="3"/>
  <c r="V14" i="3"/>
  <c r="AJ21" i="1"/>
  <c r="AK22" i="1" a="1"/>
  <c r="AK22" i="1" s="1"/>
  <c r="AP21" i="1" a="1"/>
  <c r="AP21" i="1" s="1"/>
  <c r="AN17" i="1" a="1"/>
  <c r="AN17" i="1" s="1"/>
  <c r="AS20" i="1"/>
  <c r="AQ14" i="1"/>
  <c r="L27" i="1"/>
  <c r="N26" i="1"/>
  <c r="S25" i="1"/>
  <c r="AC23" i="1"/>
  <c r="AH22" i="1"/>
  <c r="G22" i="6" s="1"/>
  <c r="K22" i="1"/>
  <c r="M21" i="1"/>
  <c r="R20" i="1"/>
  <c r="AB18" i="1"/>
  <c r="AG17" i="1"/>
  <c r="F17" i="6" s="1"/>
  <c r="H17" i="6" s="1"/>
  <c r="G17" i="1"/>
  <c r="F4" i="9" s="1"/>
  <c r="V14" i="1"/>
  <c r="N8" i="10" s="1"/>
  <c r="AA13" i="1"/>
  <c r="O5" i="1"/>
  <c r="T4" i="1"/>
  <c r="K3" i="4" s="1" a="1"/>
  <c r="K3" i="4" s="1"/>
  <c r="D27" i="3" a="1"/>
  <c r="D27" i="3" s="1"/>
  <c r="U27" i="3"/>
  <c r="Z26" i="3"/>
  <c r="AA25" i="3"/>
  <c r="K23" i="3"/>
  <c r="K22" i="3"/>
  <c r="O21" i="3"/>
  <c r="S20" i="3"/>
  <c r="W18" i="3"/>
  <c r="AA17" i="3"/>
  <c r="AE14" i="3"/>
  <c r="AH13" i="3"/>
  <c r="R5" i="3"/>
  <c r="P4" i="3"/>
  <c r="AI20" i="3"/>
  <c r="AI4" i="3"/>
  <c r="AK9" i="3" a="1"/>
  <c r="AK9" i="3" s="1"/>
  <c r="AM5" i="3"/>
  <c r="AJ20" i="1"/>
  <c r="AM21" i="1" a="1"/>
  <c r="AM21" i="1" s="1"/>
  <c r="I8" i="9" s="1"/>
  <c r="AR20" i="1"/>
  <c r="AS13" i="1"/>
  <c r="A22" i="1" a="1"/>
  <c r="A22" i="1" s="1"/>
  <c r="F25" i="1"/>
  <c r="AH27" i="1"/>
  <c r="G27" i="6" s="1"/>
  <c r="K27" i="1"/>
  <c r="M26" i="1"/>
  <c r="R25" i="1"/>
  <c r="AB23" i="1"/>
  <c r="AG22" i="1"/>
  <c r="F22" i="6" s="1"/>
  <c r="G22" i="1"/>
  <c r="F9" i="9" s="1"/>
  <c r="L21" i="1"/>
  <c r="Q20" i="1"/>
  <c r="AA18" i="1"/>
  <c r="AF17" i="1"/>
  <c r="D17" i="6" s="1"/>
  <c r="U14" i="1"/>
  <c r="M8" i="10" s="1"/>
  <c r="Z13" i="1"/>
  <c r="K13" i="6" s="1"/>
  <c r="N5" i="1"/>
  <c r="S4" i="1"/>
  <c r="AP27" i="1" a="1"/>
  <c r="AP27" i="1" s="1"/>
  <c r="D26" i="3" a="1"/>
  <c r="D26" i="3" s="1"/>
  <c r="T27" i="3"/>
  <c r="Y26" i="3"/>
  <c r="Z25" i="3"/>
  <c r="AH23" i="3"/>
  <c r="J23" i="3"/>
  <c r="J22" i="3"/>
  <c r="N21" i="3"/>
  <c r="R20" i="3"/>
  <c r="V18" i="3"/>
  <c r="Z17" i="3"/>
  <c r="AD14" i="3"/>
  <c r="AG13" i="3"/>
  <c r="Q5" i="3"/>
  <c r="O4" i="3"/>
  <c r="AL6" i="3" a="1"/>
  <c r="AL6" i="3" s="1"/>
  <c r="AM4" i="3"/>
  <c r="U4" i="1"/>
  <c r="L3" i="4" s="1" a="1"/>
  <c r="L3" i="4" s="1"/>
  <c r="AJ5" i="1"/>
  <c r="AP25" i="1" a="1"/>
  <c r="AP25" i="1" s="1"/>
  <c r="AO21" i="1" a="1"/>
  <c r="AO21" i="1" s="1"/>
  <c r="AQ20" i="1"/>
  <c r="AR13" i="1"/>
  <c r="AG27" i="1"/>
  <c r="F27" i="6" s="1"/>
  <c r="G27" i="1"/>
  <c r="L26" i="1"/>
  <c r="Q25" i="1"/>
  <c r="AA23" i="1"/>
  <c r="AF22" i="1"/>
  <c r="D22" i="6" s="1"/>
  <c r="AH21" i="1"/>
  <c r="G21" i="6" s="1"/>
  <c r="K21" i="1"/>
  <c r="P20" i="1"/>
  <c r="Z18" i="1"/>
  <c r="K18" i="6" s="1"/>
  <c r="AE17" i="1"/>
  <c r="C17" i="6" s="1"/>
  <c r="T14" i="1"/>
  <c r="Y13" i="1"/>
  <c r="M5" i="1"/>
  <c r="R4" i="1"/>
  <c r="S27" i="3"/>
  <c r="U26" i="3"/>
  <c r="Y25" i="3"/>
  <c r="AG23" i="3"/>
  <c r="AG22" i="3"/>
  <c r="I22" i="3"/>
  <c r="M21" i="3"/>
  <c r="Q20" i="3"/>
  <c r="U18" i="3"/>
  <c r="Y17" i="3"/>
  <c r="AC14" i="3"/>
  <c r="AF13" i="3"/>
  <c r="P5" i="3"/>
  <c r="N4" i="3"/>
  <c r="AJ18" i="3"/>
  <c r="AK8" i="3" a="1"/>
  <c r="AK8" i="3" s="1"/>
  <c r="AL5" i="3" a="1"/>
  <c r="AL5" i="3" s="1"/>
  <c r="AM3" i="3"/>
  <c r="AL21" i="1" a="1"/>
  <c r="AL21" i="1" s="1"/>
  <c r="H8" i="9" s="1"/>
  <c r="AQ13" i="1"/>
  <c r="A21" i="1" a="1"/>
  <c r="A21" i="1" s="1"/>
  <c r="F23" i="1"/>
  <c r="AF27" i="1"/>
  <c r="D27" i="6" s="1"/>
  <c r="AH26" i="1"/>
  <c r="G26" i="6" s="1"/>
  <c r="K26" i="1"/>
  <c r="P25" i="1"/>
  <c r="Z23" i="1"/>
  <c r="K23" i="6" s="1"/>
  <c r="AE22" i="1"/>
  <c r="C22" i="6" s="1"/>
  <c r="AG21" i="1"/>
  <c r="F21" i="6" s="1"/>
  <c r="J21" i="1"/>
  <c r="O20" i="1"/>
  <c r="Y18" i="1"/>
  <c r="AA17" i="1"/>
  <c r="S14" i="1"/>
  <c r="X13" i="1"/>
  <c r="L5" i="1"/>
  <c r="Q4" i="1"/>
  <c r="AO27" i="1" a="1"/>
  <c r="AO27" i="1" s="1"/>
  <c r="C26" i="3" a="1"/>
  <c r="C26" i="3" s="1"/>
  <c r="R27" i="3"/>
  <c r="T26" i="3"/>
  <c r="X25" i="3"/>
  <c r="AF23" i="3"/>
  <c r="AF22" i="3"/>
  <c r="H22" i="3"/>
  <c r="L21" i="3"/>
  <c r="P20" i="3"/>
  <c r="T18" i="3"/>
  <c r="X17" i="3"/>
  <c r="AB14" i="3"/>
  <c r="AE13" i="3"/>
  <c r="O5" i="3"/>
  <c r="M4" i="3"/>
  <c r="AL4" i="3" a="1"/>
  <c r="AL4" i="3" s="1"/>
  <c r="AM27" i="3"/>
  <c r="N4" i="7" s="1"/>
  <c r="AK21" i="1" a="1"/>
  <c r="AK21" i="1" s="1"/>
  <c r="AO25" i="1" a="1"/>
  <c r="AO25" i="1" s="1"/>
  <c r="AN21" i="1" a="1"/>
  <c r="AN21" i="1" s="1"/>
  <c r="F22" i="1"/>
  <c r="AE27" i="1"/>
  <c r="C27" i="6" s="1"/>
  <c r="AG26" i="1"/>
  <c r="F26" i="6" s="1"/>
  <c r="J26" i="1"/>
  <c r="O25" i="1"/>
  <c r="Y23" i="1"/>
  <c r="AA22" i="1"/>
  <c r="AF21" i="1"/>
  <c r="D21" i="6" s="1"/>
  <c r="I21" i="1"/>
  <c r="K8" i="9" s="1"/>
  <c r="N20" i="1"/>
  <c r="X18" i="1"/>
  <c r="Z17" i="1"/>
  <c r="K17" i="6" s="1"/>
  <c r="R14" i="1"/>
  <c r="W13" i="1"/>
  <c r="AH5" i="1"/>
  <c r="G5" i="6" s="1"/>
  <c r="K5" i="1"/>
  <c r="P4" i="1"/>
  <c r="AN27" i="1" a="1"/>
  <c r="AN27" i="1" s="1"/>
  <c r="F27" i="3"/>
  <c r="Q27" i="3"/>
  <c r="S26" i="3"/>
  <c r="W25" i="3"/>
  <c r="AE23" i="3"/>
  <c r="AE22" i="3"/>
  <c r="G22" i="3"/>
  <c r="K21" i="3"/>
  <c r="O20" i="3"/>
  <c r="S18" i="3"/>
  <c r="W17" i="3"/>
  <c r="AA14" i="3"/>
  <c r="Y13" i="3"/>
  <c r="I5" i="3"/>
  <c r="L4" i="3"/>
  <c r="AK6" i="3" a="1"/>
  <c r="AK6" i="3" s="1"/>
  <c r="I7" i="4" s="1" a="1"/>
  <c r="I7" i="4" s="1"/>
  <c r="AL3" i="3" a="1"/>
  <c r="AL3" i="3" s="1"/>
  <c r="AL27" i="3" a="1"/>
  <c r="AL27" i="3" s="1"/>
  <c r="E19" i="3" a="1"/>
  <c r="E19" i="3" s="1"/>
  <c r="A19" i="3" a="1"/>
  <c r="A19" i="3" s="1"/>
  <c r="AM19" i="3"/>
  <c r="AM20" i="1" a="1"/>
  <c r="AM20" i="1" s="1"/>
  <c r="I7" i="9" s="1"/>
  <c r="AP20" i="1" a="1"/>
  <c r="AP20" i="1" s="1"/>
  <c r="AS25" i="1"/>
  <c r="M2" i="7" s="1"/>
  <c r="AS5" i="1"/>
  <c r="A20" i="1" a="1"/>
  <c r="A20" i="1" s="1"/>
  <c r="F21" i="1"/>
  <c r="AA27" i="1"/>
  <c r="AF26" i="1"/>
  <c r="D26" i="6" s="1"/>
  <c r="I26" i="1"/>
  <c r="O3" i="7" s="1"/>
  <c r="N25" i="1"/>
  <c r="X23" i="1"/>
  <c r="Z22" i="1"/>
  <c r="K22" i="6" s="1"/>
  <c r="AE21" i="1"/>
  <c r="C21" i="6" s="1"/>
  <c r="H21" i="1"/>
  <c r="M20" i="1"/>
  <c r="W18" i="1"/>
  <c r="Y17" i="1"/>
  <c r="Q14" i="1"/>
  <c r="S13" i="1"/>
  <c r="AG5" i="1"/>
  <c r="F5" i="6" s="1"/>
  <c r="J5" i="1"/>
  <c r="O4" i="1"/>
  <c r="AM27" i="1" a="1"/>
  <c r="AM27" i="1" s="1"/>
  <c r="I4" i="7" s="1"/>
  <c r="F26" i="3"/>
  <c r="M27" i="3"/>
  <c r="R26" i="3"/>
  <c r="V25" i="3"/>
  <c r="AD23" i="3"/>
  <c r="AD22" i="3"/>
  <c r="AH21" i="3"/>
  <c r="J21" i="3"/>
  <c r="N20" i="3"/>
  <c r="R18" i="3"/>
  <c r="V17" i="3"/>
  <c r="Z14" i="3"/>
  <c r="X13" i="3"/>
  <c r="H5" i="3"/>
  <c r="K4" i="3"/>
  <c r="AJ14" i="3"/>
  <c r="AK24" i="3" a="1"/>
  <c r="AK24" i="3" s="1"/>
  <c r="I5" i="4" s="1" a="1"/>
  <c r="I5" i="4" s="1"/>
  <c r="AK27" i="3" a="1"/>
  <c r="AK27" i="3" s="1"/>
  <c r="J4" i="7" s="1"/>
  <c r="C18" i="3" a="1"/>
  <c r="C18" i="3" s="1"/>
  <c r="AK18" i="3" a="1"/>
  <c r="AK18" i="3" s="1"/>
  <c r="J5" i="9" s="1"/>
  <c r="AM25" i="1" a="1"/>
  <c r="AM25" i="1" s="1"/>
  <c r="I2" i="7" s="1"/>
  <c r="AL20" i="1" a="1"/>
  <c r="AL20" i="1" s="1"/>
  <c r="H7" i="9" s="1"/>
  <c r="AN25" i="1" a="1"/>
  <c r="AN25" i="1" s="1"/>
  <c r="AO20" i="1" a="1"/>
  <c r="AO20" i="1" s="1"/>
  <c r="AR25" i="1"/>
  <c r="L2" i="7" s="1"/>
  <c r="AS18" i="1"/>
  <c r="AR5" i="1"/>
  <c r="F20" i="1"/>
  <c r="Z27" i="1"/>
  <c r="K27" i="6" s="1"/>
  <c r="AE26" i="1"/>
  <c r="C26" i="6" s="1"/>
  <c r="H26" i="1"/>
  <c r="F3" i="7" s="1"/>
  <c r="M25" i="1"/>
  <c r="W23" i="1"/>
  <c r="Y22" i="1"/>
  <c r="AD21" i="1"/>
  <c r="L21" i="6" s="1"/>
  <c r="G21" i="1"/>
  <c r="F8" i="9" s="1"/>
  <c r="L20" i="1"/>
  <c r="S18" i="1"/>
  <c r="X17" i="1"/>
  <c r="P14" i="1"/>
  <c r="R13" i="1"/>
  <c r="AF5" i="1"/>
  <c r="D5" i="6" s="1"/>
  <c r="I5" i="1"/>
  <c r="J6" i="4" s="1" a="1"/>
  <c r="J6" i="4" s="1"/>
  <c r="K4" i="1"/>
  <c r="L27" i="3"/>
  <c r="Q26" i="3"/>
  <c r="U25" i="3"/>
  <c r="Y23" i="3"/>
  <c r="AC22" i="3"/>
  <c r="AG21" i="3"/>
  <c r="I21" i="3"/>
  <c r="I20" i="3"/>
  <c r="Q18" i="3"/>
  <c r="U17" i="3"/>
  <c r="Y14" i="3"/>
  <c r="W13" i="3"/>
  <c r="G5" i="3"/>
  <c r="J4" i="3"/>
  <c r="AI14" i="3"/>
  <c r="AK23" i="3" a="1"/>
  <c r="AK23" i="3" s="1"/>
  <c r="J10" i="9" s="1"/>
  <c r="AI27" i="3"/>
  <c r="E2" i="6"/>
  <c r="A11" i="3" a="1"/>
  <c r="A11" i="3" s="1"/>
  <c r="A18" i="3" a="1"/>
  <c r="A18" i="3" s="1"/>
  <c r="A9" i="3" a="1"/>
  <c r="A9" i="3" s="1"/>
  <c r="A27" i="3" a="1"/>
  <c r="A27" i="3" s="1"/>
  <c r="A15" i="3" a="1"/>
  <c r="A15" i="3" s="1"/>
  <c r="A26" i="3" a="1"/>
  <c r="A26" i="3" s="1"/>
  <c r="E27" i="3" a="1"/>
  <c r="E27" i="3" s="1"/>
  <c r="A23" i="3" a="1"/>
  <c r="A23" i="3" s="1"/>
  <c r="A12" i="3" a="1"/>
  <c r="A12" i="3" s="1"/>
  <c r="A8" i="3" a="1"/>
  <c r="A8" i="3" s="1"/>
  <c r="D27" i="1" a="1"/>
  <c r="D27" i="1" s="1"/>
  <c r="C27" i="1" a="1"/>
  <c r="C27" i="1" s="1"/>
  <c r="D15" i="1" a="1"/>
  <c r="D15" i="1" s="1"/>
  <c r="AJ19" i="1"/>
  <c r="AJ18" i="1"/>
  <c r="AJ16" i="1"/>
  <c r="AJ15" i="1"/>
  <c r="AJ8" i="1"/>
  <c r="AJ13" i="1"/>
  <c r="AJ17" i="1"/>
  <c r="AJ12" i="1"/>
  <c r="AJ14" i="1"/>
  <c r="AJ11" i="1"/>
  <c r="AJ10" i="1"/>
  <c r="AJ9" i="1"/>
  <c r="AJ7" i="1"/>
  <c r="D14" i="1" a="1"/>
  <c r="D14" i="1" s="1"/>
  <c r="AJ6" i="1"/>
  <c r="AJ4" i="1"/>
  <c r="C15" i="1" a="1"/>
  <c r="C15" i="1" s="1"/>
  <c r="AJ23" i="1"/>
  <c r="AJ3" i="1"/>
  <c r="D25" i="1" a="1"/>
  <c r="D25" i="1" s="1"/>
  <c r="C25" i="1" a="1"/>
  <c r="C25" i="1" s="1"/>
  <c r="D22" i="1" a="1"/>
  <c r="D22" i="1" s="1"/>
  <c r="E23" i="1" a="1"/>
  <c r="E23" i="1" s="1"/>
  <c r="C18" i="1" a="1"/>
  <c r="C18" i="1" s="1"/>
  <c r="E17" i="1" a="1"/>
  <c r="E17" i="1" s="1"/>
  <c r="D17" i="1" a="1"/>
  <c r="D17" i="1" s="1"/>
  <c r="E21" i="1" a="1"/>
  <c r="E21" i="1" s="1"/>
  <c r="E10" i="1" a="1"/>
  <c r="E10" i="1" s="1"/>
  <c r="C7" i="1" a="1"/>
  <c r="C7" i="1" s="1"/>
  <c r="D21" i="1" a="1"/>
  <c r="D21" i="1" s="1"/>
  <c r="D10" i="1" a="1"/>
  <c r="D10" i="1" s="1"/>
  <c r="C14" i="1" a="1"/>
  <c r="C14" i="1" s="1"/>
  <c r="C10" i="1" a="1"/>
  <c r="C10" i="1" s="1"/>
  <c r="D6" i="1" a="1"/>
  <c r="D6" i="1" s="1"/>
  <c r="C21" i="1" a="1"/>
  <c r="C21" i="1" s="1"/>
  <c r="D13" i="1" a="1"/>
  <c r="D13" i="1" s="1"/>
  <c r="D24" i="1" a="1"/>
  <c r="D24" i="1" s="1"/>
  <c r="C17" i="1" a="1"/>
  <c r="C17" i="1" s="1"/>
  <c r="E9" i="1" a="1"/>
  <c r="E9" i="1" s="1"/>
  <c r="C6" i="1" a="1"/>
  <c r="C6" i="1" s="1"/>
  <c r="AJ2" i="1"/>
  <c r="D3" i="1" a="1"/>
  <c r="D3" i="1" s="1"/>
  <c r="E24" i="1" a="1"/>
  <c r="E24" i="1" s="1"/>
  <c r="E13" i="1" a="1"/>
  <c r="E13" i="1" s="1"/>
  <c r="E20" i="1" a="1"/>
  <c r="E20" i="1" s="1"/>
  <c r="E16" i="1" a="1"/>
  <c r="E16" i="1" s="1"/>
  <c r="C13" i="1" a="1"/>
  <c r="C13" i="1" s="1"/>
  <c r="AI2" i="1"/>
  <c r="C24" i="1" a="1"/>
  <c r="C24" i="1" s="1"/>
  <c r="D9" i="1" a="1"/>
  <c r="D9" i="1" s="1"/>
  <c r="E5" i="1" a="1"/>
  <c r="E5" i="1" s="1"/>
  <c r="D20" i="1" a="1"/>
  <c r="D20" i="1" s="1"/>
  <c r="D16" i="1" a="1"/>
  <c r="D16" i="1" s="1"/>
  <c r="E12" i="1" a="1"/>
  <c r="E12" i="1" s="1"/>
  <c r="D5" i="1" a="1"/>
  <c r="D5" i="1" s="1"/>
  <c r="C20" i="1" a="1"/>
  <c r="C20" i="1" s="1"/>
  <c r="C9" i="1" a="1"/>
  <c r="C9" i="1" s="1"/>
  <c r="D23" i="1" a="1"/>
  <c r="D23" i="1" s="1"/>
  <c r="C16" i="1" a="1"/>
  <c r="C16" i="1" s="1"/>
  <c r="D12" i="1" a="1"/>
  <c r="D12" i="1" s="1"/>
  <c r="C5" i="1" a="1"/>
  <c r="C5" i="1" s="1"/>
  <c r="E6" i="1" a="1"/>
  <c r="E6" i="1" s="1"/>
  <c r="C3" i="1" a="1"/>
  <c r="C3" i="1" s="1"/>
  <c r="E19" i="1" a="1"/>
  <c r="E19" i="1" s="1"/>
  <c r="E8" i="1" a="1"/>
  <c r="E8" i="1" s="1"/>
  <c r="C23" i="1" a="1"/>
  <c r="C23" i="1" s="1"/>
  <c r="D19" i="1" a="1"/>
  <c r="D19" i="1" s="1"/>
  <c r="E15" i="1" a="1"/>
  <c r="E15" i="1" s="1"/>
  <c r="C12" i="1" a="1"/>
  <c r="C12" i="1" s="1"/>
  <c r="E4" i="1" a="1"/>
  <c r="E4" i="1" s="1"/>
  <c r="C19" i="1" a="1"/>
  <c r="C19" i="1" s="1"/>
  <c r="D8" i="1" a="1"/>
  <c r="D8" i="1" s="1"/>
  <c r="E22" i="1" a="1"/>
  <c r="E22" i="1" s="1"/>
  <c r="E11" i="1" a="1"/>
  <c r="E11" i="1" s="1"/>
  <c r="D4" i="1" a="1"/>
  <c r="D4" i="1" s="1"/>
  <c r="E18" i="1" a="1"/>
  <c r="E18" i="1" s="1"/>
  <c r="C8" i="1" a="1"/>
  <c r="C8" i="1" s="1"/>
  <c r="D11" i="1" a="1"/>
  <c r="D11" i="1" s="1"/>
  <c r="C4" i="1" a="1"/>
  <c r="C4" i="1" s="1"/>
  <c r="A3" i="1" a="1"/>
  <c r="A3" i="1" s="1"/>
  <c r="D18" i="1" a="1"/>
  <c r="D18" i="1" s="1"/>
  <c r="E7" i="1" a="1"/>
  <c r="E7" i="1" s="1"/>
  <c r="E25" i="1" a="1"/>
  <c r="E25" i="1" s="1"/>
  <c r="C22" i="1" a="1"/>
  <c r="C22" i="1" s="1"/>
  <c r="E14" i="1" a="1"/>
  <c r="E14" i="1" s="1"/>
  <c r="C11" i="1" a="1"/>
  <c r="C11" i="1" s="1"/>
  <c r="E3" i="1" a="1"/>
  <c r="E3" i="1" s="1"/>
  <c r="F17" i="3"/>
  <c r="D17" i="3" a="1"/>
  <c r="D17" i="3" s="1"/>
  <c r="F21" i="3"/>
  <c r="E17" i="3" a="1"/>
  <c r="E17" i="3" s="1"/>
  <c r="C17" i="3" a="1"/>
  <c r="C17" i="3" s="1"/>
  <c r="E16" i="3" a="1"/>
  <c r="E16" i="3" s="1"/>
  <c r="D16" i="3" a="1"/>
  <c r="D16" i="3" s="1"/>
  <c r="D25" i="3" a="1"/>
  <c r="D25" i="3" s="1"/>
  <c r="F20" i="3"/>
  <c r="C16" i="3" a="1"/>
  <c r="C16" i="3" s="1"/>
  <c r="E18" i="3" a="1"/>
  <c r="E18" i="3" s="1"/>
  <c r="D18" i="3" a="1"/>
  <c r="D18" i="3" s="1"/>
  <c r="D21" i="3" a="1"/>
  <c r="D21" i="3" s="1"/>
  <c r="E12" i="3" a="1"/>
  <c r="E12" i="3" s="1"/>
  <c r="AI17" i="1"/>
  <c r="E22" i="3" a="1"/>
  <c r="E22" i="3" s="1"/>
  <c r="E21" i="3" a="1"/>
  <c r="E21" i="3" s="1"/>
  <c r="C22" i="3" a="1"/>
  <c r="C22" i="3" s="1"/>
  <c r="F24" i="3"/>
  <c r="AI16" i="1"/>
  <c r="F16" i="3"/>
  <c r="F18" i="3"/>
  <c r="F14" i="3"/>
  <c r="C25" i="3" a="1"/>
  <c r="C25" i="3" s="1"/>
  <c r="C24" i="3" a="1"/>
  <c r="C24" i="3" s="1"/>
  <c r="E20" i="3" a="1"/>
  <c r="E20" i="3" s="1"/>
  <c r="D19" i="3" a="1"/>
  <c r="D19" i="3" s="1"/>
  <c r="D24" i="3" a="1"/>
  <c r="D24" i="3" s="1"/>
  <c r="E23" i="3" a="1"/>
  <c r="E23" i="3" s="1"/>
  <c r="D20" i="3" a="1"/>
  <c r="D20" i="3" s="1"/>
  <c r="C19" i="3" a="1"/>
  <c r="C19" i="3" s="1"/>
  <c r="AI25" i="1"/>
  <c r="E24" i="3" a="1"/>
  <c r="E24" i="3" s="1"/>
  <c r="C12" i="3" a="1"/>
  <c r="C12" i="3" s="1"/>
  <c r="D23" i="3" a="1"/>
  <c r="D23" i="3" s="1"/>
  <c r="C14" i="3" a="1"/>
  <c r="C14" i="3" s="1"/>
  <c r="D8" i="3" a="1"/>
  <c r="D8" i="3" s="1"/>
  <c r="D15" i="3" a="1"/>
  <c r="D15" i="3" s="1"/>
  <c r="E25" i="3" a="1"/>
  <c r="E25" i="3" s="1"/>
  <c r="C13" i="3" a="1"/>
  <c r="C13" i="3" s="1"/>
  <c r="E14" i="3" a="1"/>
  <c r="E14" i="3" s="1"/>
  <c r="E13" i="3" a="1"/>
  <c r="E13" i="3" s="1"/>
  <c r="E15" i="3" a="1"/>
  <c r="E15" i="3" s="1"/>
  <c r="C15" i="3" a="1"/>
  <c r="C15" i="3" s="1"/>
  <c r="AI22" i="1"/>
  <c r="C11" i="3" a="1"/>
  <c r="C11" i="3" s="1"/>
  <c r="C20" i="3" a="1"/>
  <c r="C20" i="3" s="1"/>
  <c r="AI20" i="1"/>
  <c r="D11" i="3" a="1"/>
  <c r="D11" i="3" s="1"/>
  <c r="C9" i="3" a="1"/>
  <c r="C9" i="3" s="1"/>
  <c r="C10" i="3" a="1"/>
  <c r="C10" i="3" s="1"/>
  <c r="E11" i="3" a="1"/>
  <c r="E11" i="3" s="1"/>
  <c r="E10" i="3" a="1"/>
  <c r="E10" i="3" s="1"/>
  <c r="D10" i="3" a="1"/>
  <c r="D10" i="3" s="1"/>
  <c r="D13" i="3" a="1"/>
  <c r="D13" i="3" s="1"/>
  <c r="E9" i="3" a="1"/>
  <c r="E9" i="3" s="1"/>
  <c r="AI15" i="1"/>
  <c r="AI21" i="1"/>
  <c r="AI24" i="1"/>
  <c r="F22" i="3"/>
  <c r="AI18" i="1"/>
  <c r="F25" i="3"/>
  <c r="AI19" i="1"/>
  <c r="F19" i="3"/>
  <c r="AI14" i="1"/>
  <c r="F23" i="3"/>
  <c r="F15" i="3"/>
  <c r="AI23" i="1"/>
  <c r="F13" i="3"/>
  <c r="D2" i="3" a="1"/>
  <c r="D2" i="3" s="1"/>
  <c r="A3" i="3" a="1"/>
  <c r="A3" i="3" s="1"/>
  <c r="D5" i="3" a="1"/>
  <c r="D5" i="3" s="1"/>
  <c r="E6" i="3" a="1"/>
  <c r="E6" i="3" s="1"/>
  <c r="A2" i="3" a="1"/>
  <c r="A2" i="3" s="1"/>
  <c r="AI12" i="1"/>
  <c r="C2" i="3" a="1"/>
  <c r="C2" i="3" s="1"/>
  <c r="E2" i="3" a="1"/>
  <c r="E2" i="3" s="1"/>
  <c r="E8" i="3" a="1"/>
  <c r="E8" i="3" s="1"/>
  <c r="B9" i="8"/>
  <c r="C2" i="1" a="1"/>
  <c r="C2" i="1" s="1"/>
  <c r="F11" i="3"/>
  <c r="E5" i="3" a="1"/>
  <c r="E5" i="3" s="1"/>
  <c r="F4" i="3"/>
  <c r="A5" i="3" a="1"/>
  <c r="A5" i="3" s="1"/>
  <c r="B13" i="8"/>
  <c r="AI4" i="1"/>
  <c r="G2" i="3"/>
  <c r="F9" i="3"/>
  <c r="F7" i="3"/>
  <c r="AI7" i="1"/>
  <c r="AI6" i="1"/>
  <c r="D2" i="1" a="1"/>
  <c r="D2" i="1" s="1"/>
  <c r="F2" i="3"/>
  <c r="F10" i="3"/>
  <c r="F3" i="3"/>
  <c r="AI3" i="1"/>
  <c r="F8" i="3"/>
  <c r="E2" i="1" a="1"/>
  <c r="E2" i="1" s="1"/>
  <c r="A2" i="1" a="1"/>
  <c r="A2" i="1" s="1"/>
  <c r="AI2" i="3"/>
  <c r="AI10" i="1"/>
  <c r="AI8" i="1"/>
  <c r="F2" i="1"/>
  <c r="F6" i="3"/>
  <c r="AI5" i="1"/>
  <c r="F5" i="3"/>
  <c r="AI11" i="1"/>
  <c r="F12" i="3"/>
  <c r="AI13" i="1"/>
  <c r="AI9" i="1"/>
  <c r="C4" i="3" a="1"/>
  <c r="C4" i="3" s="1"/>
  <c r="E3" i="3" a="1"/>
  <c r="E3" i="3" s="1"/>
  <c r="C6" i="3" a="1"/>
  <c r="C6" i="3" s="1"/>
  <c r="C7" i="3" a="1"/>
  <c r="C7" i="3" s="1"/>
  <c r="D7" i="3" a="1"/>
  <c r="D7" i="3" s="1"/>
  <c r="E7" i="3" a="1"/>
  <c r="E7" i="3" s="1"/>
  <c r="D6" i="3" a="1"/>
  <c r="D6" i="3" s="1"/>
  <c r="A4" i="3" a="1"/>
  <c r="A4" i="3" s="1"/>
  <c r="C5" i="3" a="1"/>
  <c r="C5" i="3" s="1"/>
  <c r="D4" i="3" a="1"/>
  <c r="D4" i="3" s="1"/>
  <c r="C3" i="3" a="1"/>
  <c r="C3" i="3" s="1"/>
  <c r="E4" i="3" a="1"/>
  <c r="E4" i="3" s="1"/>
  <c r="D3" i="3" a="1"/>
  <c r="D3" i="3" s="1"/>
  <c r="I23" i="6" l="1"/>
  <c r="G10" i="9"/>
  <c r="I17" i="6"/>
  <c r="G4" i="9"/>
  <c r="I9" i="6"/>
  <c r="G3" i="10"/>
  <c r="I18" i="6"/>
  <c r="G5" i="9"/>
  <c r="D11" i="6"/>
  <c r="L5" i="10"/>
  <c r="I22" i="6"/>
  <c r="G9" i="9"/>
  <c r="E13" i="8"/>
  <c r="J7" i="10"/>
  <c r="I8" i="6"/>
  <c r="G2" i="10"/>
  <c r="D9" i="8"/>
  <c r="I2" i="10"/>
  <c r="I15" i="6"/>
  <c r="G2" i="9"/>
  <c r="D9" i="6"/>
  <c r="L3" i="10"/>
  <c r="D8" i="6"/>
  <c r="L2" i="10"/>
  <c r="I20" i="6"/>
  <c r="G7" i="9"/>
  <c r="E12" i="8"/>
  <c r="J6" i="10"/>
  <c r="D12" i="6"/>
  <c r="E12" i="6" s="1"/>
  <c r="L6" i="10"/>
  <c r="D10" i="8"/>
  <c r="I3" i="10"/>
  <c r="I11" i="6"/>
  <c r="G5" i="10"/>
  <c r="D10" i="6"/>
  <c r="E10" i="6" s="1"/>
  <c r="L4" i="10"/>
  <c r="I21" i="6"/>
  <c r="G8" i="9"/>
  <c r="E9" i="8"/>
  <c r="J2" i="10"/>
  <c r="I14" i="6"/>
  <c r="G8" i="10"/>
  <c r="I12" i="6"/>
  <c r="G6" i="10"/>
  <c r="C10" i="8"/>
  <c r="H3" i="10"/>
  <c r="E10" i="8"/>
  <c r="J3" i="10"/>
  <c r="E11" i="8"/>
  <c r="J5" i="10"/>
  <c r="I16" i="6"/>
  <c r="G3" i="9"/>
  <c r="I10" i="6"/>
  <c r="G4" i="10"/>
  <c r="D13" i="6"/>
  <c r="E13" i="6" s="1"/>
  <c r="L7" i="10"/>
  <c r="C9" i="8"/>
  <c r="H2" i="10"/>
  <c r="I19" i="6"/>
  <c r="G6" i="9"/>
  <c r="I13" i="6"/>
  <c r="G7" i="10"/>
  <c r="D14" i="6"/>
  <c r="L8" i="10"/>
  <c r="E24" i="6"/>
  <c r="E15" i="6"/>
  <c r="B11" i="8"/>
  <c r="M23" i="6"/>
  <c r="E23" i="6"/>
  <c r="B12" i="8"/>
  <c r="H12" i="6"/>
  <c r="C3" i="7"/>
  <c r="H18" i="6"/>
  <c r="C5" i="4"/>
  <c r="E11" i="6"/>
  <c r="C2" i="7"/>
  <c r="M25" i="6"/>
  <c r="H2" i="6"/>
  <c r="M2" i="6"/>
  <c r="E9" i="6"/>
  <c r="H20" i="6"/>
  <c r="H24" i="6"/>
  <c r="C4" i="4"/>
  <c r="H7" i="6"/>
  <c r="C3" i="4"/>
  <c r="C4" i="7"/>
  <c r="H11" i="6"/>
  <c r="M12" i="6"/>
  <c r="I4" i="6"/>
  <c r="F3" i="4" a="1"/>
  <c r="F3" i="4" s="1"/>
  <c r="E20" i="6"/>
  <c r="I24" i="6"/>
  <c r="F5" i="4" a="1"/>
  <c r="F5" i="4" s="1"/>
  <c r="I25" i="6"/>
  <c r="G2" i="7"/>
  <c r="I6" i="6"/>
  <c r="F7" i="4" a="1"/>
  <c r="F7" i="4" s="1"/>
  <c r="I26" i="6"/>
  <c r="G3" i="7"/>
  <c r="I3" i="6"/>
  <c r="F4" i="4" a="1"/>
  <c r="F4" i="4" s="1"/>
  <c r="I5" i="6"/>
  <c r="F6" i="4" a="1"/>
  <c r="F6" i="4" s="1"/>
  <c r="I27" i="6"/>
  <c r="G4" i="7"/>
  <c r="B10" i="8"/>
  <c r="I2" i="6"/>
  <c r="F2" i="4" a="1"/>
  <c r="F2" i="4" s="1"/>
  <c r="M26" i="6"/>
  <c r="H22" i="6"/>
  <c r="E22" i="6"/>
  <c r="M18" i="6"/>
  <c r="M6" i="6"/>
  <c r="E14" i="6"/>
  <c r="E3" i="6"/>
  <c r="M14" i="6"/>
  <c r="H14" i="6"/>
  <c r="M5" i="6"/>
  <c r="E8" i="6"/>
  <c r="H15" i="6"/>
  <c r="M22" i="6"/>
  <c r="E18" i="6"/>
  <c r="M17" i="6"/>
  <c r="E4" i="6"/>
  <c r="M16" i="6"/>
  <c r="H10" i="6"/>
  <c r="E19" i="6"/>
  <c r="M7" i="6"/>
  <c r="H23" i="6"/>
  <c r="H4" i="6"/>
  <c r="H25" i="6"/>
  <c r="M10" i="6"/>
  <c r="E6" i="6"/>
  <c r="M21" i="6"/>
  <c r="M27" i="6"/>
  <c r="H27" i="6"/>
  <c r="E26" i="6"/>
  <c r="E21" i="6"/>
  <c r="H21" i="6"/>
  <c r="H8" i="6"/>
  <c r="H13" i="6"/>
  <c r="E25" i="6"/>
  <c r="H6" i="6"/>
  <c r="E16" i="6"/>
  <c r="H19" i="6"/>
  <c r="H9" i="6"/>
  <c r="E5" i="6"/>
  <c r="M13" i="6"/>
  <c r="H5" i="6"/>
  <c r="M4" i="6"/>
  <c r="M3" i="6"/>
  <c r="M15" i="6"/>
  <c r="H26" i="6"/>
  <c r="M20" i="6"/>
  <c r="E27" i="6"/>
  <c r="M8" i="6"/>
  <c r="E17" i="6"/>
  <c r="M9" i="6"/>
  <c r="H3" i="6"/>
  <c r="M24" i="6"/>
  <c r="M11" i="6"/>
  <c r="M19" i="6"/>
  <c r="H16" i="6"/>
  <c r="C2" i="5"/>
  <c r="C2" i="4"/>
  <c r="C7" i="4"/>
  <c r="C6" i="4"/>
  <c r="B4" i="8"/>
  <c r="E2" i="8"/>
  <c r="C3" i="8"/>
  <c r="E7" i="8"/>
  <c r="D3" i="8"/>
  <c r="B2" i="8"/>
  <c r="C12" i="8"/>
  <c r="C11" i="8"/>
  <c r="D12" i="8"/>
  <c r="E3" i="8"/>
  <c r="B3" i="8"/>
  <c r="C5" i="8"/>
  <c r="B5" i="8"/>
  <c r="D11" i="8"/>
  <c r="C4" i="8"/>
  <c r="D5" i="8"/>
  <c r="B6" i="8"/>
  <c r="E4" i="8"/>
  <c r="D4" i="8"/>
  <c r="D7" i="8"/>
  <c r="C7" i="8"/>
  <c r="D6" i="8"/>
  <c r="B7" i="8"/>
  <c r="E6" i="8"/>
  <c r="C6" i="8"/>
  <c r="D8" i="8"/>
  <c r="H2" i="5"/>
  <c r="E5" i="8"/>
  <c r="B8" i="8"/>
  <c r="F2" i="5"/>
  <c r="C8" i="8"/>
  <c r="G2" i="5"/>
  <c r="D2" i="8"/>
  <c r="C13" i="8"/>
  <c r="C2" i="8"/>
  <c r="D13" i="8"/>
  <c r="E8" i="8"/>
  <c r="I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E86C7A-6047-4D78-AC07-9F0F2E7837F5}" keepAlive="1" name="Query - benchmark" description="Connection to the 'benchmark' query in the workbook." type="5" refreshedVersion="8" background="1" saveData="1">
    <dbPr connection="Provider=Microsoft.Mashup.OleDb.1;Data Source=$Workbook$;Location=benchmark;Extended Properties=&quot;&quot;" command="SELECT * FROM [benchmar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<sst xmlns="http://schemas.openxmlformats.org/spreadsheetml/2006/main" count="1335" uniqueCount="161">
  <si>
    <t>model</t>
  </si>
  <si>
    <t>run</t>
  </si>
  <si>
    <t>solver</t>
  </si>
  <si>
    <t>version</t>
  </si>
  <si>
    <t>exit_status</t>
  </si>
  <si>
    <t>obj1</t>
  </si>
  <si>
    <t>obj2</t>
  </si>
  <si>
    <t>iterations</t>
  </si>
  <si>
    <t>obj_eval</t>
  </si>
  <si>
    <t>grad_eval</t>
  </si>
  <si>
    <t>eq_eval</t>
  </si>
  <si>
    <t>ineq_eval</t>
  </si>
  <si>
    <t>eq_jac</t>
  </si>
  <si>
    <t>ineq_jac</t>
  </si>
  <si>
    <t>hess_eval</t>
  </si>
  <si>
    <t>constraint_violation_unscaled</t>
  </si>
  <si>
    <t>cpu_ipopt</t>
  </si>
  <si>
    <t>cpu_nlp</t>
  </si>
  <si>
    <t>ampl_elapsed_time</t>
  </si>
  <si>
    <t>ampl_system_time</t>
  </si>
  <si>
    <t>ampl_user_time</t>
  </si>
  <si>
    <t>ampl_time</t>
  </si>
  <si>
    <t>solve_elapsed_time</t>
  </si>
  <si>
    <t>solve_system_time</t>
  </si>
  <si>
    <t>solve_user_time</t>
  </si>
  <si>
    <t>solve_time</t>
  </si>
  <si>
    <t>nvars</t>
  </si>
  <si>
    <t>snvars</t>
  </si>
  <si>
    <t>ncons</t>
  </si>
  <si>
    <t>sncons</t>
  </si>
  <si>
    <t>total_vars</t>
  </si>
  <si>
    <t>total_eq</t>
  </si>
  <si>
    <t>total_ineq</t>
  </si>
  <si>
    <t>acrobot</t>
  </si>
  <si>
    <t>Ipopt</t>
  </si>
  <si>
    <t>3.12.13</t>
  </si>
  <si>
    <t>cart-pendulum-time</t>
  </si>
  <si>
    <t>cart-pendulum-utot</t>
  </si>
  <si>
    <t>five-link-mc-kelly</t>
  </si>
  <si>
    <t>five-link-phc-kelly</t>
  </si>
  <si>
    <t>five-link-tropic</t>
  </si>
  <si>
    <t>grasp</t>
  </si>
  <si>
    <t>Gurobi</t>
  </si>
  <si>
    <t>12.0.3</t>
  </si>
  <si>
    <t>moving-block</t>
  </si>
  <si>
    <t>spot-col3</t>
  </si>
  <si>
    <t>spot-rk1</t>
  </si>
  <si>
    <t>spot-rk4</t>
  </si>
  <si>
    <t>tic</t>
  </si>
  <si>
    <t>toc</t>
  </si>
  <si>
    <t>avg. tic-toc</t>
  </si>
  <si>
    <t>min tic-toc</t>
  </si>
  <si>
    <t>max tic-toc</t>
  </si>
  <si>
    <t>Demo</t>
  </si>
  <si>
    <t>Library</t>
  </si>
  <si>
    <t>Solver</t>
  </si>
  <si>
    <t>ODE</t>
  </si>
  <si>
    <t>Objective</t>
  </si>
  <si>
    <t>Wall Time</t>
  </si>
  <si>
    <t>Wall Time Min</t>
  </si>
  <si>
    <t>Wall Time Max</t>
  </si>
  <si>
    <t>Wall Time Std. Dev</t>
  </si>
  <si>
    <t>Iterations</t>
  </si>
  <si>
    <t>Variables</t>
  </si>
  <si>
    <t>Eq. Constr.</t>
  </si>
  <si>
    <t>Ineq. Constr.</t>
  </si>
  <si>
    <t>cart-pole (force)</t>
  </si>
  <si>
    <t>cart-pole (time)</t>
  </si>
  <si>
    <t>moving block</t>
  </si>
  <si>
    <t>five-link biped</t>
  </si>
  <si>
    <t>Amplify</t>
  </si>
  <si>
    <t>TRAP</t>
  </si>
  <si>
    <t>HS</t>
  </si>
  <si>
    <t>five-link biped (phc)</t>
  </si>
  <si>
    <t>Order</t>
  </si>
  <si>
    <t>Presolve Variables</t>
  </si>
  <si>
    <t>Presolve Constraints</t>
  </si>
  <si>
    <t>planar 7-DOF biped</t>
  </si>
  <si>
    <t>Eval. Time</t>
  </si>
  <si>
    <t>Eval. Time Min</t>
  </si>
  <si>
    <t>Eval. Time Max</t>
  </si>
  <si>
    <t>eval. Time</t>
  </si>
  <si>
    <t>eval. Time min</t>
  </si>
  <si>
    <t>eval. Time max</t>
  </si>
  <si>
    <t>Eval. Time Std. Dev.</t>
  </si>
  <si>
    <t>avg. eval time</t>
  </si>
  <si>
    <t>N/A</t>
  </si>
  <si>
    <t>RK4</t>
  </si>
  <si>
    <t>RK1</t>
  </si>
  <si>
    <t>COL3</t>
  </si>
  <si>
    <t>spot</t>
  </si>
  <si>
    <t>Note</t>
  </si>
  <si>
    <t>Converged?</t>
  </si>
  <si>
    <t>Yes</t>
  </si>
  <si>
    <t>kinematic car</t>
  </si>
  <si>
    <t>Initial Variables</t>
  </si>
  <si>
    <t>Initial Constraints</t>
  </si>
  <si>
    <t>Variables Relative Reduction</t>
  </si>
  <si>
    <t>Constraints Relative Reduction</t>
  </si>
  <si>
    <t>Elapsed Time</t>
  </si>
  <si>
    <t>Elapsed Time Min</t>
  </si>
  <si>
    <t>Elapsed Time Max</t>
  </si>
  <si>
    <t>Elapsed Time Std. Dev.</t>
  </si>
  <si>
    <t>grasp-cbc</t>
  </si>
  <si>
    <t/>
  </si>
  <si>
    <t>grasp-conopt</t>
  </si>
  <si>
    <t>grasp-gurobi</t>
  </si>
  <si>
    <t>grasp-highs</t>
  </si>
  <si>
    <t>grasp-knitro</t>
  </si>
  <si>
    <t>grasp-raposa</t>
  </si>
  <si>
    <t>grasp-scip</t>
  </si>
  <si>
    <t>kinematic-car-conopt</t>
  </si>
  <si>
    <t>kinematic-car-filter</t>
  </si>
  <si>
    <t>kinematic-car-gurobi</t>
  </si>
  <si>
    <t>kinematic-car-ipopt</t>
  </si>
  <si>
    <t>kinematic-car-knitro</t>
  </si>
  <si>
    <t>kinematic-car-lancelot</t>
  </si>
  <si>
    <t>kinematic-car-snopt</t>
  </si>
  <si>
    <t>HiGHS</t>
  </si>
  <si>
    <t>1.11.0</t>
  </si>
  <si>
    <t>Knitro</t>
  </si>
  <si>
    <t>14.2.0</t>
  </si>
  <si>
    <t>RAPOSa</t>
  </si>
  <si>
    <t>v4.4.1</t>
  </si>
  <si>
    <t>SCIP</t>
  </si>
  <si>
    <t>9.2.2</t>
  </si>
  <si>
    <t>Ipopt defaults with equality constraints</t>
  </si>
  <si>
    <t>exit_code</t>
  </si>
  <si>
    <t>solved</t>
  </si>
  <si>
    <t>cbc</t>
  </si>
  <si>
    <t>2.10.12</t>
  </si>
  <si>
    <t>failure</t>
  </si>
  <si>
    <t>solved?</t>
  </si>
  <si>
    <t>infeasible</t>
  </si>
  <si>
    <t>kinematic-car-loqo</t>
  </si>
  <si>
    <t>kinematic-car-minos</t>
  </si>
  <si>
    <t>Local/NEOS Wall Time</t>
  </si>
  <si>
    <t>NEOS Round Trip</t>
  </si>
  <si>
    <t>AMPL Time</t>
  </si>
  <si>
    <t>Solve Time</t>
  </si>
  <si>
    <t>Time Ratio</t>
  </si>
  <si>
    <t>avg. wall time</t>
  </si>
  <si>
    <t>min wall  time</t>
  </si>
  <si>
    <t>max wall time</t>
  </si>
  <si>
    <t>Row</t>
  </si>
  <si>
    <t>RK Method</t>
  </si>
  <si>
    <t>Iterates</t>
  </si>
  <si>
    <t># Vars.</t>
  </si>
  <si>
    <t># Eq. Cons.</t>
  </si>
  <si>
    <t># of Ineq. Constr.</t>
  </si>
  <si>
    <t>Wall Time (s)</t>
  </si>
  <si>
    <t>Five-Link Biped (7 DOF)</t>
  </si>
  <si>
    <t>Five-Link Biped (5 DOF)</t>
  </si>
  <si>
    <t>Moving Block</t>
  </si>
  <si>
    <t>Cart-Pole (time)</t>
  </si>
  <si>
    <t>Cart-Pole (force)</t>
  </si>
  <si>
    <t>Acrobot</t>
  </si>
  <si>
    <t>Model</t>
  </si>
  <si>
    <t>Kinematic Car</t>
  </si>
  <si>
    <t>Converged</t>
  </si>
  <si>
    <t>Grasp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</si>
</sst>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6"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96F969-4343-4065-9B90-B3CCDFAA8AD8}" autoFormatId="16" applyNumberFormats="0" applyBorderFormats="0" applyFontFormats="0" applyPatternFormats="0" applyAlignmentFormats="0" applyWidthHeightFormats="0">
  <queryTableRefresh nextId="49">
    <queryTableFields count="36">
      <queryTableField id="1" name="model" tableColumnId="1"/>
      <queryTableField id="2" name="run" tableColumnId="2"/>
      <queryTableField id="3" name="solver" tableColumnId="3"/>
      <queryTableField id="4" name="version" tableColumnId="4"/>
      <queryTableField id="5" name="exit_status" tableColumnId="5"/>
      <queryTableField id="44" name="exit_code" tableColumnId="19"/>
      <queryTableField id="6" name="obj1" tableColumnId="6"/>
      <queryTableField id="7" name="obj2" tableColumnId="7"/>
      <queryTableField id="8" name="iterations" tableColumnId="8"/>
      <queryTableField id="9" name="obj_eval" tableColumnId="9"/>
      <queryTableField id="10" name="grad_eval" tableColumnId="10"/>
      <queryTableField id="11" name="eq_eval" tableColumnId="11"/>
      <queryTableField id="12" name="ineq_eval" tableColumnId="12"/>
      <queryTableField id="13" name="eq_jac" tableColumnId="13"/>
      <queryTableField id="14" name="ineq_jac" tableColumnId="14"/>
      <queryTableField id="15" name="hess_eval" tableColumnId="15"/>
      <queryTableField id="16" name="constraint_violation_unscaled" tableColumnId="16"/>
      <queryTableField id="17" name="cpu_ipopt" tableColumnId="17"/>
      <queryTableField id="18" name="cpu_nlp" tableColumnId="18"/>
      <queryTableField id="39" name="total_vars" tableColumnId="39"/>
      <queryTableField id="40" name="total_eq" tableColumnId="40"/>
      <queryTableField id="41" name="total_ineq" tableColumnId="41"/>
      <queryTableField id="27" name="ampl_elapsed_time" tableColumnId="27"/>
      <queryTableField id="28" name="ampl_system_time" tableColumnId="28"/>
      <queryTableField id="29" name="ampl_user_time" tableColumnId="29"/>
      <queryTableField id="30" name="ampl_time" tableColumnId="30"/>
      <queryTableField id="31" name="solve_elapsed_time" tableColumnId="31"/>
      <queryTableField id="32" name="solve_system_time" tableColumnId="32"/>
      <queryTableField id="33" name="solve_user_time" tableColumnId="33"/>
      <queryTableField id="34" name="solve_time" tableColumnId="34"/>
      <queryTableField id="35" name="nvars" tableColumnId="35"/>
      <queryTableField id="36" name="snvars" tableColumnId="36"/>
      <queryTableField id="37" name="ncons" tableColumnId="37"/>
      <queryTableField id="38" name="sncons" tableColumnId="38"/>
      <queryTableField id="42" name="tic" tableColumnId="42"/>
      <queryTableField id="43" name="toc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590BF-6DA1-49A6-99FF-C9094F695ED5}" name="benchmark" displayName="benchmark" ref="A1:AJ261" tableType="queryTable" totalsRowShown="0">
  <autoFilter ref="A1:AJ261" xr:uid="{612590BF-6DA1-49A6-99FF-C9094F695ED5}"/>
  <tableColumns count="36">
    <tableColumn id="1" xr3:uid="{76BF0FF0-AB6F-4DEF-AFEE-F1E896F09E5B}" uniqueName="1" name="model" queryTableFieldId="1" dataDxfId="5"/>
    <tableColumn id="2" xr3:uid="{9D02C4BD-8F49-4CCB-8814-7A6DF6FE2238}" uniqueName="2" name="run" queryTableFieldId="2"/>
    <tableColumn id="3" xr3:uid="{BF795AA5-6283-4AE0-828B-3302FD52ABDF}" uniqueName="3" name="solver" queryTableFieldId="3" dataDxfId="4"/>
    <tableColumn id="4" xr3:uid="{E1D07B81-037C-4650-B030-4DB2A9E40A43}" uniqueName="4" name="version" queryTableFieldId="4" dataDxfId="3"/>
    <tableColumn id="5" xr3:uid="{ABFBA310-F709-41FE-8B09-399C7CA57612}" uniqueName="5" name="exit_status" queryTableFieldId="5" dataDxfId="2"/>
    <tableColumn id="19" xr3:uid="{99A78DA8-CDF2-4191-9EDC-2E425BB13474}" uniqueName="19" name="exit_code" queryTableFieldId="44"/>
    <tableColumn id="6" xr3:uid="{7E77B67F-FDA6-4449-BB22-A25C661524A9}" uniqueName="6" name="obj1" queryTableFieldId="6"/>
    <tableColumn id="7" xr3:uid="{3E8CBE00-A2D9-4F6F-8CC7-4CB742063F0E}" uniqueName="7" name="obj2" queryTableFieldId="7"/>
    <tableColumn id="8" xr3:uid="{D228102C-129F-4B11-ACBE-CFCC122E23B3}" uniqueName="8" name="iterations" queryTableFieldId="8"/>
    <tableColumn id="9" xr3:uid="{F2667A40-BBF6-48A5-9CAD-FB7207326BF6}" uniqueName="9" name="obj_eval" queryTableFieldId="9"/>
    <tableColumn id="10" xr3:uid="{CAC08F0C-6363-408A-A058-019B43EE3D3C}" uniqueName="10" name="grad_eval" queryTableFieldId="10"/>
    <tableColumn id="11" xr3:uid="{71B1FD91-0CEE-4B85-A505-AA3260FA93B3}" uniqueName="11" name="eq_eval" queryTableFieldId="11"/>
    <tableColumn id="12" xr3:uid="{0177B2AC-52BE-4803-A956-E80E7E501F69}" uniqueName="12" name="ineq_eval" queryTableFieldId="12"/>
    <tableColumn id="13" xr3:uid="{400B3EEA-6B08-4E99-A649-BB997888DD1B}" uniqueName="13" name="eq_jac" queryTableFieldId="13"/>
    <tableColumn id="14" xr3:uid="{E3DF8FA3-893F-4DE1-940F-52B1075B0EEE}" uniqueName="14" name="ineq_jac" queryTableFieldId="14"/>
    <tableColumn id="15" xr3:uid="{2E89BA0A-B3E6-42FD-AC37-E5B5D78881DF}" uniqueName="15" name="hess_eval" queryTableFieldId="15"/>
    <tableColumn id="16" xr3:uid="{BBF00404-464D-411D-A6E4-40D3E28366DA}" uniqueName="16" name="constraint_violation_unscaled" queryTableFieldId="16"/>
    <tableColumn id="17" xr3:uid="{167B2B25-618C-4C84-A080-0026F3F32EC7}" uniqueName="17" name="cpu_ipopt" queryTableFieldId="17"/>
    <tableColumn id="18" xr3:uid="{5EB8C9D9-3BBB-41AC-BD7B-21F89DA9E45C}" uniqueName="18" name="cpu_nlp" queryTableFieldId="18"/>
    <tableColumn id="39" xr3:uid="{39F90DF8-AD32-4B62-AECB-E0C53ACC3939}" uniqueName="39" name="total_vars" queryTableFieldId="39"/>
    <tableColumn id="40" xr3:uid="{643861E4-E626-437B-8D1E-FAC06296BB73}" uniqueName="40" name="total_eq" queryTableFieldId="40"/>
    <tableColumn id="41" xr3:uid="{9199EC9A-5F60-42E0-BB00-BCE437F65F54}" uniqueName="41" name="total_ineq" queryTableFieldId="41"/>
    <tableColumn id="27" xr3:uid="{1161C336-4030-44EC-BBC7-B967AC2DE362}" uniqueName="27" name="ampl_elapsed_time" queryTableFieldId="27"/>
    <tableColumn id="28" xr3:uid="{280AF398-752F-434C-9408-1227A633815B}" uniqueName="28" name="ampl_system_time" queryTableFieldId="28"/>
    <tableColumn id="29" xr3:uid="{71DD7A46-BFB5-4D53-90AF-CAB4FE87FC01}" uniqueName="29" name="ampl_user_time" queryTableFieldId="29"/>
    <tableColumn id="30" xr3:uid="{0945C29A-1463-4890-849F-928785719F08}" uniqueName="30" name="ampl_time" queryTableFieldId="30"/>
    <tableColumn id="31" xr3:uid="{2567516F-7F71-43FB-9CA9-2EB9D5089663}" uniqueName="31" name="solve_elapsed_time" queryTableFieldId="31"/>
    <tableColumn id="32" xr3:uid="{D63B9FE6-42A8-48A7-A805-65799BC5E729}" uniqueName="32" name="solve_system_time" queryTableFieldId="32"/>
    <tableColumn id="33" xr3:uid="{BC7957DE-A7D1-48F3-8EA3-7FAA3CFF7209}" uniqueName="33" name="solve_user_time" queryTableFieldId="33"/>
    <tableColumn id="34" xr3:uid="{4BDEE32C-22BF-4524-8FC4-DEA2D6C1E226}" uniqueName="34" name="solve_time" queryTableFieldId="34"/>
    <tableColumn id="35" xr3:uid="{BCB0B6F8-3FF7-4013-BA96-238698B44A3F}" uniqueName="35" name="nvars" queryTableFieldId="35"/>
    <tableColumn id="36" xr3:uid="{C74FCBA2-7C2F-47D8-8513-F2913A6564A1}" uniqueName="36" name="snvars" queryTableFieldId="36"/>
    <tableColumn id="37" xr3:uid="{CC2E05BE-7CB0-4CBB-B90F-C793D6A7F2F1}" uniqueName="37" name="ncons" queryTableFieldId="37"/>
    <tableColumn id="38" xr3:uid="{55FD37E7-FE8E-4FE5-8867-58262DADAD64}" uniqueName="38" name="sncons" queryTableFieldId="38"/>
    <tableColumn id="42" xr3:uid="{CDE44A78-C8B9-4391-B38E-A86E1FF8E9CF}" uniqueName="42" name="tic" queryTableFieldId="42" dataDxfId="1"/>
    <tableColumn id="43" xr3:uid="{07093C03-7F49-4A2A-B338-D6007E2AA034}" uniqueName="43" name="toc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1DB6-BD6C-4977-A7AE-24B97E24B146}">
  <dimension ref="A1:AJ261"/>
  <sheetViews>
    <sheetView topLeftCell="A10" workbookViewId="0">
      <selection activeCell="G33" sqref="G33"/>
    </sheetView>
  </sheetViews>
  <sheetFormatPr defaultRowHeight="15" x14ac:dyDescent="0.25"/>
  <cols>
    <col min="1" max="1" width="21.5703125" bestFit="1" customWidth="1"/>
    <col min="2" max="2" width="6.28515625" bestFit="1" customWidth="1"/>
    <col min="3" max="3" width="8.85546875" bestFit="1" customWidth="1"/>
    <col min="4" max="4" width="10" bestFit="1" customWidth="1"/>
    <col min="5" max="5" width="13.140625" bestFit="1" customWidth="1"/>
    <col min="6" max="9" width="12" bestFit="1" customWidth="1"/>
    <col min="10" max="10" width="10.7109375" bestFit="1" customWidth="1"/>
    <col min="11" max="11" width="11.7109375" bestFit="1" customWidth="1"/>
    <col min="12" max="12" width="10.140625" bestFit="1" customWidth="1"/>
    <col min="13" max="13" width="11.85546875" bestFit="1" customWidth="1"/>
    <col min="14" max="14" width="9" bestFit="1" customWidth="1"/>
    <col min="15" max="15" width="10.7109375" bestFit="1" customWidth="1"/>
    <col min="16" max="16" width="12.140625" bestFit="1" customWidth="1"/>
    <col min="17" max="17" width="30.7109375" bestFit="1" customWidth="1"/>
    <col min="18" max="18" width="12.140625" bestFit="1" customWidth="1"/>
    <col min="19" max="19" width="10.28515625" bestFit="1" customWidth="1"/>
    <col min="20" max="20" width="12" bestFit="1" customWidth="1"/>
    <col min="21" max="21" width="10.5703125" bestFit="1" customWidth="1"/>
    <col min="22" max="22" width="12.28515625" bestFit="1" customWidth="1"/>
    <col min="23" max="23" width="21" bestFit="1" customWidth="1"/>
    <col min="24" max="24" width="20.42578125" bestFit="1" customWidth="1"/>
    <col min="25" max="25" width="17.7109375" bestFit="1" customWidth="1"/>
    <col min="26" max="26" width="12.7109375" bestFit="1" customWidth="1"/>
    <col min="27" max="27" width="21.42578125" bestFit="1" customWidth="1"/>
    <col min="28" max="28" width="20.85546875" bestFit="1" customWidth="1"/>
    <col min="29" max="29" width="18.140625" bestFit="1" customWidth="1"/>
    <col min="30" max="30" width="13.140625" bestFit="1" customWidth="1"/>
    <col min="31" max="31" width="8.140625" bestFit="1" customWidth="1"/>
    <col min="32" max="32" width="9.140625" bestFit="1" customWidth="1"/>
    <col min="33" max="33" width="8.7109375" bestFit="1" customWidth="1"/>
    <col min="34" max="34" width="9.7109375" bestFit="1" customWidth="1"/>
    <col min="35" max="36" width="11.28515625" bestFit="1" customWidth="1"/>
    <col min="38" max="38" width="8.7109375" bestFit="1" customWidth="1"/>
    <col min="39" max="39" width="9.7109375" bestFit="1" customWidth="1"/>
    <col min="40" max="40" width="12" bestFit="1" customWidth="1"/>
    <col min="41" max="41" width="10.5703125" bestFit="1" customWidth="1"/>
    <col min="42" max="42" width="12.28515625" bestFit="1" customWidth="1"/>
    <col min="43" max="44" width="10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30</v>
      </c>
      <c r="U1" t="s">
        <v>31</v>
      </c>
      <c r="V1" t="s">
        <v>32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48</v>
      </c>
      <c r="AJ1" t="s">
        <v>49</v>
      </c>
    </row>
    <row r="2" spans="1:36" x14ac:dyDescent="0.25">
      <c r="A2" t="s">
        <v>33</v>
      </c>
      <c r="B2">
        <v>1</v>
      </c>
      <c r="C2" t="s">
        <v>34</v>
      </c>
      <c r="D2" t="s">
        <v>35</v>
      </c>
      <c r="E2" t="s">
        <v>128</v>
      </c>
      <c r="F2">
        <v>0</v>
      </c>
      <c r="G2">
        <v>69.87764162063803</v>
      </c>
      <c r="I2">
        <v>14</v>
      </c>
      <c r="J2">
        <v>26</v>
      </c>
      <c r="K2">
        <v>15</v>
      </c>
      <c r="L2">
        <v>26</v>
      </c>
      <c r="M2">
        <v>26</v>
      </c>
      <c r="N2">
        <v>15</v>
      </c>
      <c r="O2">
        <v>15</v>
      </c>
      <c r="P2">
        <v>14</v>
      </c>
      <c r="Q2">
        <v>2.8421709430404007E-14</v>
      </c>
      <c r="R2">
        <v>0.01</v>
      </c>
      <c r="S2">
        <v>2E-3</v>
      </c>
      <c r="T2">
        <v>132</v>
      </c>
      <c r="U2">
        <v>116</v>
      </c>
      <c r="V2">
        <v>18</v>
      </c>
      <c r="W2">
        <v>0.17299999999999999</v>
      </c>
      <c r="X2">
        <v>3.125E-2</v>
      </c>
      <c r="Y2">
        <v>0</v>
      </c>
      <c r="Z2">
        <v>3.125E-2</v>
      </c>
      <c r="AA2">
        <v>4.5999999999999999E-2</v>
      </c>
      <c r="AB2">
        <v>1.5625E-2</v>
      </c>
      <c r="AC2">
        <v>1.5625E-2</v>
      </c>
      <c r="AD2">
        <v>3.125E-2</v>
      </c>
      <c r="AE2">
        <v>8779</v>
      </c>
      <c r="AF2">
        <v>132</v>
      </c>
      <c r="AG2">
        <v>8824</v>
      </c>
      <c r="AH2">
        <v>134</v>
      </c>
      <c r="AI2" s="1">
        <v>9.7078703703703702E-3</v>
      </c>
      <c r="AJ2" s="1">
        <v>9.7116898148148154E-3</v>
      </c>
    </row>
    <row r="3" spans="1:36" x14ac:dyDescent="0.25">
      <c r="A3" t="s">
        <v>33</v>
      </c>
      <c r="B3">
        <v>2</v>
      </c>
      <c r="C3" t="s">
        <v>34</v>
      </c>
      <c r="D3" t="s">
        <v>35</v>
      </c>
      <c r="E3" t="s">
        <v>128</v>
      </c>
      <c r="F3">
        <v>0</v>
      </c>
      <c r="G3">
        <v>69.87764162063803</v>
      </c>
      <c r="I3">
        <v>14</v>
      </c>
      <c r="J3">
        <v>26</v>
      </c>
      <c r="K3">
        <v>15</v>
      </c>
      <c r="L3">
        <v>26</v>
      </c>
      <c r="M3">
        <v>26</v>
      </c>
      <c r="N3">
        <v>15</v>
      </c>
      <c r="O3">
        <v>15</v>
      </c>
      <c r="P3">
        <v>14</v>
      </c>
      <c r="Q3">
        <v>2.8421709430404007E-14</v>
      </c>
      <c r="R3">
        <v>1.6E-2</v>
      </c>
      <c r="S3">
        <v>0</v>
      </c>
      <c r="T3">
        <v>132</v>
      </c>
      <c r="U3">
        <v>116</v>
      </c>
      <c r="V3">
        <v>18</v>
      </c>
      <c r="W3">
        <v>0.187</v>
      </c>
      <c r="X3">
        <v>1.5625E-2</v>
      </c>
      <c r="Y3">
        <v>1.5625E-2</v>
      </c>
      <c r="Z3">
        <v>3.125E-2</v>
      </c>
      <c r="AA3">
        <v>6.3E-2</v>
      </c>
      <c r="AB3">
        <v>1.5625E-2</v>
      </c>
      <c r="AC3">
        <v>0</v>
      </c>
      <c r="AD3">
        <v>1.5625E-2</v>
      </c>
      <c r="AE3">
        <v>8779</v>
      </c>
      <c r="AF3">
        <v>132</v>
      </c>
      <c r="AG3">
        <v>8824</v>
      </c>
      <c r="AH3">
        <v>134</v>
      </c>
      <c r="AI3" s="1">
        <v>9.713657407407407E-3</v>
      </c>
      <c r="AJ3" s="1">
        <v>9.7184027777777772E-3</v>
      </c>
    </row>
    <row r="4" spans="1:36" x14ac:dyDescent="0.25">
      <c r="A4" t="s">
        <v>33</v>
      </c>
      <c r="B4">
        <v>3</v>
      </c>
      <c r="C4" t="s">
        <v>34</v>
      </c>
      <c r="D4" t="s">
        <v>35</v>
      </c>
      <c r="E4" t="s">
        <v>128</v>
      </c>
      <c r="F4">
        <v>0</v>
      </c>
      <c r="G4">
        <v>69.87764162063803</v>
      </c>
      <c r="I4">
        <v>14</v>
      </c>
      <c r="J4">
        <v>26</v>
      </c>
      <c r="K4">
        <v>15</v>
      </c>
      <c r="L4">
        <v>26</v>
      </c>
      <c r="M4">
        <v>26</v>
      </c>
      <c r="N4">
        <v>15</v>
      </c>
      <c r="O4">
        <v>15</v>
      </c>
      <c r="P4">
        <v>14</v>
      </c>
      <c r="Q4">
        <v>2.8421709430404007E-14</v>
      </c>
      <c r="R4">
        <v>0.01</v>
      </c>
      <c r="S4">
        <v>4.0000000000000001E-3</v>
      </c>
      <c r="T4">
        <v>132</v>
      </c>
      <c r="U4">
        <v>116</v>
      </c>
      <c r="V4">
        <v>18</v>
      </c>
      <c r="W4">
        <v>0.23400000000000001</v>
      </c>
      <c r="X4">
        <v>0</v>
      </c>
      <c r="Y4">
        <v>3.125E-2</v>
      </c>
      <c r="Z4">
        <v>3.125E-2</v>
      </c>
      <c r="AA4">
        <v>3.2000000000000001E-2</v>
      </c>
      <c r="AB4">
        <v>1.5625E-2</v>
      </c>
      <c r="AC4">
        <v>0</v>
      </c>
      <c r="AD4">
        <v>1.5625E-2</v>
      </c>
      <c r="AE4">
        <v>8779</v>
      </c>
      <c r="AF4">
        <v>132</v>
      </c>
      <c r="AG4">
        <v>8824</v>
      </c>
      <c r="AH4">
        <v>134</v>
      </c>
      <c r="AI4" s="1">
        <v>9.720254629629629E-3</v>
      </c>
      <c r="AJ4" s="1">
        <v>9.7245370370370367E-3</v>
      </c>
    </row>
    <row r="5" spans="1:36" x14ac:dyDescent="0.25">
      <c r="A5" t="s">
        <v>33</v>
      </c>
      <c r="B5">
        <v>4</v>
      </c>
      <c r="C5" t="s">
        <v>34</v>
      </c>
      <c r="D5" t="s">
        <v>35</v>
      </c>
      <c r="E5" t="s">
        <v>128</v>
      </c>
      <c r="F5">
        <v>0</v>
      </c>
      <c r="G5">
        <v>69.87764162063803</v>
      </c>
      <c r="I5">
        <v>14</v>
      </c>
      <c r="J5">
        <v>26</v>
      </c>
      <c r="K5">
        <v>15</v>
      </c>
      <c r="L5">
        <v>26</v>
      </c>
      <c r="M5">
        <v>26</v>
      </c>
      <c r="N5">
        <v>15</v>
      </c>
      <c r="O5">
        <v>15</v>
      </c>
      <c r="P5">
        <v>14</v>
      </c>
      <c r="Q5">
        <v>2.8421709430404007E-14</v>
      </c>
      <c r="R5">
        <v>1.2999999999999999E-2</v>
      </c>
      <c r="S5">
        <v>2E-3</v>
      </c>
      <c r="T5">
        <v>132</v>
      </c>
      <c r="U5">
        <v>116</v>
      </c>
      <c r="V5">
        <v>18</v>
      </c>
      <c r="W5">
        <v>0.17200000000000001</v>
      </c>
      <c r="X5">
        <v>3.125E-2</v>
      </c>
      <c r="Y5">
        <v>3.125E-2</v>
      </c>
      <c r="Z5">
        <v>6.25E-2</v>
      </c>
      <c r="AA5">
        <v>3.1E-2</v>
      </c>
      <c r="AB5">
        <v>0</v>
      </c>
      <c r="AC5">
        <v>1.5625E-2</v>
      </c>
      <c r="AD5">
        <v>1.5625E-2</v>
      </c>
      <c r="AE5">
        <v>8779</v>
      </c>
      <c r="AF5">
        <v>132</v>
      </c>
      <c r="AG5">
        <v>8824</v>
      </c>
      <c r="AH5">
        <v>134</v>
      </c>
      <c r="AI5" s="1">
        <v>9.7263888888888886E-3</v>
      </c>
      <c r="AJ5" s="1">
        <v>9.7302083333333338E-3</v>
      </c>
    </row>
    <row r="6" spans="1:36" x14ac:dyDescent="0.25">
      <c r="A6" t="s">
        <v>33</v>
      </c>
      <c r="B6">
        <v>5</v>
      </c>
      <c r="C6" t="s">
        <v>34</v>
      </c>
      <c r="D6" t="s">
        <v>35</v>
      </c>
      <c r="E6" t="s">
        <v>128</v>
      </c>
      <c r="F6">
        <v>0</v>
      </c>
      <c r="G6">
        <v>69.87764162063803</v>
      </c>
      <c r="I6">
        <v>14</v>
      </c>
      <c r="J6">
        <v>26</v>
      </c>
      <c r="K6">
        <v>15</v>
      </c>
      <c r="L6">
        <v>26</v>
      </c>
      <c r="M6">
        <v>26</v>
      </c>
      <c r="N6">
        <v>15</v>
      </c>
      <c r="O6">
        <v>15</v>
      </c>
      <c r="P6">
        <v>14</v>
      </c>
      <c r="Q6">
        <v>2.8421709430404007E-14</v>
      </c>
      <c r="R6">
        <v>1.2E-2</v>
      </c>
      <c r="S6">
        <v>3.0000000000000001E-3</v>
      </c>
      <c r="T6">
        <v>132</v>
      </c>
      <c r="U6">
        <v>116</v>
      </c>
      <c r="V6">
        <v>18</v>
      </c>
      <c r="W6">
        <v>0.20200000000000001</v>
      </c>
      <c r="X6">
        <v>3.125E-2</v>
      </c>
      <c r="Y6">
        <v>0</v>
      </c>
      <c r="Z6">
        <v>3.125E-2</v>
      </c>
      <c r="AA6">
        <v>3.2000000000000001E-2</v>
      </c>
      <c r="AB6">
        <v>1.5625E-2</v>
      </c>
      <c r="AC6">
        <v>0</v>
      </c>
      <c r="AD6">
        <v>1.5625E-2</v>
      </c>
      <c r="AE6">
        <v>8779</v>
      </c>
      <c r="AF6">
        <v>132</v>
      </c>
      <c r="AG6">
        <v>8824</v>
      </c>
      <c r="AH6">
        <v>134</v>
      </c>
      <c r="AI6" s="1">
        <v>9.7319444444444441E-3</v>
      </c>
      <c r="AJ6" s="1">
        <v>9.7357638888888893E-3</v>
      </c>
    </row>
    <row r="7" spans="1:36" x14ac:dyDescent="0.25">
      <c r="A7" t="s">
        <v>33</v>
      </c>
      <c r="B7">
        <v>6</v>
      </c>
      <c r="C7" t="s">
        <v>34</v>
      </c>
      <c r="D7" t="s">
        <v>35</v>
      </c>
      <c r="E7" t="s">
        <v>128</v>
      </c>
      <c r="F7">
        <v>0</v>
      </c>
      <c r="G7">
        <v>69.87764162063803</v>
      </c>
      <c r="I7">
        <v>14</v>
      </c>
      <c r="J7">
        <v>26</v>
      </c>
      <c r="K7">
        <v>15</v>
      </c>
      <c r="L7">
        <v>26</v>
      </c>
      <c r="M7">
        <v>26</v>
      </c>
      <c r="N7">
        <v>15</v>
      </c>
      <c r="O7">
        <v>15</v>
      </c>
      <c r="P7">
        <v>14</v>
      </c>
      <c r="Q7">
        <v>2.8421709430404007E-14</v>
      </c>
      <c r="R7">
        <v>1.0999999999999999E-2</v>
      </c>
      <c r="S7">
        <v>2E-3</v>
      </c>
      <c r="T7">
        <v>132</v>
      </c>
      <c r="U7">
        <v>116</v>
      </c>
      <c r="V7">
        <v>18</v>
      </c>
      <c r="W7">
        <v>0.187</v>
      </c>
      <c r="X7">
        <v>3.125E-2</v>
      </c>
      <c r="Y7">
        <v>3.125E-2</v>
      </c>
      <c r="Z7">
        <v>6.25E-2</v>
      </c>
      <c r="AA7">
        <v>3.1E-2</v>
      </c>
      <c r="AB7">
        <v>0</v>
      </c>
      <c r="AC7">
        <v>1.5625E-2</v>
      </c>
      <c r="AD7">
        <v>1.5625E-2</v>
      </c>
      <c r="AE7">
        <v>8779</v>
      </c>
      <c r="AF7">
        <v>132</v>
      </c>
      <c r="AG7">
        <v>8824</v>
      </c>
      <c r="AH7">
        <v>134</v>
      </c>
      <c r="AI7" s="1">
        <v>9.7379629629629622E-3</v>
      </c>
      <c r="AJ7" s="1">
        <v>9.7416666666666658E-3</v>
      </c>
    </row>
    <row r="8" spans="1:36" x14ac:dyDescent="0.25">
      <c r="A8" t="s">
        <v>33</v>
      </c>
      <c r="B8">
        <v>7</v>
      </c>
      <c r="C8" t="s">
        <v>34</v>
      </c>
      <c r="D8" t="s">
        <v>35</v>
      </c>
      <c r="E8" t="s">
        <v>128</v>
      </c>
      <c r="F8">
        <v>0</v>
      </c>
      <c r="G8">
        <v>69.87764162063803</v>
      </c>
      <c r="I8">
        <v>14</v>
      </c>
      <c r="J8">
        <v>26</v>
      </c>
      <c r="K8">
        <v>15</v>
      </c>
      <c r="L8">
        <v>26</v>
      </c>
      <c r="M8">
        <v>26</v>
      </c>
      <c r="N8">
        <v>15</v>
      </c>
      <c r="O8">
        <v>15</v>
      </c>
      <c r="P8">
        <v>14</v>
      </c>
      <c r="Q8">
        <v>2.8421709430404007E-14</v>
      </c>
      <c r="R8">
        <v>0.02</v>
      </c>
      <c r="S8">
        <v>1E-3</v>
      </c>
      <c r="T8">
        <v>132</v>
      </c>
      <c r="U8">
        <v>116</v>
      </c>
      <c r="V8">
        <v>18</v>
      </c>
      <c r="W8">
        <v>0.23499999999999999</v>
      </c>
      <c r="X8">
        <v>1.5625E-2</v>
      </c>
      <c r="Y8">
        <v>3.125E-2</v>
      </c>
      <c r="Z8">
        <v>4.6875E-2</v>
      </c>
      <c r="AA8">
        <v>6.2E-2</v>
      </c>
      <c r="AB8">
        <v>4.6875E-2</v>
      </c>
      <c r="AC8">
        <v>0</v>
      </c>
      <c r="AD8">
        <v>4.6875E-2</v>
      </c>
      <c r="AE8">
        <v>8779</v>
      </c>
      <c r="AF8">
        <v>132</v>
      </c>
      <c r="AG8">
        <v>8824</v>
      </c>
      <c r="AH8">
        <v>134</v>
      </c>
      <c r="AI8" s="1">
        <v>9.7435185185185177E-3</v>
      </c>
      <c r="AJ8" s="1">
        <v>9.7483796296296294E-3</v>
      </c>
    </row>
    <row r="9" spans="1:36" x14ac:dyDescent="0.25">
      <c r="A9" t="s">
        <v>33</v>
      </c>
      <c r="B9">
        <v>8</v>
      </c>
      <c r="C9" t="s">
        <v>34</v>
      </c>
      <c r="D9" t="s">
        <v>35</v>
      </c>
      <c r="E9" t="s">
        <v>128</v>
      </c>
      <c r="F9">
        <v>0</v>
      </c>
      <c r="G9">
        <v>69.87764162063803</v>
      </c>
      <c r="I9">
        <v>14</v>
      </c>
      <c r="J9">
        <v>26</v>
      </c>
      <c r="K9">
        <v>15</v>
      </c>
      <c r="L9">
        <v>26</v>
      </c>
      <c r="M9">
        <v>26</v>
      </c>
      <c r="N9">
        <v>15</v>
      </c>
      <c r="O9">
        <v>15</v>
      </c>
      <c r="P9">
        <v>14</v>
      </c>
      <c r="Q9">
        <v>2.8421709430404007E-14</v>
      </c>
      <c r="R9">
        <v>8.0000000000000002E-3</v>
      </c>
      <c r="S9">
        <v>6.0000000000000001E-3</v>
      </c>
      <c r="T9">
        <v>132</v>
      </c>
      <c r="U9">
        <v>116</v>
      </c>
      <c r="V9">
        <v>18</v>
      </c>
      <c r="W9">
        <v>0.17299999999999999</v>
      </c>
      <c r="X9">
        <v>0</v>
      </c>
      <c r="Y9">
        <v>3.125E-2</v>
      </c>
      <c r="Z9">
        <v>3.125E-2</v>
      </c>
      <c r="AA9">
        <v>4.5999999999999999E-2</v>
      </c>
      <c r="AB9">
        <v>1.5625E-2</v>
      </c>
      <c r="AC9">
        <v>0</v>
      </c>
      <c r="AD9">
        <v>1.5625E-2</v>
      </c>
      <c r="AE9">
        <v>8779</v>
      </c>
      <c r="AF9">
        <v>132</v>
      </c>
      <c r="AG9">
        <v>8824</v>
      </c>
      <c r="AH9">
        <v>134</v>
      </c>
      <c r="AI9" s="1">
        <v>9.7509259259259268E-3</v>
      </c>
      <c r="AJ9" s="1">
        <v>9.755092592592593E-3</v>
      </c>
    </row>
    <row r="10" spans="1:36" x14ac:dyDescent="0.25">
      <c r="A10" t="s">
        <v>33</v>
      </c>
      <c r="B10">
        <v>9</v>
      </c>
      <c r="C10" t="s">
        <v>34</v>
      </c>
      <c r="D10" t="s">
        <v>35</v>
      </c>
      <c r="E10" t="s">
        <v>128</v>
      </c>
      <c r="F10">
        <v>0</v>
      </c>
      <c r="G10">
        <v>69.87764162063803</v>
      </c>
      <c r="I10">
        <v>14</v>
      </c>
      <c r="J10">
        <v>26</v>
      </c>
      <c r="K10">
        <v>15</v>
      </c>
      <c r="L10">
        <v>26</v>
      </c>
      <c r="M10">
        <v>26</v>
      </c>
      <c r="N10">
        <v>15</v>
      </c>
      <c r="O10">
        <v>15</v>
      </c>
      <c r="P10">
        <v>14</v>
      </c>
      <c r="Q10">
        <v>2.8421709430404007E-14</v>
      </c>
      <c r="R10">
        <v>1.2999999999999999E-2</v>
      </c>
      <c r="S10">
        <v>1E-3</v>
      </c>
      <c r="T10">
        <v>132</v>
      </c>
      <c r="U10">
        <v>116</v>
      </c>
      <c r="V10">
        <v>18</v>
      </c>
      <c r="W10">
        <v>0.17299999999999999</v>
      </c>
      <c r="X10">
        <v>0</v>
      </c>
      <c r="Y10">
        <v>4.6875E-2</v>
      </c>
      <c r="Z10">
        <v>4.6875E-2</v>
      </c>
      <c r="AA10">
        <v>4.5999999999999999E-2</v>
      </c>
      <c r="AB10">
        <v>0</v>
      </c>
      <c r="AC10">
        <v>1.5625E-2</v>
      </c>
      <c r="AD10">
        <v>1.5625E-2</v>
      </c>
      <c r="AE10">
        <v>8779</v>
      </c>
      <c r="AF10">
        <v>132</v>
      </c>
      <c r="AG10">
        <v>8824</v>
      </c>
      <c r="AH10">
        <v>134</v>
      </c>
      <c r="AI10" s="1">
        <v>9.7570601851851846E-3</v>
      </c>
      <c r="AJ10" s="1">
        <v>9.7608796296296298E-3</v>
      </c>
    </row>
    <row r="11" spans="1:36" x14ac:dyDescent="0.25">
      <c r="A11" t="s">
        <v>33</v>
      </c>
      <c r="B11">
        <v>10</v>
      </c>
      <c r="C11" t="s">
        <v>34</v>
      </c>
      <c r="D11" t="s">
        <v>35</v>
      </c>
      <c r="E11" t="s">
        <v>128</v>
      </c>
      <c r="F11">
        <v>0</v>
      </c>
      <c r="G11">
        <v>69.87764162063803</v>
      </c>
      <c r="I11">
        <v>14</v>
      </c>
      <c r="J11">
        <v>26</v>
      </c>
      <c r="K11">
        <v>15</v>
      </c>
      <c r="L11">
        <v>26</v>
      </c>
      <c r="M11">
        <v>26</v>
      </c>
      <c r="N11">
        <v>15</v>
      </c>
      <c r="O11">
        <v>15</v>
      </c>
      <c r="P11">
        <v>14</v>
      </c>
      <c r="Q11">
        <v>2.8421709430404007E-14</v>
      </c>
      <c r="R11">
        <v>1.2E-2</v>
      </c>
      <c r="S11">
        <v>2E-3</v>
      </c>
      <c r="T11">
        <v>132</v>
      </c>
      <c r="U11">
        <v>116</v>
      </c>
      <c r="V11">
        <v>18</v>
      </c>
      <c r="W11">
        <v>0.17100000000000001</v>
      </c>
      <c r="X11">
        <v>0</v>
      </c>
      <c r="Y11">
        <v>7.8125E-2</v>
      </c>
      <c r="Z11">
        <v>7.8125E-2</v>
      </c>
      <c r="AA11">
        <v>3.2000000000000001E-2</v>
      </c>
      <c r="AB11">
        <v>0</v>
      </c>
      <c r="AC11">
        <v>1.5625E-2</v>
      </c>
      <c r="AD11">
        <v>1.5625E-2</v>
      </c>
      <c r="AE11">
        <v>8779</v>
      </c>
      <c r="AF11">
        <v>132</v>
      </c>
      <c r="AG11">
        <v>8824</v>
      </c>
      <c r="AH11">
        <v>134</v>
      </c>
      <c r="AI11" s="1">
        <v>9.7622685185185191E-3</v>
      </c>
      <c r="AJ11" s="1">
        <v>9.7660879629629625E-3</v>
      </c>
    </row>
    <row r="12" spans="1:36" x14ac:dyDescent="0.25">
      <c r="A12" t="s">
        <v>36</v>
      </c>
      <c r="B12">
        <v>1</v>
      </c>
      <c r="C12" t="s">
        <v>34</v>
      </c>
      <c r="D12" t="s">
        <v>35</v>
      </c>
      <c r="E12" t="s">
        <v>128</v>
      </c>
      <c r="F12">
        <v>0</v>
      </c>
      <c r="G12">
        <v>1.1459372561375376</v>
      </c>
      <c r="I12">
        <v>30</v>
      </c>
      <c r="J12">
        <v>50</v>
      </c>
      <c r="K12">
        <v>31</v>
      </c>
      <c r="L12">
        <v>50</v>
      </c>
      <c r="M12">
        <v>0</v>
      </c>
      <c r="N12">
        <v>31</v>
      </c>
      <c r="O12">
        <v>0</v>
      </c>
      <c r="P12">
        <v>30</v>
      </c>
      <c r="Q12">
        <v>6.2101435105432756E-12</v>
      </c>
      <c r="R12">
        <v>1.7000000000000001E-2</v>
      </c>
      <c r="S12">
        <v>0</v>
      </c>
      <c r="T12">
        <v>80</v>
      </c>
      <c r="U12">
        <v>74</v>
      </c>
      <c r="V12">
        <v>0</v>
      </c>
      <c r="W12">
        <v>0.17199999999999999</v>
      </c>
      <c r="X12">
        <v>3.125E-2</v>
      </c>
      <c r="Y12">
        <v>1.5625E-2</v>
      </c>
      <c r="Z12">
        <v>4.6875E-2</v>
      </c>
      <c r="AA12">
        <v>4.7E-2</v>
      </c>
      <c r="AB12">
        <v>1.5625E-2</v>
      </c>
      <c r="AC12">
        <v>0</v>
      </c>
      <c r="AD12">
        <v>1.5625E-2</v>
      </c>
      <c r="AE12">
        <v>4388</v>
      </c>
      <c r="AF12">
        <v>80</v>
      </c>
      <c r="AG12">
        <v>4413</v>
      </c>
      <c r="AH12">
        <v>74</v>
      </c>
      <c r="AI12" s="1">
        <v>9.7679398148148144E-3</v>
      </c>
      <c r="AJ12" s="1">
        <v>9.7717592592592595E-3</v>
      </c>
    </row>
    <row r="13" spans="1:36" x14ac:dyDescent="0.25">
      <c r="A13" t="s">
        <v>36</v>
      </c>
      <c r="B13">
        <v>2</v>
      </c>
      <c r="C13" t="s">
        <v>34</v>
      </c>
      <c r="D13" t="s">
        <v>35</v>
      </c>
      <c r="E13" t="s">
        <v>128</v>
      </c>
      <c r="F13">
        <v>0</v>
      </c>
      <c r="G13">
        <v>1.1459372561375376</v>
      </c>
      <c r="I13">
        <v>30</v>
      </c>
      <c r="J13">
        <v>50</v>
      </c>
      <c r="K13">
        <v>31</v>
      </c>
      <c r="L13">
        <v>50</v>
      </c>
      <c r="M13">
        <v>0</v>
      </c>
      <c r="N13">
        <v>31</v>
      </c>
      <c r="O13">
        <v>0</v>
      </c>
      <c r="P13">
        <v>30</v>
      </c>
      <c r="Q13">
        <v>6.2101435105432756E-12</v>
      </c>
      <c r="R13">
        <v>1.7000000000000001E-2</v>
      </c>
      <c r="S13">
        <v>0</v>
      </c>
      <c r="T13">
        <v>80</v>
      </c>
      <c r="U13">
        <v>74</v>
      </c>
      <c r="V13">
        <v>0</v>
      </c>
      <c r="W13">
        <v>0.17300000000000001</v>
      </c>
      <c r="X13">
        <v>1.5625E-2</v>
      </c>
      <c r="Y13">
        <v>0</v>
      </c>
      <c r="Z13">
        <v>1.5625E-2</v>
      </c>
      <c r="AA13">
        <v>3.1E-2</v>
      </c>
      <c r="AB13">
        <v>1.5625E-2</v>
      </c>
      <c r="AC13">
        <v>3.125E-2</v>
      </c>
      <c r="AD13">
        <v>4.6875E-2</v>
      </c>
      <c r="AE13">
        <v>4388</v>
      </c>
      <c r="AF13">
        <v>80</v>
      </c>
      <c r="AG13">
        <v>4413</v>
      </c>
      <c r="AH13">
        <v>74</v>
      </c>
      <c r="AI13" s="1">
        <v>9.7736111111111114E-3</v>
      </c>
      <c r="AJ13" s="1">
        <v>9.7770833333333338E-3</v>
      </c>
    </row>
    <row r="14" spans="1:36" x14ac:dyDescent="0.25">
      <c r="A14" t="s">
        <v>36</v>
      </c>
      <c r="B14">
        <v>3</v>
      </c>
      <c r="C14" t="s">
        <v>34</v>
      </c>
      <c r="D14" t="s">
        <v>35</v>
      </c>
      <c r="E14" t="s">
        <v>128</v>
      </c>
      <c r="F14">
        <v>0</v>
      </c>
      <c r="G14">
        <v>1.1459372561375376</v>
      </c>
      <c r="I14">
        <v>30</v>
      </c>
      <c r="J14">
        <v>50</v>
      </c>
      <c r="K14">
        <v>31</v>
      </c>
      <c r="L14">
        <v>50</v>
      </c>
      <c r="M14">
        <v>0</v>
      </c>
      <c r="N14">
        <v>31</v>
      </c>
      <c r="O14">
        <v>0</v>
      </c>
      <c r="P14">
        <v>30</v>
      </c>
      <c r="Q14">
        <v>6.2101435105432756E-12</v>
      </c>
      <c r="R14">
        <v>1.9E-2</v>
      </c>
      <c r="S14">
        <v>3.0000000000000001E-3</v>
      </c>
      <c r="T14">
        <v>80</v>
      </c>
      <c r="U14">
        <v>74</v>
      </c>
      <c r="V14">
        <v>0</v>
      </c>
      <c r="W14">
        <v>0.219</v>
      </c>
      <c r="X14">
        <v>1.5625E-2</v>
      </c>
      <c r="Y14">
        <v>0</v>
      </c>
      <c r="Z14">
        <v>1.5625E-2</v>
      </c>
      <c r="AA14">
        <v>3.1E-2</v>
      </c>
      <c r="AB14">
        <v>1.5625E-2</v>
      </c>
      <c r="AC14">
        <v>1.5625E-2</v>
      </c>
      <c r="AD14">
        <v>3.125E-2</v>
      </c>
      <c r="AE14">
        <v>4388</v>
      </c>
      <c r="AF14">
        <v>80</v>
      </c>
      <c r="AG14">
        <v>4413</v>
      </c>
      <c r="AH14">
        <v>74</v>
      </c>
      <c r="AI14" s="1">
        <v>9.7790509259259254E-3</v>
      </c>
      <c r="AJ14" s="1">
        <v>9.7832175925925934E-3</v>
      </c>
    </row>
    <row r="15" spans="1:36" x14ac:dyDescent="0.25">
      <c r="A15" t="s">
        <v>36</v>
      </c>
      <c r="B15">
        <v>4</v>
      </c>
      <c r="C15" t="s">
        <v>34</v>
      </c>
      <c r="D15" t="s">
        <v>35</v>
      </c>
      <c r="E15" t="s">
        <v>128</v>
      </c>
      <c r="F15">
        <v>0</v>
      </c>
      <c r="G15">
        <v>1.1459372561375376</v>
      </c>
      <c r="I15">
        <v>30</v>
      </c>
      <c r="J15">
        <v>50</v>
      </c>
      <c r="K15">
        <v>31</v>
      </c>
      <c r="L15">
        <v>50</v>
      </c>
      <c r="M15">
        <v>0</v>
      </c>
      <c r="N15">
        <v>31</v>
      </c>
      <c r="O15">
        <v>0</v>
      </c>
      <c r="P15">
        <v>30</v>
      </c>
      <c r="Q15">
        <v>6.2101435105432756E-12</v>
      </c>
      <c r="R15">
        <v>1.6E-2</v>
      </c>
      <c r="S15">
        <v>1E-3</v>
      </c>
      <c r="T15">
        <v>80</v>
      </c>
      <c r="U15">
        <v>74</v>
      </c>
      <c r="V15">
        <v>0</v>
      </c>
      <c r="W15">
        <v>0.15600000000000003</v>
      </c>
      <c r="X15">
        <v>0</v>
      </c>
      <c r="Y15">
        <v>1.5625E-2</v>
      </c>
      <c r="Z15">
        <v>1.5625E-2</v>
      </c>
      <c r="AA15">
        <v>4.7E-2</v>
      </c>
      <c r="AB15">
        <v>0</v>
      </c>
      <c r="AC15">
        <v>4.6875E-2</v>
      </c>
      <c r="AD15">
        <v>4.6875E-2</v>
      </c>
      <c r="AE15">
        <v>4388</v>
      </c>
      <c r="AF15">
        <v>80</v>
      </c>
      <c r="AG15">
        <v>4413</v>
      </c>
      <c r="AH15">
        <v>74</v>
      </c>
      <c r="AI15" s="1">
        <v>9.7850694444444452E-3</v>
      </c>
      <c r="AJ15" s="1">
        <v>9.7886574074074074E-3</v>
      </c>
    </row>
    <row r="16" spans="1:36" x14ac:dyDescent="0.25">
      <c r="A16" t="s">
        <v>36</v>
      </c>
      <c r="B16">
        <v>5</v>
      </c>
      <c r="C16" t="s">
        <v>34</v>
      </c>
      <c r="D16" t="s">
        <v>35</v>
      </c>
      <c r="E16" t="s">
        <v>128</v>
      </c>
      <c r="F16">
        <v>0</v>
      </c>
      <c r="G16">
        <v>1.1459372561375376</v>
      </c>
      <c r="I16">
        <v>30</v>
      </c>
      <c r="J16">
        <v>50</v>
      </c>
      <c r="K16">
        <v>31</v>
      </c>
      <c r="L16">
        <v>50</v>
      </c>
      <c r="M16">
        <v>0</v>
      </c>
      <c r="N16">
        <v>31</v>
      </c>
      <c r="O16">
        <v>0</v>
      </c>
      <c r="P16">
        <v>30</v>
      </c>
      <c r="Q16">
        <v>6.2101435105432756E-12</v>
      </c>
      <c r="R16">
        <v>1.7000000000000001E-2</v>
      </c>
      <c r="S16">
        <v>0</v>
      </c>
      <c r="T16">
        <v>80</v>
      </c>
      <c r="U16">
        <v>74</v>
      </c>
      <c r="V16">
        <v>0</v>
      </c>
      <c r="W16">
        <v>0.188</v>
      </c>
      <c r="X16">
        <v>0</v>
      </c>
      <c r="Y16">
        <v>1.5625E-2</v>
      </c>
      <c r="Z16">
        <v>1.5625E-2</v>
      </c>
      <c r="AA16">
        <v>3.1E-2</v>
      </c>
      <c r="AB16">
        <v>0</v>
      </c>
      <c r="AC16">
        <v>3.125E-2</v>
      </c>
      <c r="AD16">
        <v>3.125E-2</v>
      </c>
      <c r="AE16">
        <v>4388</v>
      </c>
      <c r="AF16">
        <v>80</v>
      </c>
      <c r="AG16">
        <v>4413</v>
      </c>
      <c r="AH16">
        <v>74</v>
      </c>
      <c r="AI16" s="1">
        <v>9.7905092592592592E-3</v>
      </c>
      <c r="AJ16" s="1">
        <v>9.7943287037037044E-3</v>
      </c>
    </row>
    <row r="17" spans="1:36" x14ac:dyDescent="0.25">
      <c r="A17" t="s">
        <v>36</v>
      </c>
      <c r="B17">
        <v>6</v>
      </c>
      <c r="C17" t="s">
        <v>34</v>
      </c>
      <c r="D17" t="s">
        <v>35</v>
      </c>
      <c r="E17" t="s">
        <v>128</v>
      </c>
      <c r="F17">
        <v>0</v>
      </c>
      <c r="G17">
        <v>1.1459372561375376</v>
      </c>
      <c r="I17">
        <v>30</v>
      </c>
      <c r="J17">
        <v>50</v>
      </c>
      <c r="K17">
        <v>31</v>
      </c>
      <c r="L17">
        <v>50</v>
      </c>
      <c r="M17">
        <v>0</v>
      </c>
      <c r="N17">
        <v>31</v>
      </c>
      <c r="O17">
        <v>0</v>
      </c>
      <c r="P17">
        <v>30</v>
      </c>
      <c r="Q17">
        <v>6.2101435105432756E-12</v>
      </c>
      <c r="R17">
        <v>1.6E-2</v>
      </c>
      <c r="S17">
        <v>2E-3</v>
      </c>
      <c r="T17">
        <v>80</v>
      </c>
      <c r="U17">
        <v>74</v>
      </c>
      <c r="V17">
        <v>0</v>
      </c>
      <c r="W17">
        <v>0.20400000000000001</v>
      </c>
      <c r="X17">
        <v>1.5625E-2</v>
      </c>
      <c r="Y17">
        <v>1.5625E-2</v>
      </c>
      <c r="Z17">
        <v>3.125E-2</v>
      </c>
      <c r="AA17">
        <v>4.5999999999999999E-2</v>
      </c>
      <c r="AB17">
        <v>3.125E-2</v>
      </c>
      <c r="AC17">
        <v>0</v>
      </c>
      <c r="AD17">
        <v>3.125E-2</v>
      </c>
      <c r="AE17">
        <v>4388</v>
      </c>
      <c r="AF17">
        <v>80</v>
      </c>
      <c r="AG17">
        <v>4413</v>
      </c>
      <c r="AH17">
        <v>74</v>
      </c>
      <c r="AI17" s="1">
        <v>9.7960648148148147E-3</v>
      </c>
      <c r="AJ17" s="1">
        <v>9.8001157407407412E-3</v>
      </c>
    </row>
    <row r="18" spans="1:36" x14ac:dyDescent="0.25">
      <c r="A18" t="s">
        <v>36</v>
      </c>
      <c r="B18">
        <v>7</v>
      </c>
      <c r="C18" t="s">
        <v>34</v>
      </c>
      <c r="D18" t="s">
        <v>35</v>
      </c>
      <c r="E18" t="s">
        <v>128</v>
      </c>
      <c r="F18">
        <v>0</v>
      </c>
      <c r="G18">
        <v>1.1459372561375376</v>
      </c>
      <c r="I18">
        <v>30</v>
      </c>
      <c r="J18">
        <v>50</v>
      </c>
      <c r="K18">
        <v>31</v>
      </c>
      <c r="L18">
        <v>50</v>
      </c>
      <c r="M18">
        <v>0</v>
      </c>
      <c r="N18">
        <v>31</v>
      </c>
      <c r="O18">
        <v>0</v>
      </c>
      <c r="P18">
        <v>30</v>
      </c>
      <c r="Q18">
        <v>6.2101435105432756E-12</v>
      </c>
      <c r="R18">
        <v>1.4E-2</v>
      </c>
      <c r="S18">
        <v>1E-3</v>
      </c>
      <c r="T18">
        <v>80</v>
      </c>
      <c r="U18">
        <v>74</v>
      </c>
      <c r="V18">
        <v>0</v>
      </c>
      <c r="W18">
        <v>0.15600000000000003</v>
      </c>
      <c r="X18">
        <v>1.5625E-2</v>
      </c>
      <c r="Y18">
        <v>3.125E-2</v>
      </c>
      <c r="Z18">
        <v>4.6875E-2</v>
      </c>
      <c r="AA18">
        <v>4.7E-2</v>
      </c>
      <c r="AB18">
        <v>1.5625E-2</v>
      </c>
      <c r="AC18">
        <v>0</v>
      </c>
      <c r="AD18">
        <v>1.5625E-2</v>
      </c>
      <c r="AE18">
        <v>4388</v>
      </c>
      <c r="AF18">
        <v>80</v>
      </c>
      <c r="AG18">
        <v>4413</v>
      </c>
      <c r="AH18">
        <v>74</v>
      </c>
      <c r="AI18" s="1">
        <v>9.8021990740740743E-3</v>
      </c>
      <c r="AJ18" s="1">
        <v>9.8062500000000007E-3</v>
      </c>
    </row>
    <row r="19" spans="1:36" x14ac:dyDescent="0.25">
      <c r="A19" t="s">
        <v>36</v>
      </c>
      <c r="B19">
        <v>8</v>
      </c>
      <c r="C19" t="s">
        <v>34</v>
      </c>
      <c r="D19" t="s">
        <v>35</v>
      </c>
      <c r="E19" t="s">
        <v>128</v>
      </c>
      <c r="F19">
        <v>0</v>
      </c>
      <c r="G19">
        <v>1.1459372561375376</v>
      </c>
      <c r="I19">
        <v>30</v>
      </c>
      <c r="J19">
        <v>50</v>
      </c>
      <c r="K19">
        <v>31</v>
      </c>
      <c r="L19">
        <v>50</v>
      </c>
      <c r="M19">
        <v>0</v>
      </c>
      <c r="N19">
        <v>31</v>
      </c>
      <c r="O19">
        <v>0</v>
      </c>
      <c r="P19">
        <v>30</v>
      </c>
      <c r="Q19">
        <v>6.2101435105432756E-12</v>
      </c>
      <c r="R19">
        <v>1.2999999999999999E-2</v>
      </c>
      <c r="S19">
        <v>2E-3</v>
      </c>
      <c r="T19">
        <v>80</v>
      </c>
      <c r="U19">
        <v>74</v>
      </c>
      <c r="V19">
        <v>0</v>
      </c>
      <c r="W19">
        <v>0.186</v>
      </c>
      <c r="X19">
        <v>1.5625E-2</v>
      </c>
      <c r="Y19">
        <v>1.5625E-2</v>
      </c>
      <c r="Z19">
        <v>3.125E-2</v>
      </c>
      <c r="AA19">
        <v>3.2000000000000001E-2</v>
      </c>
      <c r="AB19">
        <v>0</v>
      </c>
      <c r="AC19">
        <v>1.5625E-2</v>
      </c>
      <c r="AD19">
        <v>1.5625E-2</v>
      </c>
      <c r="AE19">
        <v>4388</v>
      </c>
      <c r="AF19">
        <v>80</v>
      </c>
      <c r="AG19">
        <v>4413</v>
      </c>
      <c r="AH19">
        <v>74</v>
      </c>
      <c r="AI19" s="1">
        <v>9.8085648148148151E-3</v>
      </c>
      <c r="AJ19" s="1">
        <v>9.8125E-3</v>
      </c>
    </row>
    <row r="20" spans="1:36" x14ac:dyDescent="0.25">
      <c r="A20" t="s">
        <v>36</v>
      </c>
      <c r="B20">
        <v>9</v>
      </c>
      <c r="C20" t="s">
        <v>34</v>
      </c>
      <c r="D20" t="s">
        <v>35</v>
      </c>
      <c r="E20" t="s">
        <v>128</v>
      </c>
      <c r="F20">
        <v>0</v>
      </c>
      <c r="G20">
        <v>1.1459372561375376</v>
      </c>
      <c r="I20">
        <v>30</v>
      </c>
      <c r="J20">
        <v>50</v>
      </c>
      <c r="K20">
        <v>31</v>
      </c>
      <c r="L20">
        <v>50</v>
      </c>
      <c r="M20">
        <v>0</v>
      </c>
      <c r="N20">
        <v>31</v>
      </c>
      <c r="O20">
        <v>0</v>
      </c>
      <c r="P20">
        <v>30</v>
      </c>
      <c r="Q20">
        <v>6.2101435105432756E-12</v>
      </c>
      <c r="R20">
        <v>1.4E-2</v>
      </c>
      <c r="S20">
        <v>2E-3</v>
      </c>
      <c r="T20">
        <v>80</v>
      </c>
      <c r="U20">
        <v>74</v>
      </c>
      <c r="V20">
        <v>0</v>
      </c>
      <c r="W20">
        <v>0.17099999999999999</v>
      </c>
      <c r="X20">
        <v>0</v>
      </c>
      <c r="Y20">
        <v>3.125E-2</v>
      </c>
      <c r="Z20">
        <v>3.125E-2</v>
      </c>
      <c r="AA20">
        <v>4.7E-2</v>
      </c>
      <c r="AB20">
        <v>0</v>
      </c>
      <c r="AC20">
        <v>1.5625E-2</v>
      </c>
      <c r="AD20">
        <v>1.5625E-2</v>
      </c>
      <c r="AE20">
        <v>4388</v>
      </c>
      <c r="AF20">
        <v>80</v>
      </c>
      <c r="AG20">
        <v>4413</v>
      </c>
      <c r="AH20">
        <v>74</v>
      </c>
      <c r="AI20" s="1">
        <v>9.8146990740740746E-3</v>
      </c>
      <c r="AJ20" s="1">
        <v>9.8181712962962971E-3</v>
      </c>
    </row>
    <row r="21" spans="1:36" x14ac:dyDescent="0.25">
      <c r="A21" t="s">
        <v>36</v>
      </c>
      <c r="B21">
        <v>10</v>
      </c>
      <c r="C21" t="s">
        <v>34</v>
      </c>
      <c r="D21" t="s">
        <v>35</v>
      </c>
      <c r="E21" t="s">
        <v>128</v>
      </c>
      <c r="F21">
        <v>0</v>
      </c>
      <c r="G21">
        <v>1.1459372561375376</v>
      </c>
      <c r="I21">
        <v>30</v>
      </c>
      <c r="J21">
        <v>50</v>
      </c>
      <c r="K21">
        <v>31</v>
      </c>
      <c r="L21">
        <v>50</v>
      </c>
      <c r="M21">
        <v>0</v>
      </c>
      <c r="N21">
        <v>31</v>
      </c>
      <c r="O21">
        <v>0</v>
      </c>
      <c r="P21">
        <v>30</v>
      </c>
      <c r="Q21">
        <v>6.2101435105432756E-12</v>
      </c>
      <c r="R21">
        <v>1.6E-2</v>
      </c>
      <c r="S21">
        <v>0</v>
      </c>
      <c r="T21">
        <v>80</v>
      </c>
      <c r="U21">
        <v>74</v>
      </c>
      <c r="V21">
        <v>0</v>
      </c>
      <c r="W21">
        <v>0.17200000000000001</v>
      </c>
      <c r="X21">
        <v>0</v>
      </c>
      <c r="Y21">
        <v>1.5625E-2</v>
      </c>
      <c r="Z21">
        <v>1.5625E-2</v>
      </c>
      <c r="AA21">
        <v>3.1E-2</v>
      </c>
      <c r="AB21">
        <v>1.5625E-2</v>
      </c>
      <c r="AC21">
        <v>0</v>
      </c>
      <c r="AD21">
        <v>1.5625E-2</v>
      </c>
      <c r="AE21">
        <v>4388</v>
      </c>
      <c r="AF21">
        <v>80</v>
      </c>
      <c r="AG21">
        <v>4413</v>
      </c>
      <c r="AH21">
        <v>74</v>
      </c>
      <c r="AI21" s="1">
        <v>9.820949074074074E-3</v>
      </c>
      <c r="AJ21" s="1">
        <v>9.8244212962962964E-3</v>
      </c>
    </row>
    <row r="22" spans="1:36" x14ac:dyDescent="0.25">
      <c r="A22" t="s">
        <v>37</v>
      </c>
      <c r="B22">
        <v>1</v>
      </c>
      <c r="C22" t="s">
        <v>34</v>
      </c>
      <c r="D22" t="s">
        <v>35</v>
      </c>
      <c r="E22" t="s">
        <v>128</v>
      </c>
      <c r="F22">
        <v>0</v>
      </c>
      <c r="G22">
        <v>229.29128070613939</v>
      </c>
      <c r="I22">
        <v>12</v>
      </c>
      <c r="J22">
        <v>15</v>
      </c>
      <c r="K22">
        <v>13</v>
      </c>
      <c r="L22">
        <v>15</v>
      </c>
      <c r="M22">
        <v>0</v>
      </c>
      <c r="N22">
        <v>13</v>
      </c>
      <c r="O22">
        <v>0</v>
      </c>
      <c r="P22">
        <v>12</v>
      </c>
      <c r="Q22">
        <v>2.8421709430404007E-14</v>
      </c>
      <c r="R22">
        <v>8.9999999999999993E-3</v>
      </c>
      <c r="S22">
        <v>1E-3</v>
      </c>
      <c r="T22">
        <v>202</v>
      </c>
      <c r="U22">
        <v>176</v>
      </c>
      <c r="V22">
        <v>0</v>
      </c>
      <c r="W22">
        <v>0.18700000000000003</v>
      </c>
      <c r="X22">
        <v>3.125E-2</v>
      </c>
      <c r="Y22">
        <v>3.125E-2</v>
      </c>
      <c r="Z22">
        <v>6.25E-2</v>
      </c>
      <c r="AA22">
        <v>3.1E-2</v>
      </c>
      <c r="AB22">
        <v>1.5625E-2</v>
      </c>
      <c r="AC22">
        <v>1.5625E-2</v>
      </c>
      <c r="AD22">
        <v>3.125E-2</v>
      </c>
      <c r="AE22">
        <v>13169</v>
      </c>
      <c r="AF22">
        <v>202</v>
      </c>
      <c r="AG22">
        <v>13234</v>
      </c>
      <c r="AH22">
        <v>176</v>
      </c>
      <c r="AI22" s="1">
        <v>9.8262731481481482E-3</v>
      </c>
      <c r="AJ22" s="1">
        <v>9.8303240740740747E-3</v>
      </c>
    </row>
    <row r="23" spans="1:36" x14ac:dyDescent="0.25">
      <c r="A23" t="s">
        <v>37</v>
      </c>
      <c r="B23">
        <v>2</v>
      </c>
      <c r="C23" t="s">
        <v>34</v>
      </c>
      <c r="D23" t="s">
        <v>35</v>
      </c>
      <c r="E23" t="s">
        <v>128</v>
      </c>
      <c r="F23">
        <v>0</v>
      </c>
      <c r="G23">
        <v>229.29128070613939</v>
      </c>
      <c r="I23">
        <v>12</v>
      </c>
      <c r="J23">
        <v>15</v>
      </c>
      <c r="K23">
        <v>13</v>
      </c>
      <c r="L23">
        <v>15</v>
      </c>
      <c r="M23">
        <v>0</v>
      </c>
      <c r="N23">
        <v>13</v>
      </c>
      <c r="O23">
        <v>0</v>
      </c>
      <c r="P23">
        <v>12</v>
      </c>
      <c r="Q23">
        <v>2.8421709430404007E-14</v>
      </c>
      <c r="R23">
        <v>8.9999999999999993E-3</v>
      </c>
      <c r="S23">
        <v>1E-3</v>
      </c>
      <c r="T23">
        <v>202</v>
      </c>
      <c r="U23">
        <v>176</v>
      </c>
      <c r="V23">
        <v>0</v>
      </c>
      <c r="W23">
        <v>0.188</v>
      </c>
      <c r="X23">
        <v>3.125E-2</v>
      </c>
      <c r="Y23">
        <v>4.6875E-2</v>
      </c>
      <c r="Z23">
        <v>7.8125E-2</v>
      </c>
      <c r="AA23">
        <v>3.1E-2</v>
      </c>
      <c r="AB23">
        <v>1.5625E-2</v>
      </c>
      <c r="AC23">
        <v>0</v>
      </c>
      <c r="AD23">
        <v>1.5625E-2</v>
      </c>
      <c r="AE23">
        <v>13169</v>
      </c>
      <c r="AF23">
        <v>202</v>
      </c>
      <c r="AG23">
        <v>13234</v>
      </c>
      <c r="AH23">
        <v>176</v>
      </c>
      <c r="AI23" s="1">
        <v>9.8321759259259265E-3</v>
      </c>
      <c r="AJ23" s="1">
        <v>9.8358796296296302E-3</v>
      </c>
    </row>
    <row r="24" spans="1:36" x14ac:dyDescent="0.25">
      <c r="A24" t="s">
        <v>37</v>
      </c>
      <c r="B24">
        <v>3</v>
      </c>
      <c r="C24" t="s">
        <v>34</v>
      </c>
      <c r="D24" t="s">
        <v>35</v>
      </c>
      <c r="E24" t="s">
        <v>128</v>
      </c>
      <c r="F24">
        <v>0</v>
      </c>
      <c r="G24">
        <v>229.29128070613939</v>
      </c>
      <c r="I24">
        <v>12</v>
      </c>
      <c r="J24">
        <v>15</v>
      </c>
      <c r="K24">
        <v>13</v>
      </c>
      <c r="L24">
        <v>15</v>
      </c>
      <c r="M24">
        <v>0</v>
      </c>
      <c r="N24">
        <v>13</v>
      </c>
      <c r="O24">
        <v>0</v>
      </c>
      <c r="P24">
        <v>12</v>
      </c>
      <c r="Q24">
        <v>2.8421709430404007E-14</v>
      </c>
      <c r="R24">
        <v>8.9999999999999993E-3</v>
      </c>
      <c r="S24">
        <v>3.0000000000000001E-3</v>
      </c>
      <c r="T24">
        <v>202</v>
      </c>
      <c r="U24">
        <v>176</v>
      </c>
      <c r="V24">
        <v>0</v>
      </c>
      <c r="W24">
        <v>0.20300000000000001</v>
      </c>
      <c r="X24">
        <v>1.5625E-2</v>
      </c>
      <c r="Y24">
        <v>4.6875E-2</v>
      </c>
      <c r="Z24">
        <v>6.25E-2</v>
      </c>
      <c r="AA24">
        <v>3.2000000000000001E-2</v>
      </c>
      <c r="AB24">
        <v>0</v>
      </c>
      <c r="AC24">
        <v>1.5625E-2</v>
      </c>
      <c r="AD24">
        <v>1.5625E-2</v>
      </c>
      <c r="AE24">
        <v>13169</v>
      </c>
      <c r="AF24">
        <v>202</v>
      </c>
      <c r="AG24">
        <v>13234</v>
      </c>
      <c r="AH24">
        <v>176</v>
      </c>
      <c r="AI24" s="1">
        <v>9.838078703703703E-3</v>
      </c>
      <c r="AJ24" s="1">
        <v>9.842245370370371E-3</v>
      </c>
    </row>
    <row r="25" spans="1:36" x14ac:dyDescent="0.25">
      <c r="A25" t="s">
        <v>37</v>
      </c>
      <c r="B25">
        <v>4</v>
      </c>
      <c r="C25" t="s">
        <v>34</v>
      </c>
      <c r="D25" t="s">
        <v>35</v>
      </c>
      <c r="E25" t="s">
        <v>128</v>
      </c>
      <c r="F25">
        <v>0</v>
      </c>
      <c r="G25">
        <v>229.29128070613939</v>
      </c>
      <c r="I25">
        <v>12</v>
      </c>
      <c r="J25">
        <v>15</v>
      </c>
      <c r="K25">
        <v>13</v>
      </c>
      <c r="L25">
        <v>15</v>
      </c>
      <c r="M25">
        <v>0</v>
      </c>
      <c r="N25">
        <v>13</v>
      </c>
      <c r="O25">
        <v>0</v>
      </c>
      <c r="P25">
        <v>12</v>
      </c>
      <c r="Q25">
        <v>2.8421709430404007E-14</v>
      </c>
      <c r="R25">
        <v>8.9999999999999993E-3</v>
      </c>
      <c r="S25">
        <v>1E-3</v>
      </c>
      <c r="T25">
        <v>202</v>
      </c>
      <c r="U25">
        <v>176</v>
      </c>
      <c r="V25">
        <v>0</v>
      </c>
      <c r="W25">
        <v>0.20300000000000001</v>
      </c>
      <c r="X25">
        <v>3.125E-2</v>
      </c>
      <c r="Y25">
        <v>3.125E-2</v>
      </c>
      <c r="Z25">
        <v>6.25E-2</v>
      </c>
      <c r="AA25">
        <v>3.2000000000000001E-2</v>
      </c>
      <c r="AB25">
        <v>0</v>
      </c>
      <c r="AC25">
        <v>1.5625E-2</v>
      </c>
      <c r="AD25">
        <v>1.5625E-2</v>
      </c>
      <c r="AE25">
        <v>13169</v>
      </c>
      <c r="AF25">
        <v>202</v>
      </c>
      <c r="AG25">
        <v>13234</v>
      </c>
      <c r="AH25">
        <v>176</v>
      </c>
      <c r="AI25" s="1">
        <v>9.8442129629629626E-3</v>
      </c>
      <c r="AJ25" s="1">
        <v>9.8479166666666663E-3</v>
      </c>
    </row>
    <row r="26" spans="1:36" x14ac:dyDescent="0.25">
      <c r="A26" t="s">
        <v>37</v>
      </c>
      <c r="B26">
        <v>5</v>
      </c>
      <c r="C26" t="s">
        <v>34</v>
      </c>
      <c r="D26" t="s">
        <v>35</v>
      </c>
      <c r="E26" t="s">
        <v>128</v>
      </c>
      <c r="F26">
        <v>0</v>
      </c>
      <c r="G26">
        <v>229.29128070613939</v>
      </c>
      <c r="I26">
        <v>12</v>
      </c>
      <c r="J26">
        <v>15</v>
      </c>
      <c r="K26">
        <v>13</v>
      </c>
      <c r="L26">
        <v>15</v>
      </c>
      <c r="M26">
        <v>0</v>
      </c>
      <c r="N26">
        <v>13</v>
      </c>
      <c r="O26">
        <v>0</v>
      </c>
      <c r="P26">
        <v>12</v>
      </c>
      <c r="Q26">
        <v>2.8421709430404007E-14</v>
      </c>
      <c r="R26">
        <v>0.01</v>
      </c>
      <c r="S26">
        <v>1E-3</v>
      </c>
      <c r="T26">
        <v>202</v>
      </c>
      <c r="U26">
        <v>176</v>
      </c>
      <c r="V26">
        <v>0</v>
      </c>
      <c r="W26">
        <v>0.23500000000000001</v>
      </c>
      <c r="X26">
        <v>6.25E-2</v>
      </c>
      <c r="Y26">
        <v>0</v>
      </c>
      <c r="Z26">
        <v>6.25E-2</v>
      </c>
      <c r="AA26">
        <v>3.1E-2</v>
      </c>
      <c r="AB26">
        <v>0</v>
      </c>
      <c r="AC26">
        <v>1.5625E-2</v>
      </c>
      <c r="AD26">
        <v>1.5625E-2</v>
      </c>
      <c r="AE26">
        <v>13169</v>
      </c>
      <c r="AF26">
        <v>202</v>
      </c>
      <c r="AG26">
        <v>13234</v>
      </c>
      <c r="AH26">
        <v>176</v>
      </c>
      <c r="AI26" s="1">
        <v>9.8501157407407409E-3</v>
      </c>
      <c r="AJ26" s="1">
        <v>9.8543981481481486E-3</v>
      </c>
    </row>
    <row r="27" spans="1:36" x14ac:dyDescent="0.25">
      <c r="A27" t="s">
        <v>37</v>
      </c>
      <c r="B27">
        <v>6</v>
      </c>
      <c r="C27" t="s">
        <v>34</v>
      </c>
      <c r="D27" t="s">
        <v>35</v>
      </c>
      <c r="E27" t="s">
        <v>128</v>
      </c>
      <c r="F27">
        <v>0</v>
      </c>
      <c r="G27">
        <v>229.29128070613939</v>
      </c>
      <c r="I27">
        <v>12</v>
      </c>
      <c r="J27">
        <v>15</v>
      </c>
      <c r="K27">
        <v>13</v>
      </c>
      <c r="L27">
        <v>15</v>
      </c>
      <c r="M27">
        <v>0</v>
      </c>
      <c r="N27">
        <v>13</v>
      </c>
      <c r="O27">
        <v>0</v>
      </c>
      <c r="P27">
        <v>12</v>
      </c>
      <c r="Q27">
        <v>2.8421709430404007E-14</v>
      </c>
      <c r="R27">
        <v>0.01</v>
      </c>
      <c r="S27">
        <v>0</v>
      </c>
      <c r="T27">
        <v>202</v>
      </c>
      <c r="U27">
        <v>176</v>
      </c>
      <c r="V27">
        <v>0</v>
      </c>
      <c r="W27">
        <v>0.17100000000000001</v>
      </c>
      <c r="X27">
        <v>3.125E-2</v>
      </c>
      <c r="Y27">
        <v>0</v>
      </c>
      <c r="Z27">
        <v>3.125E-2</v>
      </c>
      <c r="AA27">
        <v>3.2000000000000001E-2</v>
      </c>
      <c r="AB27">
        <v>1.5625E-2</v>
      </c>
      <c r="AC27">
        <v>0</v>
      </c>
      <c r="AD27">
        <v>1.5625E-2</v>
      </c>
      <c r="AE27">
        <v>13169</v>
      </c>
      <c r="AF27">
        <v>202</v>
      </c>
      <c r="AG27">
        <v>13234</v>
      </c>
      <c r="AH27">
        <v>176</v>
      </c>
      <c r="AI27" s="1">
        <v>9.8562500000000004E-3</v>
      </c>
      <c r="AJ27" s="1">
        <v>9.8597222222222228E-3</v>
      </c>
    </row>
    <row r="28" spans="1:36" x14ac:dyDescent="0.25">
      <c r="A28" t="s">
        <v>37</v>
      </c>
      <c r="B28">
        <v>7</v>
      </c>
      <c r="C28" t="s">
        <v>34</v>
      </c>
      <c r="D28" t="s">
        <v>35</v>
      </c>
      <c r="E28" t="s">
        <v>128</v>
      </c>
      <c r="F28">
        <v>0</v>
      </c>
      <c r="G28">
        <v>229.29128070613939</v>
      </c>
      <c r="I28">
        <v>12</v>
      </c>
      <c r="J28">
        <v>15</v>
      </c>
      <c r="K28">
        <v>13</v>
      </c>
      <c r="L28">
        <v>15</v>
      </c>
      <c r="M28">
        <v>0</v>
      </c>
      <c r="N28">
        <v>13</v>
      </c>
      <c r="O28">
        <v>0</v>
      </c>
      <c r="P28">
        <v>12</v>
      </c>
      <c r="Q28">
        <v>2.8421709430404007E-14</v>
      </c>
      <c r="R28">
        <v>1.0999999999999999E-2</v>
      </c>
      <c r="S28">
        <v>0</v>
      </c>
      <c r="T28">
        <v>202</v>
      </c>
      <c r="U28">
        <v>176</v>
      </c>
      <c r="V28">
        <v>0</v>
      </c>
      <c r="W28">
        <v>0.20300000000000001</v>
      </c>
      <c r="X28">
        <v>3.125E-2</v>
      </c>
      <c r="Y28">
        <v>0</v>
      </c>
      <c r="Z28">
        <v>3.125E-2</v>
      </c>
      <c r="AA28">
        <v>4.7E-2</v>
      </c>
      <c r="AB28">
        <v>0</v>
      </c>
      <c r="AC28">
        <v>1.5625E-2</v>
      </c>
      <c r="AD28">
        <v>1.5625E-2</v>
      </c>
      <c r="AE28">
        <v>13169</v>
      </c>
      <c r="AF28">
        <v>202</v>
      </c>
      <c r="AG28">
        <v>13234</v>
      </c>
      <c r="AH28">
        <v>176</v>
      </c>
      <c r="AI28" s="1">
        <v>9.8615740740740747E-3</v>
      </c>
      <c r="AJ28" s="1">
        <v>9.8658564814814807E-3</v>
      </c>
    </row>
    <row r="29" spans="1:36" x14ac:dyDescent="0.25">
      <c r="A29" t="s">
        <v>37</v>
      </c>
      <c r="B29">
        <v>8</v>
      </c>
      <c r="C29" t="s">
        <v>34</v>
      </c>
      <c r="D29" t="s">
        <v>35</v>
      </c>
      <c r="E29" t="s">
        <v>128</v>
      </c>
      <c r="F29">
        <v>0</v>
      </c>
      <c r="G29">
        <v>229.29128070613939</v>
      </c>
      <c r="I29">
        <v>12</v>
      </c>
      <c r="J29">
        <v>15</v>
      </c>
      <c r="K29">
        <v>13</v>
      </c>
      <c r="L29">
        <v>15</v>
      </c>
      <c r="M29">
        <v>0</v>
      </c>
      <c r="N29">
        <v>13</v>
      </c>
      <c r="O29">
        <v>0</v>
      </c>
      <c r="P29">
        <v>12</v>
      </c>
      <c r="Q29">
        <v>2.8421709430404007E-14</v>
      </c>
      <c r="R29">
        <v>0.01</v>
      </c>
      <c r="S29">
        <v>1E-3</v>
      </c>
      <c r="T29">
        <v>202</v>
      </c>
      <c r="U29">
        <v>176</v>
      </c>
      <c r="V29">
        <v>0</v>
      </c>
      <c r="W29">
        <v>0.20300000000000001</v>
      </c>
      <c r="X29">
        <v>0</v>
      </c>
      <c r="Y29">
        <v>6.25E-2</v>
      </c>
      <c r="Z29">
        <v>6.25E-2</v>
      </c>
      <c r="AA29">
        <v>1.6E-2</v>
      </c>
      <c r="AB29">
        <v>1.5625E-2</v>
      </c>
      <c r="AC29">
        <v>0</v>
      </c>
      <c r="AD29">
        <v>1.5625E-2</v>
      </c>
      <c r="AE29">
        <v>13169</v>
      </c>
      <c r="AF29">
        <v>202</v>
      </c>
      <c r="AG29">
        <v>13234</v>
      </c>
      <c r="AH29">
        <v>176</v>
      </c>
      <c r="AI29" s="1">
        <v>9.8687500000000008E-3</v>
      </c>
      <c r="AJ29" s="1">
        <v>9.8725694444444442E-3</v>
      </c>
    </row>
    <row r="30" spans="1:36" x14ac:dyDescent="0.25">
      <c r="A30" t="s">
        <v>37</v>
      </c>
      <c r="B30">
        <v>9</v>
      </c>
      <c r="C30" t="s">
        <v>34</v>
      </c>
      <c r="D30" t="s">
        <v>35</v>
      </c>
      <c r="E30" t="s">
        <v>128</v>
      </c>
      <c r="F30">
        <v>0</v>
      </c>
      <c r="G30">
        <v>229.29128070613939</v>
      </c>
      <c r="I30">
        <v>12</v>
      </c>
      <c r="J30">
        <v>15</v>
      </c>
      <c r="K30">
        <v>13</v>
      </c>
      <c r="L30">
        <v>15</v>
      </c>
      <c r="M30">
        <v>0</v>
      </c>
      <c r="N30">
        <v>13</v>
      </c>
      <c r="O30">
        <v>0</v>
      </c>
      <c r="P30">
        <v>12</v>
      </c>
      <c r="Q30">
        <v>2.8421709430404007E-14</v>
      </c>
      <c r="R30">
        <v>8.9999999999999993E-3</v>
      </c>
      <c r="S30">
        <v>1E-3</v>
      </c>
      <c r="T30">
        <v>202</v>
      </c>
      <c r="U30">
        <v>176</v>
      </c>
      <c r="V30">
        <v>0</v>
      </c>
      <c r="W30">
        <v>0.187</v>
      </c>
      <c r="X30">
        <v>1.5625E-2</v>
      </c>
      <c r="Y30">
        <v>1.5625E-2</v>
      </c>
      <c r="Z30">
        <v>3.125E-2</v>
      </c>
      <c r="AA30">
        <v>3.2000000000000001E-2</v>
      </c>
      <c r="AB30">
        <v>0</v>
      </c>
      <c r="AC30">
        <v>1.5625E-2</v>
      </c>
      <c r="AD30">
        <v>1.5625E-2</v>
      </c>
      <c r="AE30">
        <v>13169</v>
      </c>
      <c r="AF30">
        <v>202</v>
      </c>
      <c r="AG30">
        <v>13234</v>
      </c>
      <c r="AH30">
        <v>176</v>
      </c>
      <c r="AI30" s="1">
        <v>9.8745370370370376E-3</v>
      </c>
      <c r="AJ30" s="1">
        <v>9.8782407407407413E-3</v>
      </c>
    </row>
    <row r="31" spans="1:36" x14ac:dyDescent="0.25">
      <c r="A31" t="s">
        <v>37</v>
      </c>
      <c r="B31">
        <v>10</v>
      </c>
      <c r="C31" t="s">
        <v>34</v>
      </c>
      <c r="D31" t="s">
        <v>35</v>
      </c>
      <c r="E31" t="s">
        <v>128</v>
      </c>
      <c r="F31">
        <v>0</v>
      </c>
      <c r="G31">
        <v>229.29128070613939</v>
      </c>
      <c r="I31">
        <v>12</v>
      </c>
      <c r="J31">
        <v>15</v>
      </c>
      <c r="K31">
        <v>13</v>
      </c>
      <c r="L31">
        <v>15</v>
      </c>
      <c r="M31">
        <v>0</v>
      </c>
      <c r="N31">
        <v>13</v>
      </c>
      <c r="O31">
        <v>0</v>
      </c>
      <c r="P31">
        <v>12</v>
      </c>
      <c r="Q31">
        <v>2.8421709430404007E-14</v>
      </c>
      <c r="R31">
        <v>0.01</v>
      </c>
      <c r="S31">
        <v>1E-3</v>
      </c>
      <c r="T31">
        <v>202</v>
      </c>
      <c r="U31">
        <v>176</v>
      </c>
      <c r="V31">
        <v>0</v>
      </c>
      <c r="W31">
        <v>0.20300000000000001</v>
      </c>
      <c r="X31">
        <v>0</v>
      </c>
      <c r="Y31">
        <v>3.125E-2</v>
      </c>
      <c r="Z31">
        <v>3.125E-2</v>
      </c>
      <c r="AA31">
        <v>1.6E-2</v>
      </c>
      <c r="AB31">
        <v>1.5625E-2</v>
      </c>
      <c r="AC31">
        <v>0</v>
      </c>
      <c r="AD31">
        <v>1.5625E-2</v>
      </c>
      <c r="AE31">
        <v>13169</v>
      </c>
      <c r="AF31">
        <v>202</v>
      </c>
      <c r="AG31">
        <v>13234</v>
      </c>
      <c r="AH31">
        <v>176</v>
      </c>
      <c r="AI31" s="1">
        <v>9.8803240740740744E-3</v>
      </c>
      <c r="AJ31" s="1">
        <v>9.884027777777778E-3</v>
      </c>
    </row>
    <row r="32" spans="1:36" x14ac:dyDescent="0.25">
      <c r="A32" t="s">
        <v>38</v>
      </c>
      <c r="B32">
        <v>1</v>
      </c>
      <c r="C32" t="s">
        <v>34</v>
      </c>
      <c r="D32" t="s">
        <v>35</v>
      </c>
      <c r="E32" t="s">
        <v>128</v>
      </c>
      <c r="F32">
        <v>0</v>
      </c>
      <c r="G32">
        <v>260.43008529551417</v>
      </c>
      <c r="I32">
        <v>11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11</v>
      </c>
      <c r="Q32">
        <v>1.0587086762825493E-12</v>
      </c>
      <c r="R32">
        <v>3.2000000000000001E-2</v>
      </c>
      <c r="S32">
        <v>4.5999999999999999E-2</v>
      </c>
      <c r="T32">
        <v>266</v>
      </c>
      <c r="U32">
        <v>212</v>
      </c>
      <c r="V32">
        <v>2</v>
      </c>
      <c r="W32">
        <v>0.60899999999999999</v>
      </c>
      <c r="X32">
        <v>3.125E-2</v>
      </c>
      <c r="Y32">
        <v>0.203125</v>
      </c>
      <c r="Z32">
        <v>0.234375</v>
      </c>
      <c r="AA32">
        <v>0.10900000000000004</v>
      </c>
      <c r="AB32">
        <v>0</v>
      </c>
      <c r="AC32">
        <v>0.109375</v>
      </c>
      <c r="AD32">
        <v>0.109375</v>
      </c>
      <c r="AE32">
        <v>99109</v>
      </c>
      <c r="AF32">
        <v>266</v>
      </c>
      <c r="AG32">
        <v>98877</v>
      </c>
      <c r="AH32">
        <v>214</v>
      </c>
      <c r="AI32" s="1">
        <v>9.8858796296296299E-3</v>
      </c>
      <c r="AJ32" s="1">
        <v>9.8965277777777784E-3</v>
      </c>
    </row>
    <row r="33" spans="1:36" x14ac:dyDescent="0.25">
      <c r="A33" t="s">
        <v>38</v>
      </c>
      <c r="B33">
        <v>2</v>
      </c>
      <c r="C33" t="s">
        <v>34</v>
      </c>
      <c r="D33" t="s">
        <v>35</v>
      </c>
      <c r="E33" t="s">
        <v>128</v>
      </c>
      <c r="F33">
        <v>0</v>
      </c>
      <c r="G33">
        <v>260.43008529551417</v>
      </c>
      <c r="I33">
        <v>11</v>
      </c>
      <c r="J33">
        <v>12</v>
      </c>
      <c r="K33">
        <v>12</v>
      </c>
      <c r="L33">
        <v>12</v>
      </c>
      <c r="M33">
        <v>12</v>
      </c>
      <c r="N33">
        <v>12</v>
      </c>
      <c r="O33">
        <v>12</v>
      </c>
      <c r="P33">
        <v>11</v>
      </c>
      <c r="Q33">
        <v>1.0587086762825493E-12</v>
      </c>
      <c r="R33">
        <v>2.1000000000000001E-2</v>
      </c>
      <c r="S33">
        <v>0.04</v>
      </c>
      <c r="T33">
        <v>266</v>
      </c>
      <c r="U33">
        <v>212</v>
      </c>
      <c r="V33">
        <v>2</v>
      </c>
      <c r="W33">
        <v>0.375</v>
      </c>
      <c r="X33">
        <v>4.6875E-2</v>
      </c>
      <c r="Y33">
        <v>0.234375</v>
      </c>
      <c r="Z33">
        <v>0.28125</v>
      </c>
      <c r="AA33">
        <v>9.4E-2</v>
      </c>
      <c r="AB33">
        <v>4.6875E-2</v>
      </c>
      <c r="AC33">
        <v>4.6875E-2</v>
      </c>
      <c r="AD33">
        <v>9.375E-2</v>
      </c>
      <c r="AE33">
        <v>99109</v>
      </c>
      <c r="AF33">
        <v>266</v>
      </c>
      <c r="AG33">
        <v>98877</v>
      </c>
      <c r="AH33">
        <v>214</v>
      </c>
      <c r="AI33" s="1">
        <v>9.8983796296296302E-3</v>
      </c>
      <c r="AJ33" s="1">
        <v>9.9112268518518516E-3</v>
      </c>
    </row>
    <row r="34" spans="1:36" x14ac:dyDescent="0.25">
      <c r="A34" t="s">
        <v>38</v>
      </c>
      <c r="B34">
        <v>3</v>
      </c>
      <c r="C34" t="s">
        <v>34</v>
      </c>
      <c r="D34" t="s">
        <v>35</v>
      </c>
      <c r="E34" t="s">
        <v>128</v>
      </c>
      <c r="F34">
        <v>0</v>
      </c>
      <c r="G34">
        <v>260.43008529551417</v>
      </c>
      <c r="I34">
        <v>11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  <c r="P34">
        <v>11</v>
      </c>
      <c r="Q34">
        <v>1.0587086762825493E-12</v>
      </c>
      <c r="R34">
        <v>2.4E-2</v>
      </c>
      <c r="S34">
        <v>3.9E-2</v>
      </c>
      <c r="T34">
        <v>266</v>
      </c>
      <c r="U34">
        <v>212</v>
      </c>
      <c r="V34">
        <v>2</v>
      </c>
      <c r="W34">
        <v>0.375</v>
      </c>
      <c r="X34">
        <v>7.8125E-2</v>
      </c>
      <c r="Y34">
        <v>0.15625</v>
      </c>
      <c r="Z34">
        <v>0.234375</v>
      </c>
      <c r="AA34">
        <v>9.4E-2</v>
      </c>
      <c r="AB34">
        <v>1.5625E-2</v>
      </c>
      <c r="AC34">
        <v>6.25E-2</v>
      </c>
      <c r="AD34">
        <v>7.8125E-2</v>
      </c>
      <c r="AE34">
        <v>99109</v>
      </c>
      <c r="AF34">
        <v>266</v>
      </c>
      <c r="AG34">
        <v>98877</v>
      </c>
      <c r="AH34">
        <v>214</v>
      </c>
      <c r="AI34" s="1">
        <v>9.9133101851851847E-3</v>
      </c>
      <c r="AJ34" s="1">
        <v>9.9199074074074068E-3</v>
      </c>
    </row>
    <row r="35" spans="1:36" x14ac:dyDescent="0.25">
      <c r="A35" t="s">
        <v>38</v>
      </c>
      <c r="B35">
        <v>4</v>
      </c>
      <c r="C35" t="s">
        <v>34</v>
      </c>
      <c r="D35" t="s">
        <v>35</v>
      </c>
      <c r="E35" t="s">
        <v>128</v>
      </c>
      <c r="F35">
        <v>0</v>
      </c>
      <c r="G35">
        <v>260.43008529551417</v>
      </c>
      <c r="I35">
        <v>11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11</v>
      </c>
      <c r="Q35">
        <v>1.0587086762825493E-12</v>
      </c>
      <c r="R35">
        <v>2.4E-2</v>
      </c>
      <c r="S35">
        <v>4.3999999999999997E-2</v>
      </c>
      <c r="T35">
        <v>266</v>
      </c>
      <c r="U35">
        <v>212</v>
      </c>
      <c r="V35">
        <v>2</v>
      </c>
      <c r="W35">
        <v>0.34399999999999997</v>
      </c>
      <c r="X35">
        <v>3.125E-2</v>
      </c>
      <c r="Y35">
        <v>0.171875</v>
      </c>
      <c r="Z35">
        <v>0.203125</v>
      </c>
      <c r="AA35">
        <v>0.10900000000000001</v>
      </c>
      <c r="AB35">
        <v>3.125E-2</v>
      </c>
      <c r="AC35">
        <v>4.6875E-2</v>
      </c>
      <c r="AD35">
        <v>7.8125E-2</v>
      </c>
      <c r="AE35">
        <v>99109</v>
      </c>
      <c r="AF35">
        <v>266</v>
      </c>
      <c r="AG35">
        <v>98877</v>
      </c>
      <c r="AH35">
        <v>214</v>
      </c>
      <c r="AI35" s="1">
        <v>9.9217592592592586E-3</v>
      </c>
      <c r="AJ35" s="1">
        <v>9.9282407407407409E-3</v>
      </c>
    </row>
    <row r="36" spans="1:36" x14ac:dyDescent="0.25">
      <c r="A36" t="s">
        <v>38</v>
      </c>
      <c r="B36">
        <v>5</v>
      </c>
      <c r="C36" t="s">
        <v>34</v>
      </c>
      <c r="D36" t="s">
        <v>35</v>
      </c>
      <c r="E36" t="s">
        <v>128</v>
      </c>
      <c r="F36">
        <v>0</v>
      </c>
      <c r="G36">
        <v>260.43008529551417</v>
      </c>
      <c r="I36">
        <v>11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  <c r="P36">
        <v>11</v>
      </c>
      <c r="Q36">
        <v>1.0587086762825493E-12</v>
      </c>
      <c r="R36">
        <v>2.5000000000000001E-2</v>
      </c>
      <c r="S36">
        <v>4.2000000000000003E-2</v>
      </c>
      <c r="T36">
        <v>266</v>
      </c>
      <c r="U36">
        <v>212</v>
      </c>
      <c r="V36">
        <v>2</v>
      </c>
      <c r="W36">
        <v>0.375</v>
      </c>
      <c r="X36">
        <v>4.6875E-2</v>
      </c>
      <c r="Y36">
        <v>0.203125</v>
      </c>
      <c r="Z36">
        <v>0.25</v>
      </c>
      <c r="AA36">
        <v>9.4E-2</v>
      </c>
      <c r="AB36">
        <v>1.5625E-2</v>
      </c>
      <c r="AC36">
        <v>7.8125E-2</v>
      </c>
      <c r="AD36">
        <v>9.375E-2</v>
      </c>
      <c r="AE36">
        <v>99109</v>
      </c>
      <c r="AF36">
        <v>266</v>
      </c>
      <c r="AG36">
        <v>98877</v>
      </c>
      <c r="AH36">
        <v>214</v>
      </c>
      <c r="AI36" s="1">
        <v>9.9300925925925928E-3</v>
      </c>
      <c r="AJ36" s="1">
        <v>9.9366898148148149E-3</v>
      </c>
    </row>
    <row r="37" spans="1:36" x14ac:dyDescent="0.25">
      <c r="A37" t="s">
        <v>38</v>
      </c>
      <c r="B37">
        <v>6</v>
      </c>
      <c r="C37" t="s">
        <v>34</v>
      </c>
      <c r="D37" t="s">
        <v>35</v>
      </c>
      <c r="E37" t="s">
        <v>128</v>
      </c>
      <c r="F37">
        <v>0</v>
      </c>
      <c r="G37">
        <v>260.43008529551417</v>
      </c>
      <c r="I37">
        <v>11</v>
      </c>
      <c r="J37">
        <v>12</v>
      </c>
      <c r="K37">
        <v>12</v>
      </c>
      <c r="L37">
        <v>12</v>
      </c>
      <c r="M37">
        <v>12</v>
      </c>
      <c r="N37">
        <v>12</v>
      </c>
      <c r="O37">
        <v>12</v>
      </c>
      <c r="P37">
        <v>11</v>
      </c>
      <c r="Q37">
        <v>1.0587086762825493E-12</v>
      </c>
      <c r="R37">
        <v>2.4E-2</v>
      </c>
      <c r="S37">
        <v>4.2000000000000003E-2</v>
      </c>
      <c r="T37">
        <v>266</v>
      </c>
      <c r="U37">
        <v>212</v>
      </c>
      <c r="V37">
        <v>2</v>
      </c>
      <c r="W37">
        <v>0.376</v>
      </c>
      <c r="X37">
        <v>6.25E-2</v>
      </c>
      <c r="Y37">
        <v>0.171875</v>
      </c>
      <c r="Z37">
        <v>0.234375</v>
      </c>
      <c r="AA37">
        <v>0.10899999999999999</v>
      </c>
      <c r="AB37">
        <v>0</v>
      </c>
      <c r="AC37">
        <v>9.375E-2</v>
      </c>
      <c r="AD37">
        <v>9.375E-2</v>
      </c>
      <c r="AE37">
        <v>99109</v>
      </c>
      <c r="AF37">
        <v>266</v>
      </c>
      <c r="AG37">
        <v>98877</v>
      </c>
      <c r="AH37">
        <v>214</v>
      </c>
      <c r="AI37" s="1">
        <v>9.9384259259259252E-3</v>
      </c>
      <c r="AJ37" s="1">
        <v>9.94537037037037E-3</v>
      </c>
    </row>
    <row r="38" spans="1:36" x14ac:dyDescent="0.25">
      <c r="A38" t="s">
        <v>38</v>
      </c>
      <c r="B38">
        <v>7</v>
      </c>
      <c r="C38" t="s">
        <v>34</v>
      </c>
      <c r="D38" t="s">
        <v>35</v>
      </c>
      <c r="E38" t="s">
        <v>128</v>
      </c>
      <c r="F38">
        <v>0</v>
      </c>
      <c r="G38">
        <v>260.43008529551417</v>
      </c>
      <c r="I38">
        <v>11</v>
      </c>
      <c r="J38">
        <v>12</v>
      </c>
      <c r="K38">
        <v>12</v>
      </c>
      <c r="L38">
        <v>12</v>
      </c>
      <c r="M38">
        <v>12</v>
      </c>
      <c r="N38">
        <v>12</v>
      </c>
      <c r="O38">
        <v>12</v>
      </c>
      <c r="P38">
        <v>11</v>
      </c>
      <c r="Q38">
        <v>1.0587086762825493E-12</v>
      </c>
      <c r="R38">
        <v>2.3E-2</v>
      </c>
      <c r="S38">
        <v>4.2000000000000003E-2</v>
      </c>
      <c r="T38">
        <v>266</v>
      </c>
      <c r="U38">
        <v>212</v>
      </c>
      <c r="V38">
        <v>2</v>
      </c>
      <c r="W38">
        <v>0.34300000000000003</v>
      </c>
      <c r="X38">
        <v>4.6875E-2</v>
      </c>
      <c r="Y38">
        <v>0.1875</v>
      </c>
      <c r="Z38">
        <v>0.234375</v>
      </c>
      <c r="AA38">
        <v>0.10999999999999999</v>
      </c>
      <c r="AB38">
        <v>3.125E-2</v>
      </c>
      <c r="AC38">
        <v>6.25E-2</v>
      </c>
      <c r="AD38">
        <v>9.375E-2</v>
      </c>
      <c r="AE38">
        <v>99109</v>
      </c>
      <c r="AF38">
        <v>266</v>
      </c>
      <c r="AG38">
        <v>98877</v>
      </c>
      <c r="AH38">
        <v>214</v>
      </c>
      <c r="AI38" s="1">
        <v>9.9478009259259259E-3</v>
      </c>
      <c r="AJ38" s="1">
        <v>9.954398148148148E-3</v>
      </c>
    </row>
    <row r="39" spans="1:36" x14ac:dyDescent="0.25">
      <c r="A39" t="s">
        <v>38</v>
      </c>
      <c r="B39">
        <v>8</v>
      </c>
      <c r="C39" t="s">
        <v>34</v>
      </c>
      <c r="D39" t="s">
        <v>35</v>
      </c>
      <c r="E39" t="s">
        <v>128</v>
      </c>
      <c r="F39">
        <v>0</v>
      </c>
      <c r="G39">
        <v>260.43008529551417</v>
      </c>
      <c r="I39">
        <v>11</v>
      </c>
      <c r="J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11</v>
      </c>
      <c r="Q39">
        <v>1.0587086762825493E-12</v>
      </c>
      <c r="R39">
        <v>2.5999999999999999E-2</v>
      </c>
      <c r="S39">
        <v>4.1000000000000002E-2</v>
      </c>
      <c r="T39">
        <v>266</v>
      </c>
      <c r="U39">
        <v>212</v>
      </c>
      <c r="V39">
        <v>2</v>
      </c>
      <c r="W39">
        <v>0.374</v>
      </c>
      <c r="X39">
        <v>6.25E-2</v>
      </c>
      <c r="Y39">
        <v>0.1875</v>
      </c>
      <c r="Z39">
        <v>0.25</v>
      </c>
      <c r="AA39">
        <v>0.11000000000000001</v>
      </c>
      <c r="AB39">
        <v>3.125E-2</v>
      </c>
      <c r="AC39">
        <v>4.6875E-2</v>
      </c>
      <c r="AD39">
        <v>7.8125E-2</v>
      </c>
      <c r="AE39">
        <v>99109</v>
      </c>
      <c r="AF39">
        <v>266</v>
      </c>
      <c r="AG39">
        <v>98877</v>
      </c>
      <c r="AH39">
        <v>214</v>
      </c>
      <c r="AI39" s="1">
        <v>9.9563657407407413E-3</v>
      </c>
      <c r="AJ39" s="1">
        <v>9.9630787037037032E-3</v>
      </c>
    </row>
    <row r="40" spans="1:36" x14ac:dyDescent="0.25">
      <c r="A40" t="s">
        <v>38</v>
      </c>
      <c r="B40">
        <v>9</v>
      </c>
      <c r="C40" t="s">
        <v>34</v>
      </c>
      <c r="D40" t="s">
        <v>35</v>
      </c>
      <c r="E40" t="s">
        <v>128</v>
      </c>
      <c r="F40">
        <v>0</v>
      </c>
      <c r="G40">
        <v>260.43008529551417</v>
      </c>
      <c r="I40">
        <v>11</v>
      </c>
      <c r="J40">
        <v>12</v>
      </c>
      <c r="K40">
        <v>12</v>
      </c>
      <c r="L40">
        <v>12</v>
      </c>
      <c r="M40">
        <v>12</v>
      </c>
      <c r="N40">
        <v>12</v>
      </c>
      <c r="O40">
        <v>12</v>
      </c>
      <c r="P40">
        <v>11</v>
      </c>
      <c r="Q40">
        <v>1.0587086762825493E-12</v>
      </c>
      <c r="R40">
        <v>2.8000000000000001E-2</v>
      </c>
      <c r="S40">
        <v>3.9E-2</v>
      </c>
      <c r="T40">
        <v>266</v>
      </c>
      <c r="U40">
        <v>212</v>
      </c>
      <c r="V40">
        <v>2</v>
      </c>
      <c r="W40">
        <v>0.39100000000000001</v>
      </c>
      <c r="X40">
        <v>4.6875E-2</v>
      </c>
      <c r="Y40">
        <v>0.171875</v>
      </c>
      <c r="Z40">
        <v>0.21875</v>
      </c>
      <c r="AA40">
        <v>0.10900000000000001</v>
      </c>
      <c r="AB40">
        <v>3.125E-2</v>
      </c>
      <c r="AC40">
        <v>4.6875E-2</v>
      </c>
      <c r="AD40">
        <v>7.8125E-2</v>
      </c>
      <c r="AE40">
        <v>99109</v>
      </c>
      <c r="AF40">
        <v>266</v>
      </c>
      <c r="AG40">
        <v>98877</v>
      </c>
      <c r="AH40">
        <v>214</v>
      </c>
      <c r="AI40" s="1">
        <v>9.965509259259259E-3</v>
      </c>
      <c r="AJ40" s="1">
        <v>9.9730324074074079E-3</v>
      </c>
    </row>
    <row r="41" spans="1:36" x14ac:dyDescent="0.25">
      <c r="A41" t="s">
        <v>38</v>
      </c>
      <c r="B41">
        <v>10</v>
      </c>
      <c r="C41" t="s">
        <v>34</v>
      </c>
      <c r="D41" t="s">
        <v>35</v>
      </c>
      <c r="E41" t="s">
        <v>128</v>
      </c>
      <c r="F41">
        <v>0</v>
      </c>
      <c r="G41">
        <v>260.43008529551417</v>
      </c>
      <c r="I41">
        <v>11</v>
      </c>
      <c r="J41">
        <v>12</v>
      </c>
      <c r="K41">
        <v>12</v>
      </c>
      <c r="L41">
        <v>12</v>
      </c>
      <c r="M41">
        <v>12</v>
      </c>
      <c r="N41">
        <v>12</v>
      </c>
      <c r="O41">
        <v>12</v>
      </c>
      <c r="P41">
        <v>11</v>
      </c>
      <c r="Q41">
        <v>1.0587086762825493E-12</v>
      </c>
      <c r="R41">
        <v>2.7E-2</v>
      </c>
      <c r="S41">
        <v>0.04</v>
      </c>
      <c r="T41">
        <v>266</v>
      </c>
      <c r="U41">
        <v>212</v>
      </c>
      <c r="V41">
        <v>2</v>
      </c>
      <c r="W41">
        <v>0.43600000000000005</v>
      </c>
      <c r="X41">
        <v>6.25E-2</v>
      </c>
      <c r="Y41">
        <v>0.203125</v>
      </c>
      <c r="Z41">
        <v>0.265625</v>
      </c>
      <c r="AA41">
        <v>0.11000000000000001</v>
      </c>
      <c r="AB41">
        <v>1.5625E-2</v>
      </c>
      <c r="AC41">
        <v>6.25E-2</v>
      </c>
      <c r="AD41">
        <v>7.8125E-2</v>
      </c>
      <c r="AE41">
        <v>99109</v>
      </c>
      <c r="AF41">
        <v>266</v>
      </c>
      <c r="AG41">
        <v>98877</v>
      </c>
      <c r="AH41">
        <v>214</v>
      </c>
      <c r="AI41" s="1">
        <v>9.975115740740741E-3</v>
      </c>
      <c r="AJ41" s="1">
        <v>9.9832175925925921E-3</v>
      </c>
    </row>
    <row r="42" spans="1:36" x14ac:dyDescent="0.25">
      <c r="A42" t="s">
        <v>39</v>
      </c>
      <c r="B42">
        <v>1</v>
      </c>
      <c r="C42" t="s">
        <v>34</v>
      </c>
      <c r="D42" t="s">
        <v>35</v>
      </c>
      <c r="E42" t="s">
        <v>128</v>
      </c>
      <c r="F42">
        <v>0</v>
      </c>
      <c r="G42">
        <v>443.14228437220777</v>
      </c>
      <c r="I42">
        <v>13</v>
      </c>
      <c r="J42">
        <v>14</v>
      </c>
      <c r="K42">
        <v>14</v>
      </c>
      <c r="L42">
        <v>14</v>
      </c>
      <c r="M42">
        <v>14</v>
      </c>
      <c r="N42">
        <v>14</v>
      </c>
      <c r="O42">
        <v>14</v>
      </c>
      <c r="P42">
        <v>13</v>
      </c>
      <c r="Q42">
        <v>4.2092551666428335E-10</v>
      </c>
      <c r="R42">
        <v>0.115</v>
      </c>
      <c r="S42">
        <v>7.9000000000000001E-2</v>
      </c>
      <c r="T42">
        <v>326</v>
      </c>
      <c r="U42">
        <v>300</v>
      </c>
      <c r="V42">
        <v>2</v>
      </c>
      <c r="W42">
        <v>0.28100000000000003</v>
      </c>
      <c r="X42">
        <v>3.125E-2</v>
      </c>
      <c r="Y42">
        <v>0.109375</v>
      </c>
      <c r="Z42">
        <v>0.140625</v>
      </c>
      <c r="AA42">
        <v>0.23399999999999999</v>
      </c>
      <c r="AB42">
        <v>4.6875E-2</v>
      </c>
      <c r="AC42">
        <v>0.171875</v>
      </c>
      <c r="AD42">
        <v>0.21875</v>
      </c>
      <c r="AE42">
        <v>46821</v>
      </c>
      <c r="AF42">
        <v>326</v>
      </c>
      <c r="AG42">
        <v>46820</v>
      </c>
      <c r="AH42">
        <v>302</v>
      </c>
      <c r="AI42" s="1">
        <v>9.9863425925925918E-3</v>
      </c>
      <c r="AJ42" s="1">
        <v>9.9938657407407407E-3</v>
      </c>
    </row>
    <row r="43" spans="1:36" x14ac:dyDescent="0.25">
      <c r="A43" t="s">
        <v>39</v>
      </c>
      <c r="B43">
        <v>2</v>
      </c>
      <c r="C43" t="s">
        <v>34</v>
      </c>
      <c r="D43" t="s">
        <v>35</v>
      </c>
      <c r="E43" t="s">
        <v>128</v>
      </c>
      <c r="F43">
        <v>0</v>
      </c>
      <c r="G43">
        <v>443.14228437220777</v>
      </c>
      <c r="I43">
        <v>13</v>
      </c>
      <c r="J43">
        <v>14</v>
      </c>
      <c r="K43">
        <v>14</v>
      </c>
      <c r="L43">
        <v>14</v>
      </c>
      <c r="M43">
        <v>14</v>
      </c>
      <c r="N43">
        <v>14</v>
      </c>
      <c r="O43">
        <v>14</v>
      </c>
      <c r="P43">
        <v>13</v>
      </c>
      <c r="Q43">
        <v>4.2092551666428335E-10</v>
      </c>
      <c r="R43">
        <v>0.114</v>
      </c>
      <c r="S43">
        <v>7.6999999999999999E-2</v>
      </c>
      <c r="T43">
        <v>326</v>
      </c>
      <c r="U43">
        <v>300</v>
      </c>
      <c r="V43">
        <v>2</v>
      </c>
      <c r="W43">
        <v>0.29700000000000004</v>
      </c>
      <c r="X43">
        <v>4.6875E-2</v>
      </c>
      <c r="Y43">
        <v>7.8125E-2</v>
      </c>
      <c r="Z43">
        <v>0.125</v>
      </c>
      <c r="AA43">
        <v>0.23399999999999999</v>
      </c>
      <c r="AB43">
        <v>3.125E-2</v>
      </c>
      <c r="AC43">
        <v>0.1875</v>
      </c>
      <c r="AD43">
        <v>0.21875</v>
      </c>
      <c r="AE43">
        <v>46821</v>
      </c>
      <c r="AF43">
        <v>326</v>
      </c>
      <c r="AG43">
        <v>46820</v>
      </c>
      <c r="AH43">
        <v>302</v>
      </c>
      <c r="AI43" s="1">
        <v>9.9959490740740738E-3</v>
      </c>
      <c r="AJ43" s="1">
        <v>1.000300925925926E-2</v>
      </c>
    </row>
    <row r="44" spans="1:36" x14ac:dyDescent="0.25">
      <c r="A44" t="s">
        <v>39</v>
      </c>
      <c r="B44">
        <v>3</v>
      </c>
      <c r="C44" t="s">
        <v>34</v>
      </c>
      <c r="D44" t="s">
        <v>35</v>
      </c>
      <c r="E44" t="s">
        <v>128</v>
      </c>
      <c r="F44">
        <v>0</v>
      </c>
      <c r="G44">
        <v>443.14228437220777</v>
      </c>
      <c r="I44">
        <v>13</v>
      </c>
      <c r="J44">
        <v>14</v>
      </c>
      <c r="K44">
        <v>14</v>
      </c>
      <c r="L44">
        <v>14</v>
      </c>
      <c r="M44">
        <v>14</v>
      </c>
      <c r="N44">
        <v>14</v>
      </c>
      <c r="O44">
        <v>14</v>
      </c>
      <c r="P44">
        <v>13</v>
      </c>
      <c r="Q44">
        <v>4.2092551666428335E-10</v>
      </c>
      <c r="R44">
        <v>0.11700000000000001</v>
      </c>
      <c r="S44">
        <v>8.4000000000000005E-2</v>
      </c>
      <c r="T44">
        <v>326</v>
      </c>
      <c r="U44">
        <v>300</v>
      </c>
      <c r="V44">
        <v>2</v>
      </c>
      <c r="W44">
        <v>0.26600000000000001</v>
      </c>
      <c r="X44">
        <v>3.125E-2</v>
      </c>
      <c r="Y44">
        <v>0.109375</v>
      </c>
      <c r="Z44">
        <v>0.140625</v>
      </c>
      <c r="AA44">
        <v>0.25</v>
      </c>
      <c r="AB44">
        <v>3.125E-2</v>
      </c>
      <c r="AC44">
        <v>0.1875</v>
      </c>
      <c r="AD44">
        <v>0.21875</v>
      </c>
      <c r="AE44">
        <v>46821</v>
      </c>
      <c r="AF44">
        <v>326</v>
      </c>
      <c r="AG44">
        <v>46820</v>
      </c>
      <c r="AH44">
        <v>302</v>
      </c>
      <c r="AI44" s="1">
        <v>1.0005671296296295E-2</v>
      </c>
      <c r="AJ44" s="1">
        <v>1.0012731481481482E-2</v>
      </c>
    </row>
    <row r="45" spans="1:36" x14ac:dyDescent="0.25">
      <c r="A45" t="s">
        <v>39</v>
      </c>
      <c r="B45">
        <v>4</v>
      </c>
      <c r="C45" t="s">
        <v>34</v>
      </c>
      <c r="D45" t="s">
        <v>35</v>
      </c>
      <c r="E45" t="s">
        <v>128</v>
      </c>
      <c r="F45">
        <v>0</v>
      </c>
      <c r="G45">
        <v>443.14228437220777</v>
      </c>
      <c r="I45">
        <v>13</v>
      </c>
      <c r="J45">
        <v>14</v>
      </c>
      <c r="K45">
        <v>14</v>
      </c>
      <c r="L45">
        <v>14</v>
      </c>
      <c r="M45">
        <v>14</v>
      </c>
      <c r="N45">
        <v>14</v>
      </c>
      <c r="O45">
        <v>14</v>
      </c>
      <c r="P45">
        <v>13</v>
      </c>
      <c r="Q45">
        <v>4.2092551666428335E-10</v>
      </c>
      <c r="R45">
        <v>0.11700000000000001</v>
      </c>
      <c r="S45">
        <v>0.09</v>
      </c>
      <c r="T45">
        <v>326</v>
      </c>
      <c r="U45">
        <v>300</v>
      </c>
      <c r="V45">
        <v>2</v>
      </c>
      <c r="W45">
        <v>0.29700000000000004</v>
      </c>
      <c r="X45">
        <v>3.125E-2</v>
      </c>
      <c r="Y45">
        <v>0.140625</v>
      </c>
      <c r="Z45">
        <v>0.171875</v>
      </c>
      <c r="AA45">
        <v>0.25</v>
      </c>
      <c r="AB45">
        <v>1.5625E-2</v>
      </c>
      <c r="AC45">
        <v>0.21875</v>
      </c>
      <c r="AD45">
        <v>0.234375</v>
      </c>
      <c r="AE45">
        <v>46821</v>
      </c>
      <c r="AF45">
        <v>326</v>
      </c>
      <c r="AG45">
        <v>46820</v>
      </c>
      <c r="AH45">
        <v>302</v>
      </c>
      <c r="AI45" s="1">
        <v>1.0014699074074073E-2</v>
      </c>
      <c r="AJ45" s="1">
        <v>1.0021875E-2</v>
      </c>
    </row>
    <row r="46" spans="1:36" x14ac:dyDescent="0.25">
      <c r="A46" t="s">
        <v>39</v>
      </c>
      <c r="B46">
        <v>5</v>
      </c>
      <c r="C46" t="s">
        <v>34</v>
      </c>
      <c r="D46" t="s">
        <v>35</v>
      </c>
      <c r="E46" t="s">
        <v>128</v>
      </c>
      <c r="F46">
        <v>0</v>
      </c>
      <c r="G46">
        <v>443.14228437220777</v>
      </c>
      <c r="I46">
        <v>13</v>
      </c>
      <c r="J46">
        <v>14</v>
      </c>
      <c r="K46">
        <v>14</v>
      </c>
      <c r="L46">
        <v>14</v>
      </c>
      <c r="M46">
        <v>14</v>
      </c>
      <c r="N46">
        <v>14</v>
      </c>
      <c r="O46">
        <v>14</v>
      </c>
      <c r="P46">
        <v>13</v>
      </c>
      <c r="Q46">
        <v>4.2092551666428335E-10</v>
      </c>
      <c r="R46">
        <v>0.11</v>
      </c>
      <c r="S46">
        <v>8.6999999999999994E-2</v>
      </c>
      <c r="T46">
        <v>326</v>
      </c>
      <c r="U46">
        <v>300</v>
      </c>
      <c r="V46">
        <v>2</v>
      </c>
      <c r="W46">
        <v>0.29700000000000004</v>
      </c>
      <c r="X46">
        <v>9.375E-2</v>
      </c>
      <c r="Y46">
        <v>7.8125E-2</v>
      </c>
      <c r="Z46">
        <v>0.171875</v>
      </c>
      <c r="AA46">
        <v>0.23399999999999999</v>
      </c>
      <c r="AB46">
        <v>1.5625E-2</v>
      </c>
      <c r="AC46">
        <v>0.203125</v>
      </c>
      <c r="AD46">
        <v>0.21875</v>
      </c>
      <c r="AE46">
        <v>46821</v>
      </c>
      <c r="AF46">
        <v>326</v>
      </c>
      <c r="AG46">
        <v>46820</v>
      </c>
      <c r="AH46">
        <v>302</v>
      </c>
      <c r="AI46" s="1">
        <v>1.0023726851851851E-2</v>
      </c>
      <c r="AJ46" s="1">
        <v>1.0031018518518519E-2</v>
      </c>
    </row>
    <row r="47" spans="1:36" x14ac:dyDescent="0.25">
      <c r="A47" t="s">
        <v>39</v>
      </c>
      <c r="B47">
        <v>6</v>
      </c>
      <c r="C47" t="s">
        <v>34</v>
      </c>
      <c r="D47" t="s">
        <v>35</v>
      </c>
      <c r="E47" t="s">
        <v>128</v>
      </c>
      <c r="F47">
        <v>0</v>
      </c>
      <c r="G47">
        <v>443.14228437220777</v>
      </c>
      <c r="I47">
        <v>13</v>
      </c>
      <c r="J47">
        <v>14</v>
      </c>
      <c r="K47">
        <v>14</v>
      </c>
      <c r="L47">
        <v>14</v>
      </c>
      <c r="M47">
        <v>14</v>
      </c>
      <c r="N47">
        <v>14</v>
      </c>
      <c r="O47">
        <v>14</v>
      </c>
      <c r="P47">
        <v>13</v>
      </c>
      <c r="Q47">
        <v>4.2092551666428335E-10</v>
      </c>
      <c r="R47">
        <v>0.109</v>
      </c>
      <c r="S47">
        <v>8.1000000000000003E-2</v>
      </c>
      <c r="T47">
        <v>326</v>
      </c>
      <c r="U47">
        <v>300</v>
      </c>
      <c r="V47">
        <v>2</v>
      </c>
      <c r="W47">
        <v>0.28200000000000003</v>
      </c>
      <c r="X47">
        <v>4.6875E-2</v>
      </c>
      <c r="Y47">
        <v>9.375E-2</v>
      </c>
      <c r="Z47">
        <v>0.140625</v>
      </c>
      <c r="AA47">
        <v>0.21799999999999997</v>
      </c>
      <c r="AB47">
        <v>3.125E-2</v>
      </c>
      <c r="AC47">
        <v>0.1875</v>
      </c>
      <c r="AD47">
        <v>0.21875</v>
      </c>
      <c r="AE47">
        <v>46821</v>
      </c>
      <c r="AF47">
        <v>326</v>
      </c>
      <c r="AG47">
        <v>46820</v>
      </c>
      <c r="AH47">
        <v>302</v>
      </c>
      <c r="AI47" s="1">
        <v>1.0032754629629629E-2</v>
      </c>
      <c r="AJ47" s="1">
        <v>1.0040046296296297E-2</v>
      </c>
    </row>
    <row r="48" spans="1:36" x14ac:dyDescent="0.25">
      <c r="A48" t="s">
        <v>39</v>
      </c>
      <c r="B48">
        <v>7</v>
      </c>
      <c r="C48" t="s">
        <v>34</v>
      </c>
      <c r="D48" t="s">
        <v>35</v>
      </c>
      <c r="E48" t="s">
        <v>128</v>
      </c>
      <c r="F48">
        <v>0</v>
      </c>
      <c r="G48">
        <v>443.14228437220777</v>
      </c>
      <c r="I48">
        <v>13</v>
      </c>
      <c r="J48">
        <v>14</v>
      </c>
      <c r="K48">
        <v>14</v>
      </c>
      <c r="L48">
        <v>14</v>
      </c>
      <c r="M48">
        <v>14</v>
      </c>
      <c r="N48">
        <v>14</v>
      </c>
      <c r="O48">
        <v>14</v>
      </c>
      <c r="P48">
        <v>13</v>
      </c>
      <c r="Q48">
        <v>4.2092551666428335E-10</v>
      </c>
      <c r="R48">
        <v>0.104</v>
      </c>
      <c r="S48">
        <v>7.6999999999999999E-2</v>
      </c>
      <c r="T48">
        <v>326</v>
      </c>
      <c r="U48">
        <v>300</v>
      </c>
      <c r="V48">
        <v>2</v>
      </c>
      <c r="W48">
        <v>0.26699999999999996</v>
      </c>
      <c r="X48">
        <v>3.125E-2</v>
      </c>
      <c r="Y48">
        <v>9.375E-2</v>
      </c>
      <c r="Z48">
        <v>0.125</v>
      </c>
      <c r="AA48">
        <v>0.21800000000000003</v>
      </c>
      <c r="AB48">
        <v>3.125E-2</v>
      </c>
      <c r="AC48">
        <v>0.1875</v>
      </c>
      <c r="AD48">
        <v>0.21875</v>
      </c>
      <c r="AE48">
        <v>46821</v>
      </c>
      <c r="AF48">
        <v>326</v>
      </c>
      <c r="AG48">
        <v>46820</v>
      </c>
      <c r="AH48">
        <v>302</v>
      </c>
      <c r="AI48" s="1">
        <v>1.0041898148148149E-2</v>
      </c>
      <c r="AJ48" s="1">
        <v>1.0048726851851852E-2</v>
      </c>
    </row>
    <row r="49" spans="1:36" x14ac:dyDescent="0.25">
      <c r="A49" t="s">
        <v>39</v>
      </c>
      <c r="B49">
        <v>8</v>
      </c>
      <c r="C49" t="s">
        <v>34</v>
      </c>
      <c r="D49" t="s">
        <v>35</v>
      </c>
      <c r="E49" t="s">
        <v>128</v>
      </c>
      <c r="F49">
        <v>0</v>
      </c>
      <c r="G49">
        <v>443.14228437220777</v>
      </c>
      <c r="I49">
        <v>13</v>
      </c>
      <c r="J49">
        <v>14</v>
      </c>
      <c r="K49">
        <v>14</v>
      </c>
      <c r="L49">
        <v>14</v>
      </c>
      <c r="M49">
        <v>14</v>
      </c>
      <c r="N49">
        <v>14</v>
      </c>
      <c r="O49">
        <v>14</v>
      </c>
      <c r="P49">
        <v>13</v>
      </c>
      <c r="Q49">
        <v>4.2092551666428335E-10</v>
      </c>
      <c r="R49">
        <v>0.13400000000000001</v>
      </c>
      <c r="S49">
        <v>0.1</v>
      </c>
      <c r="T49">
        <v>326</v>
      </c>
      <c r="U49">
        <v>300</v>
      </c>
      <c r="V49">
        <v>2</v>
      </c>
      <c r="W49">
        <v>0.29699999999999999</v>
      </c>
      <c r="X49">
        <v>4.6875E-2</v>
      </c>
      <c r="Y49">
        <v>0.15625</v>
      </c>
      <c r="Z49">
        <v>0.203125</v>
      </c>
      <c r="AA49">
        <v>0.28099999999999997</v>
      </c>
      <c r="AB49">
        <v>4.6875E-2</v>
      </c>
      <c r="AC49">
        <v>0.203125</v>
      </c>
      <c r="AD49">
        <v>0.25</v>
      </c>
      <c r="AE49">
        <v>46821</v>
      </c>
      <c r="AF49">
        <v>326</v>
      </c>
      <c r="AG49">
        <v>46820</v>
      </c>
      <c r="AH49">
        <v>302</v>
      </c>
      <c r="AI49" s="1">
        <v>1.0050810185185185E-2</v>
      </c>
      <c r="AJ49" s="1">
        <v>1.0058680555555555E-2</v>
      </c>
    </row>
    <row r="50" spans="1:36" x14ac:dyDescent="0.25">
      <c r="A50" t="s">
        <v>39</v>
      </c>
      <c r="B50">
        <v>9</v>
      </c>
      <c r="C50" t="s">
        <v>34</v>
      </c>
      <c r="D50" t="s">
        <v>35</v>
      </c>
      <c r="E50" t="s">
        <v>128</v>
      </c>
      <c r="F50">
        <v>0</v>
      </c>
      <c r="G50">
        <v>443.14228437220777</v>
      </c>
      <c r="I50">
        <v>13</v>
      </c>
      <c r="J50">
        <v>14</v>
      </c>
      <c r="K50">
        <v>14</v>
      </c>
      <c r="L50">
        <v>14</v>
      </c>
      <c r="M50">
        <v>14</v>
      </c>
      <c r="N50">
        <v>14</v>
      </c>
      <c r="O50">
        <v>14</v>
      </c>
      <c r="P50">
        <v>13</v>
      </c>
      <c r="Q50">
        <v>4.2092551666428335E-10</v>
      </c>
      <c r="R50">
        <v>0.12</v>
      </c>
      <c r="S50">
        <v>8.5999999999999993E-2</v>
      </c>
      <c r="T50">
        <v>326</v>
      </c>
      <c r="U50">
        <v>300</v>
      </c>
      <c r="V50">
        <v>2</v>
      </c>
      <c r="W50">
        <v>0.25</v>
      </c>
      <c r="X50">
        <v>4.6875E-2</v>
      </c>
      <c r="Y50">
        <v>0.125</v>
      </c>
      <c r="Z50">
        <v>0.171875</v>
      </c>
      <c r="AA50">
        <v>0.25</v>
      </c>
      <c r="AB50">
        <v>1.5625E-2</v>
      </c>
      <c r="AC50">
        <v>0.203125</v>
      </c>
      <c r="AD50">
        <v>0.21875</v>
      </c>
      <c r="AE50">
        <v>46821</v>
      </c>
      <c r="AF50">
        <v>326</v>
      </c>
      <c r="AG50">
        <v>46820</v>
      </c>
      <c r="AH50">
        <v>302</v>
      </c>
      <c r="AI50" s="1">
        <v>1.0060532407407407E-2</v>
      </c>
      <c r="AJ50" s="1">
        <v>1.006736111111111E-2</v>
      </c>
    </row>
    <row r="51" spans="1:36" x14ac:dyDescent="0.25">
      <c r="A51" t="s">
        <v>39</v>
      </c>
      <c r="B51">
        <v>10</v>
      </c>
      <c r="C51" t="s">
        <v>34</v>
      </c>
      <c r="D51" t="s">
        <v>35</v>
      </c>
      <c r="E51" t="s">
        <v>128</v>
      </c>
      <c r="F51">
        <v>0</v>
      </c>
      <c r="G51">
        <v>443.14228437220777</v>
      </c>
      <c r="I51">
        <v>13</v>
      </c>
      <c r="J51">
        <v>14</v>
      </c>
      <c r="K51">
        <v>14</v>
      </c>
      <c r="L51">
        <v>14</v>
      </c>
      <c r="M51">
        <v>14</v>
      </c>
      <c r="N51">
        <v>14</v>
      </c>
      <c r="O51">
        <v>14</v>
      </c>
      <c r="P51">
        <v>13</v>
      </c>
      <c r="Q51">
        <v>4.2092551666428335E-10</v>
      </c>
      <c r="R51">
        <v>0.127</v>
      </c>
      <c r="S51">
        <v>0.09</v>
      </c>
      <c r="T51">
        <v>326</v>
      </c>
      <c r="U51">
        <v>300</v>
      </c>
      <c r="V51">
        <v>2</v>
      </c>
      <c r="W51">
        <v>0.28100000000000003</v>
      </c>
      <c r="X51">
        <v>4.6875E-2</v>
      </c>
      <c r="Y51">
        <v>0.109375</v>
      </c>
      <c r="Z51">
        <v>0.15625</v>
      </c>
      <c r="AA51">
        <v>0.26600000000000001</v>
      </c>
      <c r="AB51">
        <v>7.8125E-2</v>
      </c>
      <c r="AC51">
        <v>0.171875</v>
      </c>
      <c r="AD51">
        <v>0.25</v>
      </c>
      <c r="AE51">
        <v>46821</v>
      </c>
      <c r="AF51">
        <v>326</v>
      </c>
      <c r="AG51">
        <v>46820</v>
      </c>
      <c r="AH51">
        <v>302</v>
      </c>
      <c r="AI51" s="1">
        <v>1.0069212962962962E-2</v>
      </c>
      <c r="AJ51" s="1">
        <v>1.0076851851851852E-2</v>
      </c>
    </row>
    <row r="52" spans="1:36" x14ac:dyDescent="0.25">
      <c r="A52" t="s">
        <v>40</v>
      </c>
      <c r="B52">
        <v>1</v>
      </c>
      <c r="C52" t="s">
        <v>34</v>
      </c>
      <c r="D52" t="s">
        <v>35</v>
      </c>
      <c r="E52" t="s">
        <v>128</v>
      </c>
      <c r="F52">
        <v>0</v>
      </c>
      <c r="G52">
        <v>5.7300002083855288</v>
      </c>
      <c r="I52">
        <v>206</v>
      </c>
      <c r="J52">
        <v>273</v>
      </c>
      <c r="K52">
        <v>207</v>
      </c>
      <c r="L52">
        <v>273</v>
      </c>
      <c r="M52">
        <v>273</v>
      </c>
      <c r="N52">
        <v>210</v>
      </c>
      <c r="O52">
        <v>210</v>
      </c>
      <c r="P52">
        <v>206</v>
      </c>
      <c r="Q52">
        <v>1.4438672479855086E-11</v>
      </c>
      <c r="R52">
        <v>18.178000000000001</v>
      </c>
      <c r="S52">
        <v>12.035</v>
      </c>
      <c r="T52">
        <v>2345</v>
      </c>
      <c r="U52">
        <v>2331</v>
      </c>
      <c r="V52">
        <v>206</v>
      </c>
      <c r="W52">
        <v>1.4690000000000012</v>
      </c>
      <c r="X52">
        <v>0.296875</v>
      </c>
      <c r="Y52">
        <v>1.046875</v>
      </c>
      <c r="Z52">
        <v>1.34375</v>
      </c>
      <c r="AA52">
        <v>30.405999999999999</v>
      </c>
      <c r="AB52">
        <v>0.78125</v>
      </c>
      <c r="AC52">
        <v>29.484375</v>
      </c>
      <c r="AD52">
        <v>30.265625</v>
      </c>
      <c r="AE52">
        <v>371155</v>
      </c>
      <c r="AF52">
        <v>2345</v>
      </c>
      <c r="AG52">
        <v>372492</v>
      </c>
      <c r="AH52">
        <v>2537</v>
      </c>
      <c r="AI52" s="1">
        <v>1.0078819444444444E-2</v>
      </c>
      <c r="AJ52" s="1">
        <v>1.0473032407407407E-2</v>
      </c>
    </row>
    <row r="53" spans="1:36" x14ac:dyDescent="0.25">
      <c r="A53" t="s">
        <v>40</v>
      </c>
      <c r="B53">
        <v>2</v>
      </c>
      <c r="C53" t="s">
        <v>34</v>
      </c>
      <c r="D53" t="s">
        <v>35</v>
      </c>
      <c r="E53" t="s">
        <v>128</v>
      </c>
      <c r="F53">
        <v>0</v>
      </c>
      <c r="G53">
        <v>5.7300002083855288</v>
      </c>
      <c r="I53">
        <v>206</v>
      </c>
      <c r="J53">
        <v>273</v>
      </c>
      <c r="K53">
        <v>207</v>
      </c>
      <c r="L53">
        <v>273</v>
      </c>
      <c r="M53">
        <v>273</v>
      </c>
      <c r="N53">
        <v>210</v>
      </c>
      <c r="O53">
        <v>210</v>
      </c>
      <c r="P53">
        <v>206</v>
      </c>
      <c r="Q53">
        <v>1.4438672479855086E-11</v>
      </c>
      <c r="R53">
        <v>18.420000000000002</v>
      </c>
      <c r="S53">
        <v>12.02</v>
      </c>
      <c r="T53">
        <v>2345</v>
      </c>
      <c r="U53">
        <v>2331</v>
      </c>
      <c r="V53">
        <v>206</v>
      </c>
      <c r="W53">
        <v>1.4520000000000053</v>
      </c>
      <c r="X53">
        <v>0.21875</v>
      </c>
      <c r="Y53">
        <v>1.09375</v>
      </c>
      <c r="Z53">
        <v>1.3125</v>
      </c>
      <c r="AA53">
        <v>30.640999999999998</v>
      </c>
      <c r="AB53">
        <v>0.40625</v>
      </c>
      <c r="AC53">
        <v>30.140625</v>
      </c>
      <c r="AD53">
        <v>30.546875</v>
      </c>
      <c r="AE53">
        <v>371155</v>
      </c>
      <c r="AF53">
        <v>2345</v>
      </c>
      <c r="AG53">
        <v>372492</v>
      </c>
      <c r="AH53">
        <v>2537</v>
      </c>
      <c r="AI53" s="1">
        <v>1.0474768518518519E-2</v>
      </c>
      <c r="AJ53" s="1">
        <v>1.0868402777777777E-2</v>
      </c>
    </row>
    <row r="54" spans="1:36" x14ac:dyDescent="0.25">
      <c r="A54" t="s">
        <v>40</v>
      </c>
      <c r="B54">
        <v>3</v>
      </c>
      <c r="C54" t="s">
        <v>34</v>
      </c>
      <c r="D54" t="s">
        <v>35</v>
      </c>
      <c r="E54" t="s">
        <v>128</v>
      </c>
      <c r="F54">
        <v>0</v>
      </c>
      <c r="G54">
        <v>5.7300002083855288</v>
      </c>
      <c r="I54">
        <v>206</v>
      </c>
      <c r="J54">
        <v>273</v>
      </c>
      <c r="K54">
        <v>207</v>
      </c>
      <c r="L54">
        <v>273</v>
      </c>
      <c r="M54">
        <v>273</v>
      </c>
      <c r="N54">
        <v>210</v>
      </c>
      <c r="O54">
        <v>210</v>
      </c>
      <c r="P54">
        <v>206</v>
      </c>
      <c r="Q54">
        <v>1.4438672479855086E-11</v>
      </c>
      <c r="R54">
        <v>18.437999999999999</v>
      </c>
      <c r="S54">
        <v>11.744</v>
      </c>
      <c r="T54">
        <v>2345</v>
      </c>
      <c r="U54">
        <v>2331</v>
      </c>
      <c r="V54">
        <v>206</v>
      </c>
      <c r="W54">
        <v>1.2970000000000006</v>
      </c>
      <c r="X54">
        <v>0.1875</v>
      </c>
      <c r="Y54">
        <v>0.984375</v>
      </c>
      <c r="Z54">
        <v>1.171875</v>
      </c>
      <c r="AA54">
        <v>30.359000000000002</v>
      </c>
      <c r="AB54">
        <v>0.375</v>
      </c>
      <c r="AC54">
        <v>29.875</v>
      </c>
      <c r="AD54">
        <v>30.25</v>
      </c>
      <c r="AE54">
        <v>371155</v>
      </c>
      <c r="AF54">
        <v>2345</v>
      </c>
      <c r="AG54">
        <v>372492</v>
      </c>
      <c r="AH54">
        <v>2537</v>
      </c>
      <c r="AI54" s="1">
        <v>1.0870601851851852E-2</v>
      </c>
      <c r="AJ54" s="1">
        <v>1.1259837962962963E-2</v>
      </c>
    </row>
    <row r="55" spans="1:36" x14ac:dyDescent="0.25">
      <c r="A55" t="s">
        <v>40</v>
      </c>
      <c r="B55">
        <v>4</v>
      </c>
      <c r="C55" t="s">
        <v>34</v>
      </c>
      <c r="D55" t="s">
        <v>35</v>
      </c>
      <c r="E55" t="s">
        <v>128</v>
      </c>
      <c r="F55">
        <v>0</v>
      </c>
      <c r="G55">
        <v>5.7300002083855288</v>
      </c>
      <c r="I55">
        <v>206</v>
      </c>
      <c r="J55">
        <v>273</v>
      </c>
      <c r="K55">
        <v>207</v>
      </c>
      <c r="L55">
        <v>273</v>
      </c>
      <c r="M55">
        <v>273</v>
      </c>
      <c r="N55">
        <v>210</v>
      </c>
      <c r="O55">
        <v>210</v>
      </c>
      <c r="P55">
        <v>206</v>
      </c>
      <c r="Q55">
        <v>1.4438672479855086E-11</v>
      </c>
      <c r="R55">
        <v>18.399999999999999</v>
      </c>
      <c r="S55">
        <v>11.948</v>
      </c>
      <c r="T55">
        <v>2345</v>
      </c>
      <c r="U55">
        <v>2331</v>
      </c>
      <c r="V55">
        <v>206</v>
      </c>
      <c r="W55">
        <v>1.3430000000000035</v>
      </c>
      <c r="X55">
        <v>0.171875</v>
      </c>
      <c r="Y55">
        <v>1.0625</v>
      </c>
      <c r="Z55">
        <v>1.234375</v>
      </c>
      <c r="AA55">
        <v>30.515999999999998</v>
      </c>
      <c r="AB55">
        <v>0.484375</v>
      </c>
      <c r="AC55">
        <v>29.875</v>
      </c>
      <c r="AD55">
        <v>30.359375</v>
      </c>
      <c r="AE55">
        <v>371155</v>
      </c>
      <c r="AF55">
        <v>2345</v>
      </c>
      <c r="AG55">
        <v>372492</v>
      </c>
      <c r="AH55">
        <v>2537</v>
      </c>
      <c r="AI55" s="1">
        <v>1.1261805555555556E-2</v>
      </c>
      <c r="AJ55" s="1">
        <v>1.1653587962962963E-2</v>
      </c>
    </row>
    <row r="56" spans="1:36" x14ac:dyDescent="0.25">
      <c r="A56" t="s">
        <v>40</v>
      </c>
      <c r="B56">
        <v>5</v>
      </c>
      <c r="C56" t="s">
        <v>34</v>
      </c>
      <c r="D56" t="s">
        <v>35</v>
      </c>
      <c r="E56" t="s">
        <v>128</v>
      </c>
      <c r="F56">
        <v>0</v>
      </c>
      <c r="G56">
        <v>5.7300002083855288</v>
      </c>
      <c r="I56">
        <v>206</v>
      </c>
      <c r="J56">
        <v>273</v>
      </c>
      <c r="K56">
        <v>207</v>
      </c>
      <c r="L56">
        <v>273</v>
      </c>
      <c r="M56">
        <v>273</v>
      </c>
      <c r="N56">
        <v>210</v>
      </c>
      <c r="O56">
        <v>210</v>
      </c>
      <c r="P56">
        <v>206</v>
      </c>
      <c r="Q56">
        <v>1.4438672479855086E-11</v>
      </c>
      <c r="R56">
        <v>18.399000000000001</v>
      </c>
      <c r="S56">
        <v>11.741</v>
      </c>
      <c r="T56">
        <v>2345</v>
      </c>
      <c r="U56">
        <v>2331</v>
      </c>
      <c r="V56">
        <v>206</v>
      </c>
      <c r="W56">
        <v>1.2959999999999994</v>
      </c>
      <c r="X56">
        <v>0.234375</v>
      </c>
      <c r="Y56">
        <v>0.921875</v>
      </c>
      <c r="Z56">
        <v>1.15625</v>
      </c>
      <c r="AA56">
        <v>30.313000000000002</v>
      </c>
      <c r="AB56">
        <v>0.5625</v>
      </c>
      <c r="AC56">
        <v>29.640625</v>
      </c>
      <c r="AD56">
        <v>30.203125</v>
      </c>
      <c r="AE56">
        <v>371155</v>
      </c>
      <c r="AF56">
        <v>2345</v>
      </c>
      <c r="AG56">
        <v>372492</v>
      </c>
      <c r="AH56">
        <v>2537</v>
      </c>
      <c r="AI56" s="1">
        <v>1.1655902777777777E-2</v>
      </c>
      <c r="AJ56" s="1">
        <v>1.2044328703703703E-2</v>
      </c>
    </row>
    <row r="57" spans="1:36" x14ac:dyDescent="0.25">
      <c r="A57" t="s">
        <v>40</v>
      </c>
      <c r="B57">
        <v>6</v>
      </c>
      <c r="C57" t="s">
        <v>34</v>
      </c>
      <c r="D57" t="s">
        <v>35</v>
      </c>
      <c r="E57" t="s">
        <v>128</v>
      </c>
      <c r="F57">
        <v>0</v>
      </c>
      <c r="G57">
        <v>5.7300002083855288</v>
      </c>
      <c r="I57">
        <v>206</v>
      </c>
      <c r="J57">
        <v>273</v>
      </c>
      <c r="K57">
        <v>207</v>
      </c>
      <c r="L57">
        <v>273</v>
      </c>
      <c r="M57">
        <v>273</v>
      </c>
      <c r="N57">
        <v>210</v>
      </c>
      <c r="O57">
        <v>210</v>
      </c>
      <c r="P57">
        <v>206</v>
      </c>
      <c r="Q57">
        <v>1.4438672479855086E-11</v>
      </c>
      <c r="R57">
        <v>18.251000000000001</v>
      </c>
      <c r="S57">
        <v>11.813000000000001</v>
      </c>
      <c r="T57">
        <v>2345</v>
      </c>
      <c r="U57">
        <v>2331</v>
      </c>
      <c r="V57">
        <v>206</v>
      </c>
      <c r="W57">
        <v>1.4529999999999994</v>
      </c>
      <c r="X57">
        <v>0.296875</v>
      </c>
      <c r="Y57">
        <v>1</v>
      </c>
      <c r="Z57">
        <v>1.296875</v>
      </c>
      <c r="AA57">
        <v>30.235000000000003</v>
      </c>
      <c r="AB57">
        <v>0.359375</v>
      </c>
      <c r="AC57">
        <v>29.78125</v>
      </c>
      <c r="AD57">
        <v>30.140625</v>
      </c>
      <c r="AE57">
        <v>371155</v>
      </c>
      <c r="AF57">
        <v>2345</v>
      </c>
      <c r="AG57">
        <v>372492</v>
      </c>
      <c r="AH57">
        <v>2537</v>
      </c>
      <c r="AI57" s="1">
        <v>1.2046412037037038E-2</v>
      </c>
      <c r="AJ57" s="1">
        <v>1.2434259259259259E-2</v>
      </c>
    </row>
    <row r="58" spans="1:36" x14ac:dyDescent="0.25">
      <c r="A58" t="s">
        <v>40</v>
      </c>
      <c r="B58">
        <v>7</v>
      </c>
      <c r="C58" t="s">
        <v>34</v>
      </c>
      <c r="D58" t="s">
        <v>35</v>
      </c>
      <c r="E58" t="s">
        <v>128</v>
      </c>
      <c r="F58">
        <v>0</v>
      </c>
      <c r="G58">
        <v>5.7300002083855288</v>
      </c>
      <c r="I58">
        <v>206</v>
      </c>
      <c r="J58">
        <v>273</v>
      </c>
      <c r="K58">
        <v>207</v>
      </c>
      <c r="L58">
        <v>273</v>
      </c>
      <c r="M58">
        <v>273</v>
      </c>
      <c r="N58">
        <v>210</v>
      </c>
      <c r="O58">
        <v>210</v>
      </c>
      <c r="P58">
        <v>206</v>
      </c>
      <c r="Q58">
        <v>1.4438672479855086E-11</v>
      </c>
      <c r="R58">
        <v>18.777000000000001</v>
      </c>
      <c r="S58">
        <v>12.42</v>
      </c>
      <c r="T58">
        <v>2345</v>
      </c>
      <c r="U58">
        <v>2331</v>
      </c>
      <c r="V58">
        <v>206</v>
      </c>
      <c r="W58">
        <v>1.7020000000000017</v>
      </c>
      <c r="X58">
        <v>0.203125</v>
      </c>
      <c r="Y58">
        <v>0.921875</v>
      </c>
      <c r="Z58">
        <v>1.125</v>
      </c>
      <c r="AA58">
        <v>31.391000000000002</v>
      </c>
      <c r="AB58">
        <v>0.625</v>
      </c>
      <c r="AC58">
        <v>30.515625</v>
      </c>
      <c r="AD58">
        <v>31.140625</v>
      </c>
      <c r="AE58">
        <v>371155</v>
      </c>
      <c r="AF58">
        <v>2345</v>
      </c>
      <c r="AG58">
        <v>372492</v>
      </c>
      <c r="AH58">
        <v>2537</v>
      </c>
      <c r="AI58" s="1">
        <v>1.243599537037037E-2</v>
      </c>
      <c r="AJ58" s="1">
        <v>1.2840972222222222E-2</v>
      </c>
    </row>
    <row r="59" spans="1:36" x14ac:dyDescent="0.25">
      <c r="A59" t="s">
        <v>40</v>
      </c>
      <c r="B59">
        <v>8</v>
      </c>
      <c r="C59" t="s">
        <v>34</v>
      </c>
      <c r="D59" t="s">
        <v>35</v>
      </c>
      <c r="E59" t="s">
        <v>128</v>
      </c>
      <c r="F59">
        <v>0</v>
      </c>
      <c r="G59">
        <v>5.7300002083855288</v>
      </c>
      <c r="I59">
        <v>206</v>
      </c>
      <c r="J59">
        <v>273</v>
      </c>
      <c r="K59">
        <v>207</v>
      </c>
      <c r="L59">
        <v>273</v>
      </c>
      <c r="M59">
        <v>273</v>
      </c>
      <c r="N59">
        <v>210</v>
      </c>
      <c r="O59">
        <v>210</v>
      </c>
      <c r="P59">
        <v>206</v>
      </c>
      <c r="Q59">
        <v>1.4438672479855086E-11</v>
      </c>
      <c r="R59">
        <v>17.907</v>
      </c>
      <c r="S59">
        <v>11.284000000000001</v>
      </c>
      <c r="T59">
        <v>2345</v>
      </c>
      <c r="U59">
        <v>2331</v>
      </c>
      <c r="V59">
        <v>206</v>
      </c>
      <c r="W59">
        <v>1.3900000000000006</v>
      </c>
      <c r="X59">
        <v>0.203125</v>
      </c>
      <c r="Y59">
        <v>1.015625</v>
      </c>
      <c r="Z59">
        <v>1.21875</v>
      </c>
      <c r="AA59">
        <v>29.375</v>
      </c>
      <c r="AB59">
        <v>0.40625</v>
      </c>
      <c r="AC59">
        <v>28.796875</v>
      </c>
      <c r="AD59">
        <v>29.203125</v>
      </c>
      <c r="AE59">
        <v>371155</v>
      </c>
      <c r="AF59">
        <v>2345</v>
      </c>
      <c r="AG59">
        <v>372492</v>
      </c>
      <c r="AH59">
        <v>2537</v>
      </c>
      <c r="AI59" s="1">
        <v>1.2842939814814814E-2</v>
      </c>
      <c r="AJ59" s="1">
        <v>1.3223611111111111E-2</v>
      </c>
    </row>
    <row r="60" spans="1:36" x14ac:dyDescent="0.25">
      <c r="A60" t="s">
        <v>40</v>
      </c>
      <c r="B60">
        <v>9</v>
      </c>
      <c r="C60" t="s">
        <v>34</v>
      </c>
      <c r="D60" t="s">
        <v>35</v>
      </c>
      <c r="E60" t="s">
        <v>128</v>
      </c>
      <c r="F60">
        <v>0</v>
      </c>
      <c r="G60">
        <v>5.7300002083855288</v>
      </c>
      <c r="I60">
        <v>206</v>
      </c>
      <c r="J60">
        <v>273</v>
      </c>
      <c r="K60">
        <v>207</v>
      </c>
      <c r="L60">
        <v>273</v>
      </c>
      <c r="M60">
        <v>273</v>
      </c>
      <c r="N60">
        <v>210</v>
      </c>
      <c r="O60">
        <v>210</v>
      </c>
      <c r="P60">
        <v>206</v>
      </c>
      <c r="Q60">
        <v>1.4438672479855086E-11</v>
      </c>
      <c r="R60">
        <v>18.818000000000001</v>
      </c>
      <c r="S60">
        <v>11.994</v>
      </c>
      <c r="T60">
        <v>2345</v>
      </c>
      <c r="U60">
        <v>2331</v>
      </c>
      <c r="V60">
        <v>206</v>
      </c>
      <c r="W60">
        <v>1.6560000000000059</v>
      </c>
      <c r="X60">
        <v>0.21875</v>
      </c>
      <c r="Y60">
        <v>1.328125</v>
      </c>
      <c r="Z60">
        <v>1.546875</v>
      </c>
      <c r="AA60">
        <v>31.015999999999998</v>
      </c>
      <c r="AB60">
        <v>0.453125</v>
      </c>
      <c r="AC60">
        <v>30.4375</v>
      </c>
      <c r="AD60">
        <v>30.890625</v>
      </c>
      <c r="AE60">
        <v>371155</v>
      </c>
      <c r="AF60">
        <v>2345</v>
      </c>
      <c r="AG60">
        <v>372492</v>
      </c>
      <c r="AH60">
        <v>2537</v>
      </c>
      <c r="AI60" s="1">
        <v>1.3225578703703703E-2</v>
      </c>
      <c r="AJ60" s="1">
        <v>1.3627083333333333E-2</v>
      </c>
    </row>
    <row r="61" spans="1:36" x14ac:dyDescent="0.25">
      <c r="A61" t="s">
        <v>40</v>
      </c>
      <c r="B61">
        <v>10</v>
      </c>
      <c r="C61" t="s">
        <v>34</v>
      </c>
      <c r="D61" t="s">
        <v>35</v>
      </c>
      <c r="E61" t="s">
        <v>128</v>
      </c>
      <c r="F61">
        <v>0</v>
      </c>
      <c r="G61">
        <v>5.7300002083855288</v>
      </c>
      <c r="I61">
        <v>206</v>
      </c>
      <c r="J61">
        <v>273</v>
      </c>
      <c r="K61">
        <v>207</v>
      </c>
      <c r="L61">
        <v>273</v>
      </c>
      <c r="M61">
        <v>273</v>
      </c>
      <c r="N61">
        <v>210</v>
      </c>
      <c r="O61">
        <v>210</v>
      </c>
      <c r="P61">
        <v>206</v>
      </c>
      <c r="Q61">
        <v>1.4438672479855086E-11</v>
      </c>
      <c r="R61">
        <v>18.649999999999999</v>
      </c>
      <c r="S61">
        <v>12.045999999999999</v>
      </c>
      <c r="T61">
        <v>2345</v>
      </c>
      <c r="U61">
        <v>2331</v>
      </c>
      <c r="V61">
        <v>206</v>
      </c>
      <c r="W61">
        <v>1.3440000000000012</v>
      </c>
      <c r="X61">
        <v>0.25</v>
      </c>
      <c r="Y61">
        <v>1</v>
      </c>
      <c r="Z61">
        <v>1.25</v>
      </c>
      <c r="AA61">
        <v>30.89</v>
      </c>
      <c r="AB61">
        <v>0.453125</v>
      </c>
      <c r="AC61">
        <v>30.390625</v>
      </c>
      <c r="AD61">
        <v>30.84375</v>
      </c>
      <c r="AE61">
        <v>371155</v>
      </c>
      <c r="AF61">
        <v>2345</v>
      </c>
      <c r="AG61">
        <v>372492</v>
      </c>
      <c r="AH61">
        <v>2537</v>
      </c>
      <c r="AI61" s="1">
        <v>1.3629050925925926E-2</v>
      </c>
      <c r="AJ61" s="1">
        <v>1.4024537037037037E-2</v>
      </c>
    </row>
    <row r="62" spans="1:36" x14ac:dyDescent="0.25">
      <c r="A62" t="s">
        <v>103</v>
      </c>
      <c r="B62">
        <v>1</v>
      </c>
      <c r="C62" t="s">
        <v>129</v>
      </c>
      <c r="D62" t="s">
        <v>130</v>
      </c>
      <c r="E62" t="s">
        <v>131</v>
      </c>
      <c r="F62">
        <v>500</v>
      </c>
      <c r="G62">
        <v>0</v>
      </c>
      <c r="W62">
        <v>0.187</v>
      </c>
      <c r="X62">
        <v>1.5625E-2</v>
      </c>
      <c r="Y62">
        <v>6.25E-2</v>
      </c>
      <c r="Z62">
        <v>7.8125E-2</v>
      </c>
      <c r="AA62">
        <v>1.6E-2</v>
      </c>
      <c r="AB62">
        <v>1.5625E-2</v>
      </c>
      <c r="AC62">
        <v>1.5625E-2</v>
      </c>
      <c r="AD62">
        <v>3.125E-2</v>
      </c>
      <c r="AE62">
        <v>29729</v>
      </c>
      <c r="AF62">
        <v>73</v>
      </c>
      <c r="AG62">
        <v>29766</v>
      </c>
      <c r="AH62">
        <v>80</v>
      </c>
      <c r="AI62" s="1">
        <v>1.4026388888888889E-2</v>
      </c>
      <c r="AJ62" s="1">
        <v>1.4030324074074074E-2</v>
      </c>
    </row>
    <row r="63" spans="1:36" x14ac:dyDescent="0.25">
      <c r="A63" t="s">
        <v>103</v>
      </c>
      <c r="B63">
        <v>2</v>
      </c>
      <c r="C63" t="s">
        <v>129</v>
      </c>
      <c r="D63" t="s">
        <v>130</v>
      </c>
      <c r="E63" t="s">
        <v>131</v>
      </c>
      <c r="F63">
        <v>500</v>
      </c>
      <c r="G63">
        <v>0</v>
      </c>
      <c r="W63">
        <v>0.25</v>
      </c>
      <c r="X63">
        <v>1.5625E-2</v>
      </c>
      <c r="Y63">
        <v>7.8125E-2</v>
      </c>
      <c r="Z63">
        <v>9.375E-2</v>
      </c>
      <c r="AA63">
        <v>1.6E-2</v>
      </c>
      <c r="AB63">
        <v>0</v>
      </c>
      <c r="AC63">
        <v>0</v>
      </c>
      <c r="AD63">
        <v>0</v>
      </c>
      <c r="AE63">
        <v>29729</v>
      </c>
      <c r="AF63">
        <v>73</v>
      </c>
      <c r="AG63">
        <v>29766</v>
      </c>
      <c r="AH63">
        <v>80</v>
      </c>
      <c r="AI63" s="1">
        <v>1.4032175925925925E-2</v>
      </c>
      <c r="AJ63" s="1">
        <v>1.4036342592592593E-2</v>
      </c>
    </row>
    <row r="64" spans="1:36" x14ac:dyDescent="0.25">
      <c r="A64" t="s">
        <v>103</v>
      </c>
      <c r="B64">
        <v>3</v>
      </c>
      <c r="C64" t="s">
        <v>129</v>
      </c>
      <c r="D64" t="s">
        <v>130</v>
      </c>
      <c r="E64" t="s">
        <v>131</v>
      </c>
      <c r="F64">
        <v>500</v>
      </c>
      <c r="G64">
        <v>0</v>
      </c>
      <c r="W64">
        <v>0.187</v>
      </c>
      <c r="X64">
        <v>4.6875E-2</v>
      </c>
      <c r="Y64">
        <v>6.25E-2</v>
      </c>
      <c r="Z64">
        <v>0.109375</v>
      </c>
      <c r="AA64">
        <v>3.1E-2</v>
      </c>
      <c r="AB64">
        <v>0</v>
      </c>
      <c r="AC64">
        <v>0</v>
      </c>
      <c r="AD64">
        <v>0</v>
      </c>
      <c r="AE64">
        <v>29729</v>
      </c>
      <c r="AF64">
        <v>73</v>
      </c>
      <c r="AG64">
        <v>29766</v>
      </c>
      <c r="AH64">
        <v>80</v>
      </c>
      <c r="AI64" s="1">
        <v>1.4038078703703704E-2</v>
      </c>
      <c r="AJ64" s="1">
        <v>1.4041782407407407E-2</v>
      </c>
    </row>
    <row r="65" spans="1:36" x14ac:dyDescent="0.25">
      <c r="A65" t="s">
        <v>103</v>
      </c>
      <c r="B65">
        <v>4</v>
      </c>
      <c r="C65" t="s">
        <v>129</v>
      </c>
      <c r="D65" t="s">
        <v>130</v>
      </c>
      <c r="E65" t="s">
        <v>131</v>
      </c>
      <c r="F65">
        <v>500</v>
      </c>
      <c r="G65">
        <v>0</v>
      </c>
      <c r="W65">
        <v>0.23400000000000001</v>
      </c>
      <c r="X65">
        <v>4.6875E-2</v>
      </c>
      <c r="Y65">
        <v>6.25E-2</v>
      </c>
      <c r="Z65">
        <v>0.109375</v>
      </c>
      <c r="AA65">
        <v>3.2000000000000001E-2</v>
      </c>
      <c r="AB65">
        <v>1.5625E-2</v>
      </c>
      <c r="AC65">
        <v>0</v>
      </c>
      <c r="AD65">
        <v>1.5625E-2</v>
      </c>
      <c r="AE65">
        <v>29729</v>
      </c>
      <c r="AF65">
        <v>73</v>
      </c>
      <c r="AG65">
        <v>29766</v>
      </c>
      <c r="AH65">
        <v>80</v>
      </c>
      <c r="AI65" s="1">
        <v>1.4043518518518518E-2</v>
      </c>
      <c r="AJ65" s="1">
        <v>1.4047800925925925E-2</v>
      </c>
    </row>
    <row r="66" spans="1:36" x14ac:dyDescent="0.25">
      <c r="A66" t="s">
        <v>103</v>
      </c>
      <c r="B66">
        <v>5</v>
      </c>
      <c r="C66" t="s">
        <v>129</v>
      </c>
      <c r="D66" t="s">
        <v>130</v>
      </c>
      <c r="E66" t="s">
        <v>131</v>
      </c>
      <c r="F66">
        <v>500</v>
      </c>
      <c r="G66">
        <v>0</v>
      </c>
      <c r="W66">
        <v>0.21900000000000003</v>
      </c>
      <c r="X66">
        <v>3.125E-2</v>
      </c>
      <c r="Y66">
        <v>6.25E-2</v>
      </c>
      <c r="Z66">
        <v>9.375E-2</v>
      </c>
      <c r="AA66">
        <v>1.6E-2</v>
      </c>
      <c r="AB66">
        <v>1.5625E-2</v>
      </c>
      <c r="AC66">
        <v>0</v>
      </c>
      <c r="AD66">
        <v>1.5625E-2</v>
      </c>
      <c r="AE66">
        <v>29729</v>
      </c>
      <c r="AF66">
        <v>73</v>
      </c>
      <c r="AG66">
        <v>29766</v>
      </c>
      <c r="AH66">
        <v>80</v>
      </c>
      <c r="AI66" s="1">
        <v>1.4049537037037037E-2</v>
      </c>
      <c r="AJ66" s="1">
        <v>1.4053240740740741E-2</v>
      </c>
    </row>
    <row r="67" spans="1:36" x14ac:dyDescent="0.25">
      <c r="A67" t="s">
        <v>103</v>
      </c>
      <c r="B67">
        <v>6</v>
      </c>
      <c r="C67" t="s">
        <v>129</v>
      </c>
      <c r="D67" t="s">
        <v>130</v>
      </c>
      <c r="E67" t="s">
        <v>131</v>
      </c>
      <c r="F67">
        <v>500</v>
      </c>
      <c r="G67">
        <v>0</v>
      </c>
      <c r="W67">
        <v>0.24900000000000003</v>
      </c>
      <c r="X67">
        <v>4.6875E-2</v>
      </c>
      <c r="Y67">
        <v>4.6875E-2</v>
      </c>
      <c r="Z67">
        <v>9.375E-2</v>
      </c>
      <c r="AA67">
        <v>3.2000000000000001E-2</v>
      </c>
      <c r="AB67">
        <v>3.125E-2</v>
      </c>
      <c r="AC67">
        <v>0</v>
      </c>
      <c r="AD67">
        <v>3.125E-2</v>
      </c>
      <c r="AE67">
        <v>29729</v>
      </c>
      <c r="AF67">
        <v>73</v>
      </c>
      <c r="AG67">
        <v>29766</v>
      </c>
      <c r="AH67">
        <v>80</v>
      </c>
      <c r="AI67" s="1">
        <v>1.4055092592592593E-2</v>
      </c>
      <c r="AJ67" s="1">
        <v>1.4059375000000001E-2</v>
      </c>
    </row>
    <row r="68" spans="1:36" x14ac:dyDescent="0.25">
      <c r="A68" t="s">
        <v>103</v>
      </c>
      <c r="B68">
        <v>7</v>
      </c>
      <c r="C68" t="s">
        <v>129</v>
      </c>
      <c r="D68" t="s">
        <v>130</v>
      </c>
      <c r="E68" t="s">
        <v>131</v>
      </c>
      <c r="F68">
        <v>500</v>
      </c>
      <c r="G68">
        <v>0</v>
      </c>
      <c r="W68">
        <v>0.20300000000000001</v>
      </c>
      <c r="X68">
        <v>1.5625E-2</v>
      </c>
      <c r="Y68">
        <v>6.25E-2</v>
      </c>
      <c r="Z68">
        <v>7.8125E-2</v>
      </c>
      <c r="AA68">
        <v>3.2000000000000001E-2</v>
      </c>
      <c r="AB68">
        <v>0</v>
      </c>
      <c r="AC68">
        <v>3.125E-2</v>
      </c>
      <c r="AD68">
        <v>3.125E-2</v>
      </c>
      <c r="AE68">
        <v>29729</v>
      </c>
      <c r="AF68">
        <v>73</v>
      </c>
      <c r="AG68">
        <v>29766</v>
      </c>
      <c r="AH68">
        <v>80</v>
      </c>
      <c r="AI68" s="1">
        <v>1.4061458333333334E-2</v>
      </c>
      <c r="AJ68" s="1">
        <v>1.4065277777777777E-2</v>
      </c>
    </row>
    <row r="69" spans="1:36" x14ac:dyDescent="0.25">
      <c r="A69" t="s">
        <v>103</v>
      </c>
      <c r="B69">
        <v>8</v>
      </c>
      <c r="C69" t="s">
        <v>129</v>
      </c>
      <c r="D69" t="s">
        <v>130</v>
      </c>
      <c r="E69" t="s">
        <v>131</v>
      </c>
      <c r="F69">
        <v>500</v>
      </c>
      <c r="G69">
        <v>0</v>
      </c>
      <c r="W69">
        <v>0.17200000000000001</v>
      </c>
      <c r="X69">
        <v>4.6875E-2</v>
      </c>
      <c r="Y69">
        <v>7.8125E-2</v>
      </c>
      <c r="Z69">
        <v>0.125</v>
      </c>
      <c r="AA69">
        <v>3.1E-2</v>
      </c>
      <c r="AB69">
        <v>1.5625E-2</v>
      </c>
      <c r="AC69">
        <v>1.5625E-2</v>
      </c>
      <c r="AD69">
        <v>3.125E-2</v>
      </c>
      <c r="AE69">
        <v>29729</v>
      </c>
      <c r="AF69">
        <v>73</v>
      </c>
      <c r="AG69">
        <v>29766</v>
      </c>
      <c r="AH69">
        <v>80</v>
      </c>
      <c r="AI69" s="1">
        <v>1.4067013888888889E-2</v>
      </c>
      <c r="AJ69" s="1">
        <v>1.4070601851851851E-2</v>
      </c>
    </row>
    <row r="70" spans="1:36" x14ac:dyDescent="0.25">
      <c r="A70" t="s">
        <v>103</v>
      </c>
      <c r="B70">
        <v>9</v>
      </c>
      <c r="C70" t="s">
        <v>129</v>
      </c>
      <c r="D70" t="s">
        <v>130</v>
      </c>
      <c r="E70" t="s">
        <v>131</v>
      </c>
      <c r="F70">
        <v>500</v>
      </c>
      <c r="G70">
        <v>0</v>
      </c>
      <c r="W70">
        <v>0.20300000000000001</v>
      </c>
      <c r="X70">
        <v>6.25E-2</v>
      </c>
      <c r="Y70">
        <v>3.125E-2</v>
      </c>
      <c r="Z70">
        <v>9.375E-2</v>
      </c>
      <c r="AA70">
        <v>3.1E-2</v>
      </c>
      <c r="AB70">
        <v>0</v>
      </c>
      <c r="AC70">
        <v>0</v>
      </c>
      <c r="AD70">
        <v>0</v>
      </c>
      <c r="AE70">
        <v>29729</v>
      </c>
      <c r="AF70">
        <v>73</v>
      </c>
      <c r="AG70">
        <v>29766</v>
      </c>
      <c r="AH70">
        <v>80</v>
      </c>
      <c r="AI70" s="1">
        <v>1.4072685185185185E-2</v>
      </c>
      <c r="AJ70" s="1">
        <v>1.407650462962963E-2</v>
      </c>
    </row>
    <row r="71" spans="1:36" x14ac:dyDescent="0.25">
      <c r="A71" t="s">
        <v>103</v>
      </c>
      <c r="B71">
        <v>10</v>
      </c>
      <c r="C71" t="s">
        <v>129</v>
      </c>
      <c r="D71" t="s">
        <v>130</v>
      </c>
      <c r="E71" t="s">
        <v>131</v>
      </c>
      <c r="F71">
        <v>500</v>
      </c>
      <c r="G71">
        <v>0</v>
      </c>
      <c r="W71">
        <v>0.20299999999999999</v>
      </c>
      <c r="X71">
        <v>4.6875E-2</v>
      </c>
      <c r="Y71">
        <v>6.25E-2</v>
      </c>
      <c r="Z71">
        <v>0.109375</v>
      </c>
      <c r="AA71">
        <v>4.7000000000000014E-2</v>
      </c>
      <c r="AB71">
        <v>0</v>
      </c>
      <c r="AC71">
        <v>1.5625E-2</v>
      </c>
      <c r="AD71">
        <v>1.5625E-2</v>
      </c>
      <c r="AE71">
        <v>29729</v>
      </c>
      <c r="AF71">
        <v>73</v>
      </c>
      <c r="AG71">
        <v>29766</v>
      </c>
      <c r="AH71">
        <v>80</v>
      </c>
      <c r="AI71" s="1">
        <v>1.4078356481481482E-2</v>
      </c>
      <c r="AJ71" s="1">
        <v>1.4082638888888889E-2</v>
      </c>
    </row>
    <row r="72" spans="1:36" x14ac:dyDescent="0.25">
      <c r="A72" t="s">
        <v>105</v>
      </c>
      <c r="B72">
        <v>1</v>
      </c>
      <c r="C72" t="s">
        <v>104</v>
      </c>
      <c r="D72" t="s">
        <v>104</v>
      </c>
      <c r="E72" t="s">
        <v>132</v>
      </c>
      <c r="F72">
        <v>100</v>
      </c>
      <c r="G72">
        <v>6</v>
      </c>
      <c r="W72">
        <v>0.18799999999999997</v>
      </c>
      <c r="X72">
        <v>3.125E-2</v>
      </c>
      <c r="Y72">
        <v>9.375E-2</v>
      </c>
      <c r="Z72">
        <v>0.125</v>
      </c>
      <c r="AA72">
        <v>0.10900000000000001</v>
      </c>
      <c r="AB72">
        <v>1.5625E-2</v>
      </c>
      <c r="AC72">
        <v>3.125E-2</v>
      </c>
      <c r="AD72">
        <v>4.6875E-2</v>
      </c>
      <c r="AE72">
        <v>29729</v>
      </c>
      <c r="AF72">
        <v>73</v>
      </c>
      <c r="AG72">
        <v>29766</v>
      </c>
      <c r="AH72">
        <v>80</v>
      </c>
      <c r="AI72" s="1">
        <v>1.4084606481481481E-2</v>
      </c>
      <c r="AJ72" s="1">
        <v>1.4089467592592593E-2</v>
      </c>
    </row>
    <row r="73" spans="1:36" x14ac:dyDescent="0.25">
      <c r="A73" t="s">
        <v>105</v>
      </c>
      <c r="B73">
        <v>2</v>
      </c>
      <c r="C73" t="s">
        <v>104</v>
      </c>
      <c r="D73" t="s">
        <v>104</v>
      </c>
      <c r="E73" t="s">
        <v>132</v>
      </c>
      <c r="F73">
        <v>100</v>
      </c>
      <c r="G73">
        <v>6</v>
      </c>
      <c r="W73">
        <v>0.21899999999999997</v>
      </c>
      <c r="X73">
        <v>3.125E-2</v>
      </c>
      <c r="Y73">
        <v>0.109375</v>
      </c>
      <c r="Z73">
        <v>0.140625</v>
      </c>
      <c r="AA73">
        <v>7.8E-2</v>
      </c>
      <c r="AB73">
        <v>0</v>
      </c>
      <c r="AC73">
        <v>0</v>
      </c>
      <c r="AD73">
        <v>0</v>
      </c>
      <c r="AE73">
        <v>29729</v>
      </c>
      <c r="AF73">
        <v>73</v>
      </c>
      <c r="AG73">
        <v>29766</v>
      </c>
      <c r="AH73">
        <v>80</v>
      </c>
      <c r="AI73" s="1">
        <v>1.4091203703703703E-2</v>
      </c>
      <c r="AJ73" s="1">
        <v>1.4095833333333333E-2</v>
      </c>
    </row>
    <row r="74" spans="1:36" x14ac:dyDescent="0.25">
      <c r="A74" t="s">
        <v>105</v>
      </c>
      <c r="B74">
        <v>3</v>
      </c>
      <c r="C74" t="s">
        <v>104</v>
      </c>
      <c r="D74" t="s">
        <v>104</v>
      </c>
      <c r="E74" t="s">
        <v>132</v>
      </c>
      <c r="F74">
        <v>100</v>
      </c>
      <c r="G74">
        <v>6</v>
      </c>
      <c r="W74">
        <v>0.23499999999999999</v>
      </c>
      <c r="X74">
        <v>4.6875E-2</v>
      </c>
      <c r="Y74">
        <v>7.8125E-2</v>
      </c>
      <c r="Z74">
        <v>0.125</v>
      </c>
      <c r="AA74">
        <v>0.125</v>
      </c>
      <c r="AB74">
        <v>1.5625E-2</v>
      </c>
      <c r="AC74">
        <v>1.5625E-2</v>
      </c>
      <c r="AD74">
        <v>3.125E-2</v>
      </c>
      <c r="AE74">
        <v>29729</v>
      </c>
      <c r="AF74">
        <v>73</v>
      </c>
      <c r="AG74">
        <v>29766</v>
      </c>
      <c r="AH74">
        <v>80</v>
      </c>
      <c r="AI74" s="1">
        <v>1.4097569444444444E-2</v>
      </c>
      <c r="AJ74" s="1">
        <v>1.4103356481481482E-2</v>
      </c>
    </row>
    <row r="75" spans="1:36" x14ac:dyDescent="0.25">
      <c r="A75" t="s">
        <v>105</v>
      </c>
      <c r="B75">
        <v>4</v>
      </c>
      <c r="C75" t="s">
        <v>104</v>
      </c>
      <c r="D75" t="s">
        <v>104</v>
      </c>
      <c r="E75" t="s">
        <v>132</v>
      </c>
      <c r="F75">
        <v>100</v>
      </c>
      <c r="G75">
        <v>6</v>
      </c>
      <c r="W75">
        <v>0.23399999999999999</v>
      </c>
      <c r="X75">
        <v>4.6875E-2</v>
      </c>
      <c r="Y75">
        <v>6.25E-2</v>
      </c>
      <c r="Z75">
        <v>0.109375</v>
      </c>
      <c r="AA75">
        <v>7.8E-2</v>
      </c>
      <c r="AB75">
        <v>0</v>
      </c>
      <c r="AC75">
        <v>0</v>
      </c>
      <c r="AD75">
        <v>0</v>
      </c>
      <c r="AE75">
        <v>29729</v>
      </c>
      <c r="AF75">
        <v>73</v>
      </c>
      <c r="AG75">
        <v>29766</v>
      </c>
      <c r="AH75">
        <v>80</v>
      </c>
      <c r="AI75" s="1">
        <v>1.4104976851851851E-2</v>
      </c>
      <c r="AJ75" s="1">
        <v>1.4109375E-2</v>
      </c>
    </row>
    <row r="76" spans="1:36" x14ac:dyDescent="0.25">
      <c r="A76" t="s">
        <v>105</v>
      </c>
      <c r="B76">
        <v>5</v>
      </c>
      <c r="C76" t="s">
        <v>104</v>
      </c>
      <c r="D76" t="s">
        <v>104</v>
      </c>
      <c r="E76" t="s">
        <v>132</v>
      </c>
      <c r="F76">
        <v>100</v>
      </c>
      <c r="G76">
        <v>6</v>
      </c>
      <c r="W76">
        <v>0.17200000000000004</v>
      </c>
      <c r="X76">
        <v>0</v>
      </c>
      <c r="Y76">
        <v>9.375E-2</v>
      </c>
      <c r="Z76">
        <v>9.375E-2</v>
      </c>
      <c r="AA76">
        <v>0.34399999999999997</v>
      </c>
      <c r="AB76">
        <v>1.5625E-2</v>
      </c>
      <c r="AC76">
        <v>0</v>
      </c>
      <c r="AD76">
        <v>1.5625E-2</v>
      </c>
      <c r="AE76">
        <v>29729</v>
      </c>
      <c r="AF76">
        <v>73</v>
      </c>
      <c r="AG76">
        <v>29766</v>
      </c>
      <c r="AH76">
        <v>80</v>
      </c>
      <c r="AI76" s="1">
        <v>1.4111805555555556E-2</v>
      </c>
      <c r="AJ76" s="1">
        <v>1.4118981481481481E-2</v>
      </c>
    </row>
    <row r="77" spans="1:36" x14ac:dyDescent="0.25">
      <c r="A77" t="s">
        <v>105</v>
      </c>
      <c r="B77">
        <v>6</v>
      </c>
      <c r="C77" t="s">
        <v>104</v>
      </c>
      <c r="D77" t="s">
        <v>104</v>
      </c>
      <c r="E77" t="s">
        <v>132</v>
      </c>
      <c r="F77">
        <v>100</v>
      </c>
      <c r="G77">
        <v>6</v>
      </c>
      <c r="W77">
        <v>0.23399999999999999</v>
      </c>
      <c r="X77">
        <v>3.125E-2</v>
      </c>
      <c r="Y77">
        <v>0.109375</v>
      </c>
      <c r="Z77">
        <v>0.140625</v>
      </c>
      <c r="AA77">
        <v>0.188</v>
      </c>
      <c r="AB77">
        <v>0</v>
      </c>
      <c r="AC77">
        <v>3.125E-2</v>
      </c>
      <c r="AD77">
        <v>3.125E-2</v>
      </c>
      <c r="AE77">
        <v>29729</v>
      </c>
      <c r="AF77">
        <v>73</v>
      </c>
      <c r="AG77">
        <v>29766</v>
      </c>
      <c r="AH77">
        <v>80</v>
      </c>
      <c r="AI77" s="1">
        <v>1.4120601851851851E-2</v>
      </c>
      <c r="AJ77" s="1">
        <v>1.412638888888889E-2</v>
      </c>
    </row>
    <row r="78" spans="1:36" x14ac:dyDescent="0.25">
      <c r="A78" t="s">
        <v>105</v>
      </c>
      <c r="B78">
        <v>7</v>
      </c>
      <c r="C78" t="s">
        <v>104</v>
      </c>
      <c r="D78" t="s">
        <v>104</v>
      </c>
      <c r="E78" t="s">
        <v>132</v>
      </c>
      <c r="F78">
        <v>100</v>
      </c>
      <c r="G78">
        <v>6</v>
      </c>
      <c r="W78">
        <v>0.20300000000000001</v>
      </c>
      <c r="X78">
        <v>3.125E-2</v>
      </c>
      <c r="Y78">
        <v>6.25E-2</v>
      </c>
      <c r="Z78">
        <v>9.375E-2</v>
      </c>
      <c r="AA78">
        <v>6.3000000000000014E-2</v>
      </c>
      <c r="AB78">
        <v>1.5625E-2</v>
      </c>
      <c r="AC78">
        <v>1.5625E-2</v>
      </c>
      <c r="AD78">
        <v>3.125E-2</v>
      </c>
      <c r="AE78">
        <v>29729</v>
      </c>
      <c r="AF78">
        <v>73</v>
      </c>
      <c r="AG78">
        <v>29766</v>
      </c>
      <c r="AH78">
        <v>80</v>
      </c>
      <c r="AI78" s="1">
        <v>1.4128703703703704E-2</v>
      </c>
      <c r="AJ78" s="1">
        <v>1.4132754629629629E-2</v>
      </c>
    </row>
    <row r="79" spans="1:36" x14ac:dyDescent="0.25">
      <c r="A79" t="s">
        <v>105</v>
      </c>
      <c r="B79">
        <v>8</v>
      </c>
      <c r="C79" t="s">
        <v>104</v>
      </c>
      <c r="D79" t="s">
        <v>104</v>
      </c>
      <c r="E79" t="s">
        <v>132</v>
      </c>
      <c r="F79">
        <v>100</v>
      </c>
      <c r="G79">
        <v>6</v>
      </c>
      <c r="W79">
        <v>0.21900000000000003</v>
      </c>
      <c r="X79">
        <v>4.6875E-2</v>
      </c>
      <c r="Y79">
        <v>7.8125E-2</v>
      </c>
      <c r="Z79">
        <v>0.125</v>
      </c>
      <c r="AA79">
        <v>6.3E-2</v>
      </c>
      <c r="AB79">
        <v>4.6875E-2</v>
      </c>
      <c r="AC79">
        <v>3.125E-2</v>
      </c>
      <c r="AD79">
        <v>7.8125E-2</v>
      </c>
      <c r="AE79">
        <v>29729</v>
      </c>
      <c r="AF79">
        <v>73</v>
      </c>
      <c r="AG79">
        <v>29766</v>
      </c>
      <c r="AH79">
        <v>80</v>
      </c>
      <c r="AI79" s="1">
        <v>1.4134606481481481E-2</v>
      </c>
      <c r="AJ79" s="1">
        <v>1.413912037037037E-2</v>
      </c>
    </row>
    <row r="80" spans="1:36" x14ac:dyDescent="0.25">
      <c r="A80" t="s">
        <v>105</v>
      </c>
      <c r="B80">
        <v>9</v>
      </c>
      <c r="C80" t="s">
        <v>104</v>
      </c>
      <c r="D80" t="s">
        <v>104</v>
      </c>
      <c r="E80" t="s">
        <v>132</v>
      </c>
      <c r="F80">
        <v>100</v>
      </c>
      <c r="G80">
        <v>6</v>
      </c>
      <c r="W80">
        <v>0.25</v>
      </c>
      <c r="X80">
        <v>6.25E-2</v>
      </c>
      <c r="Y80">
        <v>6.25E-2</v>
      </c>
      <c r="Z80">
        <v>0.125</v>
      </c>
      <c r="AA80">
        <v>7.8000000000000014E-2</v>
      </c>
      <c r="AB80">
        <v>4.6875E-2</v>
      </c>
      <c r="AC80">
        <v>1.5625E-2</v>
      </c>
      <c r="AD80">
        <v>6.25E-2</v>
      </c>
      <c r="AE80">
        <v>29729</v>
      </c>
      <c r="AF80">
        <v>73</v>
      </c>
      <c r="AG80">
        <v>29766</v>
      </c>
      <c r="AH80">
        <v>80</v>
      </c>
      <c r="AI80" s="1">
        <v>1.4140625E-2</v>
      </c>
      <c r="AJ80" s="1">
        <v>1.4145370370370371E-2</v>
      </c>
    </row>
    <row r="81" spans="1:36" x14ac:dyDescent="0.25">
      <c r="A81" t="s">
        <v>105</v>
      </c>
      <c r="B81">
        <v>10</v>
      </c>
      <c r="C81" t="s">
        <v>104</v>
      </c>
      <c r="D81" t="s">
        <v>104</v>
      </c>
      <c r="E81" t="s">
        <v>132</v>
      </c>
      <c r="F81">
        <v>100</v>
      </c>
      <c r="G81">
        <v>6</v>
      </c>
      <c r="W81">
        <v>0.20299999999999999</v>
      </c>
      <c r="X81">
        <v>0</v>
      </c>
      <c r="Y81">
        <v>9.375E-2</v>
      </c>
      <c r="Z81">
        <v>9.375E-2</v>
      </c>
      <c r="AA81">
        <v>0.17200000000000001</v>
      </c>
      <c r="AB81">
        <v>0</v>
      </c>
      <c r="AC81">
        <v>0</v>
      </c>
      <c r="AD81">
        <v>0</v>
      </c>
      <c r="AE81">
        <v>29729</v>
      </c>
      <c r="AF81">
        <v>73</v>
      </c>
      <c r="AG81">
        <v>29766</v>
      </c>
      <c r="AH81">
        <v>80</v>
      </c>
      <c r="AI81" s="1">
        <v>1.4146875E-2</v>
      </c>
      <c r="AJ81" s="1">
        <v>1.4152314814814815E-2</v>
      </c>
    </row>
    <row r="82" spans="1:36" x14ac:dyDescent="0.25">
      <c r="A82" t="s">
        <v>106</v>
      </c>
      <c r="B82">
        <v>1</v>
      </c>
      <c r="C82" t="s">
        <v>42</v>
      </c>
      <c r="D82" t="s">
        <v>43</v>
      </c>
      <c r="E82" t="s">
        <v>128</v>
      </c>
      <c r="F82">
        <v>0</v>
      </c>
      <c r="G82">
        <v>4</v>
      </c>
      <c r="W82">
        <v>0.21900000000000003</v>
      </c>
      <c r="X82">
        <v>3.125E-2</v>
      </c>
      <c r="Y82">
        <v>9.375E-2</v>
      </c>
      <c r="Z82">
        <v>0.125</v>
      </c>
      <c r="AA82">
        <v>0.32800000000000001</v>
      </c>
      <c r="AB82">
        <v>0.25</v>
      </c>
      <c r="AC82">
        <v>1.671875</v>
      </c>
      <c r="AD82">
        <v>1.921875</v>
      </c>
      <c r="AE82">
        <v>29729</v>
      </c>
      <c r="AF82">
        <v>73</v>
      </c>
      <c r="AG82">
        <v>29766</v>
      </c>
      <c r="AH82">
        <v>80</v>
      </c>
      <c r="AI82" s="1">
        <v>1.4154398148148149E-2</v>
      </c>
      <c r="AJ82" s="1">
        <v>1.4161805555555556E-2</v>
      </c>
    </row>
    <row r="83" spans="1:36" x14ac:dyDescent="0.25">
      <c r="A83" t="s">
        <v>106</v>
      </c>
      <c r="B83">
        <v>2</v>
      </c>
      <c r="C83" t="s">
        <v>42</v>
      </c>
      <c r="D83" t="s">
        <v>43</v>
      </c>
      <c r="E83" t="s">
        <v>128</v>
      </c>
      <c r="F83">
        <v>0</v>
      </c>
      <c r="G83">
        <v>4</v>
      </c>
      <c r="W83">
        <v>0.20300000000000001</v>
      </c>
      <c r="X83">
        <v>3.125E-2</v>
      </c>
      <c r="Y83">
        <v>7.8125E-2</v>
      </c>
      <c r="Z83">
        <v>0.109375</v>
      </c>
      <c r="AA83">
        <v>0.26500000000000001</v>
      </c>
      <c r="AB83">
        <v>0.375</v>
      </c>
      <c r="AC83">
        <v>1.640625</v>
      </c>
      <c r="AD83">
        <v>2.015625</v>
      </c>
      <c r="AE83">
        <v>29729</v>
      </c>
      <c r="AF83">
        <v>73</v>
      </c>
      <c r="AG83">
        <v>29766</v>
      </c>
      <c r="AH83">
        <v>80</v>
      </c>
      <c r="AI83" s="1">
        <v>1.4163310185185185E-2</v>
      </c>
      <c r="AJ83" s="1">
        <v>1.4170023148148149E-2</v>
      </c>
    </row>
    <row r="84" spans="1:36" x14ac:dyDescent="0.25">
      <c r="A84" t="s">
        <v>106</v>
      </c>
      <c r="B84">
        <v>3</v>
      </c>
      <c r="C84" t="s">
        <v>42</v>
      </c>
      <c r="D84" t="s">
        <v>43</v>
      </c>
      <c r="E84" t="s">
        <v>128</v>
      </c>
      <c r="F84">
        <v>0</v>
      </c>
      <c r="G84">
        <v>4</v>
      </c>
      <c r="W84">
        <v>0.188</v>
      </c>
      <c r="X84">
        <v>6.25E-2</v>
      </c>
      <c r="Y84">
        <v>6.25E-2</v>
      </c>
      <c r="Z84">
        <v>0.125</v>
      </c>
      <c r="AA84">
        <v>0.25</v>
      </c>
      <c r="AB84">
        <v>0.5</v>
      </c>
      <c r="AC84">
        <v>1.546875</v>
      </c>
      <c r="AD84">
        <v>2.046875</v>
      </c>
      <c r="AE84">
        <v>29729</v>
      </c>
      <c r="AF84">
        <v>73</v>
      </c>
      <c r="AG84">
        <v>29766</v>
      </c>
      <c r="AH84">
        <v>80</v>
      </c>
      <c r="AI84" s="1">
        <v>1.4171643518518519E-2</v>
      </c>
      <c r="AJ84" s="1">
        <v>1.4177546296296296E-2</v>
      </c>
    </row>
    <row r="85" spans="1:36" x14ac:dyDescent="0.25">
      <c r="A85" t="s">
        <v>106</v>
      </c>
      <c r="B85">
        <v>4</v>
      </c>
      <c r="C85" t="s">
        <v>42</v>
      </c>
      <c r="D85" t="s">
        <v>43</v>
      </c>
      <c r="E85" t="s">
        <v>128</v>
      </c>
      <c r="F85">
        <v>0</v>
      </c>
      <c r="G85">
        <v>4</v>
      </c>
      <c r="W85">
        <v>0.251</v>
      </c>
      <c r="X85">
        <v>1.5625E-2</v>
      </c>
      <c r="Y85">
        <v>9.375E-2</v>
      </c>
      <c r="Z85">
        <v>0.109375</v>
      </c>
      <c r="AA85">
        <v>0.26500000000000001</v>
      </c>
      <c r="AB85">
        <v>0.296875</v>
      </c>
      <c r="AC85">
        <v>1.75</v>
      </c>
      <c r="AD85">
        <v>2.046875</v>
      </c>
      <c r="AE85">
        <v>29729</v>
      </c>
      <c r="AF85">
        <v>73</v>
      </c>
      <c r="AG85">
        <v>29766</v>
      </c>
      <c r="AH85">
        <v>80</v>
      </c>
      <c r="AI85" s="1">
        <v>1.4179513888888889E-2</v>
      </c>
      <c r="AJ85" s="1">
        <v>1.4186921296296296E-2</v>
      </c>
    </row>
    <row r="86" spans="1:36" x14ac:dyDescent="0.25">
      <c r="A86" t="s">
        <v>106</v>
      </c>
      <c r="B86">
        <v>5</v>
      </c>
      <c r="C86" t="s">
        <v>42</v>
      </c>
      <c r="D86" t="s">
        <v>43</v>
      </c>
      <c r="E86" t="s">
        <v>128</v>
      </c>
      <c r="F86">
        <v>0</v>
      </c>
      <c r="G86">
        <v>4</v>
      </c>
      <c r="W86">
        <v>0.23399999999999999</v>
      </c>
      <c r="X86">
        <v>6.25E-2</v>
      </c>
      <c r="Y86">
        <v>4.6875E-2</v>
      </c>
      <c r="Z86">
        <v>0.109375</v>
      </c>
      <c r="AA86">
        <v>0.26600000000000001</v>
      </c>
      <c r="AB86">
        <v>0.296875</v>
      </c>
      <c r="AC86">
        <v>1.765625</v>
      </c>
      <c r="AD86">
        <v>2.0625</v>
      </c>
      <c r="AE86">
        <v>29729</v>
      </c>
      <c r="AF86">
        <v>73</v>
      </c>
      <c r="AG86">
        <v>29766</v>
      </c>
      <c r="AH86">
        <v>80</v>
      </c>
      <c r="AI86" s="1">
        <v>1.4188425925925926E-2</v>
      </c>
      <c r="AJ86" s="1">
        <v>1.4195254629629629E-2</v>
      </c>
    </row>
    <row r="87" spans="1:36" x14ac:dyDescent="0.25">
      <c r="A87" t="s">
        <v>106</v>
      </c>
      <c r="B87">
        <v>6</v>
      </c>
      <c r="C87" t="s">
        <v>42</v>
      </c>
      <c r="D87" t="s">
        <v>43</v>
      </c>
      <c r="E87" t="s">
        <v>128</v>
      </c>
      <c r="F87">
        <v>0</v>
      </c>
      <c r="G87">
        <v>4</v>
      </c>
      <c r="W87">
        <v>0.17099999999999999</v>
      </c>
      <c r="X87">
        <v>4.6875E-2</v>
      </c>
      <c r="Y87">
        <v>4.6875E-2</v>
      </c>
      <c r="Z87">
        <v>9.375E-2</v>
      </c>
      <c r="AA87">
        <v>0.26600000000000001</v>
      </c>
      <c r="AB87">
        <v>0.3125</v>
      </c>
      <c r="AC87">
        <v>1.625</v>
      </c>
      <c r="AD87">
        <v>1.9375</v>
      </c>
      <c r="AE87">
        <v>29729</v>
      </c>
      <c r="AF87">
        <v>73</v>
      </c>
      <c r="AG87">
        <v>29766</v>
      </c>
      <c r="AH87">
        <v>80</v>
      </c>
      <c r="AI87" s="1">
        <v>1.4197453703703703E-2</v>
      </c>
      <c r="AJ87" s="1">
        <v>1.4203587962962963E-2</v>
      </c>
    </row>
    <row r="88" spans="1:36" x14ac:dyDescent="0.25">
      <c r="A88" t="s">
        <v>106</v>
      </c>
      <c r="B88">
        <v>7</v>
      </c>
      <c r="C88" t="s">
        <v>42</v>
      </c>
      <c r="D88" t="s">
        <v>43</v>
      </c>
      <c r="E88" t="s">
        <v>128</v>
      </c>
      <c r="F88">
        <v>0</v>
      </c>
      <c r="G88">
        <v>4</v>
      </c>
      <c r="W88">
        <v>0.21899999999999997</v>
      </c>
      <c r="X88">
        <v>4.6875E-2</v>
      </c>
      <c r="Y88">
        <v>3.125E-2</v>
      </c>
      <c r="Z88">
        <v>7.8125E-2</v>
      </c>
      <c r="AA88">
        <v>0.26600000000000001</v>
      </c>
      <c r="AB88">
        <v>0.453125</v>
      </c>
      <c r="AC88">
        <v>1.53125</v>
      </c>
      <c r="AD88">
        <v>1.984375</v>
      </c>
      <c r="AE88">
        <v>29729</v>
      </c>
      <c r="AF88">
        <v>73</v>
      </c>
      <c r="AG88">
        <v>29766</v>
      </c>
      <c r="AH88">
        <v>80</v>
      </c>
      <c r="AI88" s="1">
        <v>1.4205092592592592E-2</v>
      </c>
      <c r="AJ88" s="1">
        <v>1.4211689814814814E-2</v>
      </c>
    </row>
    <row r="89" spans="1:36" x14ac:dyDescent="0.25">
      <c r="A89" t="s">
        <v>106</v>
      </c>
      <c r="B89">
        <v>8</v>
      </c>
      <c r="C89" t="s">
        <v>42</v>
      </c>
      <c r="D89" t="s">
        <v>43</v>
      </c>
      <c r="E89" t="s">
        <v>128</v>
      </c>
      <c r="F89">
        <v>0</v>
      </c>
      <c r="G89">
        <v>4</v>
      </c>
      <c r="W89">
        <v>0.20300000000000001</v>
      </c>
      <c r="X89">
        <v>0</v>
      </c>
      <c r="Y89">
        <v>7.8125E-2</v>
      </c>
      <c r="Z89">
        <v>7.8125E-2</v>
      </c>
      <c r="AA89">
        <v>0.25</v>
      </c>
      <c r="AB89">
        <v>0.21875</v>
      </c>
      <c r="AC89">
        <v>1.640625</v>
      </c>
      <c r="AD89">
        <v>1.859375</v>
      </c>
      <c r="AE89">
        <v>29729</v>
      </c>
      <c r="AF89">
        <v>73</v>
      </c>
      <c r="AG89">
        <v>29766</v>
      </c>
      <c r="AH89">
        <v>80</v>
      </c>
      <c r="AI89" s="1">
        <v>1.4213194444444445E-2</v>
      </c>
      <c r="AJ89" s="1">
        <v>1.4219675925925926E-2</v>
      </c>
    </row>
    <row r="90" spans="1:36" x14ac:dyDescent="0.25">
      <c r="A90" t="s">
        <v>106</v>
      </c>
      <c r="B90">
        <v>9</v>
      </c>
      <c r="C90" t="s">
        <v>42</v>
      </c>
      <c r="D90" t="s">
        <v>43</v>
      </c>
      <c r="E90" t="s">
        <v>128</v>
      </c>
      <c r="F90">
        <v>0</v>
      </c>
      <c r="G90">
        <v>4</v>
      </c>
      <c r="W90">
        <v>0.17199999999999999</v>
      </c>
      <c r="X90">
        <v>3.125E-2</v>
      </c>
      <c r="Y90">
        <v>4.6875E-2</v>
      </c>
      <c r="Z90">
        <v>7.8125E-2</v>
      </c>
      <c r="AA90">
        <v>0.26600000000000001</v>
      </c>
      <c r="AB90">
        <v>0.421875</v>
      </c>
      <c r="AC90">
        <v>1.4375</v>
      </c>
      <c r="AD90">
        <v>1.859375</v>
      </c>
      <c r="AE90">
        <v>29729</v>
      </c>
      <c r="AF90">
        <v>73</v>
      </c>
      <c r="AG90">
        <v>29766</v>
      </c>
      <c r="AH90">
        <v>80</v>
      </c>
      <c r="AI90" s="1">
        <v>1.4221180555555556E-2</v>
      </c>
      <c r="AJ90" s="1">
        <v>1.4227430555555556E-2</v>
      </c>
    </row>
    <row r="91" spans="1:36" x14ac:dyDescent="0.25">
      <c r="A91" t="s">
        <v>106</v>
      </c>
      <c r="B91">
        <v>10</v>
      </c>
      <c r="C91" t="s">
        <v>42</v>
      </c>
      <c r="D91" t="s">
        <v>43</v>
      </c>
      <c r="E91" t="s">
        <v>128</v>
      </c>
      <c r="F91">
        <v>0</v>
      </c>
      <c r="G91">
        <v>4</v>
      </c>
      <c r="W91">
        <v>0.15599999999999997</v>
      </c>
      <c r="X91">
        <v>6.25E-2</v>
      </c>
      <c r="Y91">
        <v>4.6875E-2</v>
      </c>
      <c r="Z91">
        <v>0.109375</v>
      </c>
      <c r="AA91">
        <v>0.26600000000000001</v>
      </c>
      <c r="AB91">
        <v>0.203125</v>
      </c>
      <c r="AC91">
        <v>1.625</v>
      </c>
      <c r="AD91">
        <v>1.828125</v>
      </c>
      <c r="AE91">
        <v>29729</v>
      </c>
      <c r="AF91">
        <v>73</v>
      </c>
      <c r="AG91">
        <v>29766</v>
      </c>
      <c r="AH91">
        <v>80</v>
      </c>
      <c r="AI91" s="1">
        <v>1.4229398148148149E-2</v>
      </c>
      <c r="AJ91" s="1">
        <v>1.4235995370370371E-2</v>
      </c>
    </row>
    <row r="92" spans="1:36" x14ac:dyDescent="0.25">
      <c r="A92" t="s">
        <v>107</v>
      </c>
      <c r="B92">
        <v>1</v>
      </c>
      <c r="C92" t="s">
        <v>118</v>
      </c>
      <c r="D92" t="s">
        <v>119</v>
      </c>
      <c r="E92" t="s">
        <v>131</v>
      </c>
      <c r="F92">
        <v>500</v>
      </c>
      <c r="G92">
        <v>0</v>
      </c>
      <c r="W92">
        <v>0.17200000000000001</v>
      </c>
      <c r="X92">
        <v>4.6875E-2</v>
      </c>
      <c r="Y92">
        <v>4.6875E-2</v>
      </c>
      <c r="Z92">
        <v>9.375E-2</v>
      </c>
      <c r="AA92">
        <v>3.1E-2</v>
      </c>
      <c r="AB92">
        <v>0</v>
      </c>
      <c r="AC92">
        <v>1.5625E-2</v>
      </c>
      <c r="AD92">
        <v>1.5625E-2</v>
      </c>
      <c r="AE92">
        <v>29729</v>
      </c>
      <c r="AF92">
        <v>73</v>
      </c>
      <c r="AG92">
        <v>29766</v>
      </c>
      <c r="AH92">
        <v>80</v>
      </c>
      <c r="AI92" s="1">
        <v>1.4237847222222223E-2</v>
      </c>
      <c r="AJ92" s="1">
        <v>1.4241319444444444E-2</v>
      </c>
    </row>
    <row r="93" spans="1:36" x14ac:dyDescent="0.25">
      <c r="A93" t="s">
        <v>107</v>
      </c>
      <c r="B93">
        <v>2</v>
      </c>
      <c r="C93" t="s">
        <v>118</v>
      </c>
      <c r="D93" t="s">
        <v>119</v>
      </c>
      <c r="E93" t="s">
        <v>131</v>
      </c>
      <c r="F93">
        <v>500</v>
      </c>
      <c r="G93">
        <v>0</v>
      </c>
      <c r="W93">
        <v>0.21799999999999997</v>
      </c>
      <c r="X93">
        <v>4.6875E-2</v>
      </c>
      <c r="Y93">
        <v>7.8125E-2</v>
      </c>
      <c r="Z93">
        <v>0.125</v>
      </c>
      <c r="AA93">
        <v>3.2000000000000015E-2</v>
      </c>
      <c r="AB93">
        <v>3.125E-2</v>
      </c>
      <c r="AC93">
        <v>3.125E-2</v>
      </c>
      <c r="AD93">
        <v>6.25E-2</v>
      </c>
      <c r="AE93">
        <v>29729</v>
      </c>
      <c r="AF93">
        <v>73</v>
      </c>
      <c r="AG93">
        <v>29766</v>
      </c>
      <c r="AH93">
        <v>80</v>
      </c>
      <c r="AI93" s="1">
        <v>1.424363425925926E-2</v>
      </c>
      <c r="AJ93" s="1">
        <v>1.4247569444444445E-2</v>
      </c>
    </row>
    <row r="94" spans="1:36" x14ac:dyDescent="0.25">
      <c r="A94" t="s">
        <v>107</v>
      </c>
      <c r="B94">
        <v>3</v>
      </c>
      <c r="C94" t="s">
        <v>118</v>
      </c>
      <c r="D94" t="s">
        <v>119</v>
      </c>
      <c r="E94" t="s">
        <v>131</v>
      </c>
      <c r="F94">
        <v>500</v>
      </c>
      <c r="G94">
        <v>0</v>
      </c>
      <c r="W94">
        <v>0.187</v>
      </c>
      <c r="X94">
        <v>4.6875E-2</v>
      </c>
      <c r="Y94">
        <v>6.25E-2</v>
      </c>
      <c r="Z94">
        <v>0.109375</v>
      </c>
      <c r="AA94">
        <v>3.1E-2</v>
      </c>
      <c r="AB94">
        <v>0</v>
      </c>
      <c r="AC94">
        <v>0</v>
      </c>
      <c r="AD94">
        <v>0</v>
      </c>
      <c r="AE94">
        <v>29729</v>
      </c>
      <c r="AF94">
        <v>73</v>
      </c>
      <c r="AG94">
        <v>29766</v>
      </c>
      <c r="AH94">
        <v>80</v>
      </c>
      <c r="AI94" s="1">
        <v>1.4249305555555555E-2</v>
      </c>
      <c r="AJ94" s="1">
        <v>1.4253125E-2</v>
      </c>
    </row>
    <row r="95" spans="1:36" x14ac:dyDescent="0.25">
      <c r="A95" t="s">
        <v>107</v>
      </c>
      <c r="B95">
        <v>4</v>
      </c>
      <c r="C95" t="s">
        <v>118</v>
      </c>
      <c r="D95" t="s">
        <v>119</v>
      </c>
      <c r="E95" t="s">
        <v>131</v>
      </c>
      <c r="F95">
        <v>500</v>
      </c>
      <c r="G95">
        <v>0</v>
      </c>
      <c r="W95">
        <v>0.187</v>
      </c>
      <c r="X95">
        <v>0</v>
      </c>
      <c r="Y95">
        <v>7.8125E-2</v>
      </c>
      <c r="Z95">
        <v>7.8125E-2</v>
      </c>
      <c r="AA95">
        <v>3.2000000000000001E-2</v>
      </c>
      <c r="AB95">
        <v>0</v>
      </c>
      <c r="AC95">
        <v>0</v>
      </c>
      <c r="AD95">
        <v>0</v>
      </c>
      <c r="AE95">
        <v>29729</v>
      </c>
      <c r="AF95">
        <v>73</v>
      </c>
      <c r="AG95">
        <v>29766</v>
      </c>
      <c r="AH95">
        <v>80</v>
      </c>
      <c r="AI95" s="1">
        <v>1.4255439814814815E-2</v>
      </c>
      <c r="AJ95" s="1">
        <v>1.4259143518518518E-2</v>
      </c>
    </row>
    <row r="96" spans="1:36" x14ac:dyDescent="0.25">
      <c r="A96" t="s">
        <v>107</v>
      </c>
      <c r="B96">
        <v>5</v>
      </c>
      <c r="C96" t="s">
        <v>118</v>
      </c>
      <c r="D96" t="s">
        <v>119</v>
      </c>
      <c r="E96" t="s">
        <v>131</v>
      </c>
      <c r="F96">
        <v>500</v>
      </c>
      <c r="G96">
        <v>0</v>
      </c>
      <c r="W96">
        <v>0.17200000000000001</v>
      </c>
      <c r="X96">
        <v>3.125E-2</v>
      </c>
      <c r="Y96">
        <v>6.25E-2</v>
      </c>
      <c r="Z96">
        <v>9.375E-2</v>
      </c>
      <c r="AA96">
        <v>3.1E-2</v>
      </c>
      <c r="AB96">
        <v>1.5625E-2</v>
      </c>
      <c r="AC96">
        <v>1.5625E-2</v>
      </c>
      <c r="AD96">
        <v>3.125E-2</v>
      </c>
      <c r="AE96">
        <v>29729</v>
      </c>
      <c r="AF96">
        <v>73</v>
      </c>
      <c r="AG96">
        <v>29766</v>
      </c>
      <c r="AH96">
        <v>80</v>
      </c>
      <c r="AI96" s="1">
        <v>1.426087962962963E-2</v>
      </c>
      <c r="AJ96" s="1">
        <v>1.4264467592592592E-2</v>
      </c>
    </row>
    <row r="97" spans="1:36" x14ac:dyDescent="0.25">
      <c r="A97" t="s">
        <v>107</v>
      </c>
      <c r="B97">
        <v>6</v>
      </c>
      <c r="C97" t="s">
        <v>118</v>
      </c>
      <c r="D97" t="s">
        <v>119</v>
      </c>
      <c r="E97" t="s">
        <v>131</v>
      </c>
      <c r="F97">
        <v>500</v>
      </c>
      <c r="G97">
        <v>0</v>
      </c>
      <c r="W97">
        <v>0.17200000000000001</v>
      </c>
      <c r="X97">
        <v>3.125E-2</v>
      </c>
      <c r="Y97">
        <v>7.8125E-2</v>
      </c>
      <c r="Z97">
        <v>0.109375</v>
      </c>
      <c r="AA97">
        <v>3.1E-2</v>
      </c>
      <c r="AB97">
        <v>0</v>
      </c>
      <c r="AC97">
        <v>0</v>
      </c>
      <c r="AD97">
        <v>0</v>
      </c>
      <c r="AE97">
        <v>29729</v>
      </c>
      <c r="AF97">
        <v>73</v>
      </c>
      <c r="AG97">
        <v>29766</v>
      </c>
      <c r="AH97">
        <v>80</v>
      </c>
      <c r="AI97" s="1">
        <v>1.4266666666666667E-2</v>
      </c>
      <c r="AJ97" s="1">
        <v>1.4270254629629629E-2</v>
      </c>
    </row>
    <row r="98" spans="1:36" x14ac:dyDescent="0.25">
      <c r="A98" t="s">
        <v>107</v>
      </c>
      <c r="B98">
        <v>7</v>
      </c>
      <c r="C98" t="s">
        <v>118</v>
      </c>
      <c r="D98" t="s">
        <v>119</v>
      </c>
      <c r="E98" t="s">
        <v>131</v>
      </c>
      <c r="F98">
        <v>500</v>
      </c>
      <c r="G98">
        <v>0</v>
      </c>
      <c r="W98">
        <v>0.187</v>
      </c>
      <c r="X98">
        <v>1.5625E-2</v>
      </c>
      <c r="Y98">
        <v>6.25E-2</v>
      </c>
      <c r="Z98">
        <v>7.8125E-2</v>
      </c>
      <c r="AA98">
        <v>4.7E-2</v>
      </c>
      <c r="AB98">
        <v>1.5625E-2</v>
      </c>
      <c r="AC98">
        <v>0</v>
      </c>
      <c r="AD98">
        <v>1.5625E-2</v>
      </c>
      <c r="AE98">
        <v>29729</v>
      </c>
      <c r="AF98">
        <v>73</v>
      </c>
      <c r="AG98">
        <v>29766</v>
      </c>
      <c r="AH98">
        <v>80</v>
      </c>
      <c r="AI98" s="1">
        <v>1.4272453703703704E-2</v>
      </c>
      <c r="AJ98" s="1">
        <v>1.4276157407407408E-2</v>
      </c>
    </row>
    <row r="99" spans="1:36" x14ac:dyDescent="0.25">
      <c r="A99" t="s">
        <v>107</v>
      </c>
      <c r="B99">
        <v>8</v>
      </c>
      <c r="C99" t="s">
        <v>118</v>
      </c>
      <c r="D99" t="s">
        <v>119</v>
      </c>
      <c r="E99" t="s">
        <v>131</v>
      </c>
      <c r="F99">
        <v>500</v>
      </c>
      <c r="G99">
        <v>0</v>
      </c>
      <c r="W99">
        <v>0.187</v>
      </c>
      <c r="X99">
        <v>0</v>
      </c>
      <c r="Y99">
        <v>7.8125E-2</v>
      </c>
      <c r="Z99">
        <v>7.8125E-2</v>
      </c>
      <c r="AA99">
        <v>3.1E-2</v>
      </c>
      <c r="AB99">
        <v>0</v>
      </c>
      <c r="AC99">
        <v>3.125E-2</v>
      </c>
      <c r="AD99">
        <v>3.125E-2</v>
      </c>
      <c r="AE99">
        <v>29729</v>
      </c>
      <c r="AF99">
        <v>73</v>
      </c>
      <c r="AG99">
        <v>29766</v>
      </c>
      <c r="AH99">
        <v>80</v>
      </c>
      <c r="AI99" s="1">
        <v>1.4278240740740741E-2</v>
      </c>
      <c r="AJ99" s="1">
        <v>1.4282060185185186E-2</v>
      </c>
    </row>
    <row r="100" spans="1:36" x14ac:dyDescent="0.25">
      <c r="A100" t="s">
        <v>107</v>
      </c>
      <c r="B100">
        <v>9</v>
      </c>
      <c r="C100" t="s">
        <v>118</v>
      </c>
      <c r="D100" t="s">
        <v>119</v>
      </c>
      <c r="E100" t="s">
        <v>131</v>
      </c>
      <c r="F100">
        <v>500</v>
      </c>
      <c r="G100">
        <v>0</v>
      </c>
      <c r="W100">
        <v>0.23500000000000001</v>
      </c>
      <c r="X100">
        <v>1.5625E-2</v>
      </c>
      <c r="Y100">
        <v>7.8125E-2</v>
      </c>
      <c r="Z100">
        <v>9.375E-2</v>
      </c>
      <c r="AA100">
        <v>3.1E-2</v>
      </c>
      <c r="AB100">
        <v>0</v>
      </c>
      <c r="AC100">
        <v>0</v>
      </c>
      <c r="AD100">
        <v>0</v>
      </c>
      <c r="AE100">
        <v>29729</v>
      </c>
      <c r="AF100">
        <v>73</v>
      </c>
      <c r="AG100">
        <v>29766</v>
      </c>
      <c r="AH100">
        <v>80</v>
      </c>
      <c r="AI100" s="1">
        <v>1.4283333333333334E-2</v>
      </c>
      <c r="AJ100" s="1">
        <v>1.42875E-2</v>
      </c>
    </row>
    <row r="101" spans="1:36" x14ac:dyDescent="0.25">
      <c r="A101" t="s">
        <v>107</v>
      </c>
      <c r="B101">
        <v>10</v>
      </c>
      <c r="C101" t="s">
        <v>118</v>
      </c>
      <c r="D101" t="s">
        <v>119</v>
      </c>
      <c r="E101" t="s">
        <v>131</v>
      </c>
      <c r="F101">
        <v>500</v>
      </c>
      <c r="G101">
        <v>0</v>
      </c>
      <c r="W101">
        <v>0.187</v>
      </c>
      <c r="X101">
        <v>1.5625E-2</v>
      </c>
      <c r="Y101">
        <v>7.8125E-2</v>
      </c>
      <c r="Z101">
        <v>9.375E-2</v>
      </c>
      <c r="AA101">
        <v>3.1E-2</v>
      </c>
      <c r="AB101">
        <v>0</v>
      </c>
      <c r="AC101">
        <v>0</v>
      </c>
      <c r="AD101">
        <v>0</v>
      </c>
      <c r="AE101">
        <v>29729</v>
      </c>
      <c r="AF101">
        <v>73</v>
      </c>
      <c r="AG101">
        <v>29766</v>
      </c>
      <c r="AH101">
        <v>80</v>
      </c>
      <c r="AI101" s="1">
        <v>1.4289930555555556E-2</v>
      </c>
      <c r="AJ101" s="1">
        <v>1.4293518518518518E-2</v>
      </c>
    </row>
    <row r="102" spans="1:36" x14ac:dyDescent="0.25">
      <c r="A102" t="s">
        <v>108</v>
      </c>
      <c r="B102">
        <v>1</v>
      </c>
      <c r="C102" t="s">
        <v>120</v>
      </c>
      <c r="D102" t="s">
        <v>121</v>
      </c>
      <c r="E102" t="s">
        <v>128</v>
      </c>
      <c r="F102">
        <v>0</v>
      </c>
      <c r="G102">
        <v>34</v>
      </c>
      <c r="W102">
        <v>0.156</v>
      </c>
      <c r="X102">
        <v>4.6875E-2</v>
      </c>
      <c r="Y102">
        <v>6.25E-2</v>
      </c>
      <c r="Z102">
        <v>0.109375</v>
      </c>
      <c r="AA102">
        <v>9.4E-2</v>
      </c>
      <c r="AB102">
        <v>7.8125E-2</v>
      </c>
      <c r="AC102">
        <v>0.125</v>
      </c>
      <c r="AD102">
        <v>0.203125</v>
      </c>
      <c r="AE102">
        <v>29729</v>
      </c>
      <c r="AF102">
        <v>73</v>
      </c>
      <c r="AG102">
        <v>29766</v>
      </c>
      <c r="AH102">
        <v>80</v>
      </c>
      <c r="AI102" s="1">
        <v>1.429537037037037E-2</v>
      </c>
      <c r="AJ102" s="1">
        <v>1.4299537037037038E-2</v>
      </c>
    </row>
    <row r="103" spans="1:36" x14ac:dyDescent="0.25">
      <c r="A103" t="s">
        <v>108</v>
      </c>
      <c r="B103">
        <v>2</v>
      </c>
      <c r="C103" t="s">
        <v>120</v>
      </c>
      <c r="D103" t="s">
        <v>121</v>
      </c>
      <c r="E103" t="s">
        <v>128</v>
      </c>
      <c r="F103">
        <v>0</v>
      </c>
      <c r="G103">
        <v>34</v>
      </c>
      <c r="W103">
        <v>0.187</v>
      </c>
      <c r="X103">
        <v>0</v>
      </c>
      <c r="Y103">
        <v>0.125</v>
      </c>
      <c r="Z103">
        <v>0.125</v>
      </c>
      <c r="AA103">
        <v>7.8000000000000014E-2</v>
      </c>
      <c r="AB103">
        <v>6.25E-2</v>
      </c>
      <c r="AC103">
        <v>4.6875E-2</v>
      </c>
      <c r="AD103">
        <v>0.109375</v>
      </c>
      <c r="AE103">
        <v>29729</v>
      </c>
      <c r="AF103">
        <v>73</v>
      </c>
      <c r="AG103">
        <v>29766</v>
      </c>
      <c r="AH103">
        <v>80</v>
      </c>
      <c r="AI103" s="1">
        <v>1.430138888888889E-2</v>
      </c>
      <c r="AJ103" s="1">
        <v>1.4305787037037037E-2</v>
      </c>
    </row>
    <row r="104" spans="1:36" x14ac:dyDescent="0.25">
      <c r="A104" t="s">
        <v>108</v>
      </c>
      <c r="B104">
        <v>3</v>
      </c>
      <c r="C104" t="s">
        <v>120</v>
      </c>
      <c r="D104" t="s">
        <v>121</v>
      </c>
      <c r="E104" t="s">
        <v>128</v>
      </c>
      <c r="F104">
        <v>0</v>
      </c>
      <c r="G104">
        <v>34</v>
      </c>
      <c r="W104">
        <v>0.17199999999999999</v>
      </c>
      <c r="X104">
        <v>3.125E-2</v>
      </c>
      <c r="Y104">
        <v>6.25E-2</v>
      </c>
      <c r="Z104">
        <v>9.375E-2</v>
      </c>
      <c r="AA104">
        <v>7.8E-2</v>
      </c>
      <c r="AB104">
        <v>4.6875E-2</v>
      </c>
      <c r="AC104">
        <v>3.125E-2</v>
      </c>
      <c r="AD104">
        <v>7.8125E-2</v>
      </c>
      <c r="AE104">
        <v>29729</v>
      </c>
      <c r="AF104">
        <v>73</v>
      </c>
      <c r="AG104">
        <v>29766</v>
      </c>
      <c r="AH104">
        <v>80</v>
      </c>
      <c r="AI104" s="1">
        <v>1.4307407407407408E-2</v>
      </c>
      <c r="AJ104" s="1">
        <v>1.4311689814814815E-2</v>
      </c>
    </row>
    <row r="105" spans="1:36" x14ac:dyDescent="0.25">
      <c r="A105" t="s">
        <v>108</v>
      </c>
      <c r="B105">
        <v>4</v>
      </c>
      <c r="C105" t="s">
        <v>120</v>
      </c>
      <c r="D105" t="s">
        <v>121</v>
      </c>
      <c r="E105" t="s">
        <v>128</v>
      </c>
      <c r="F105">
        <v>0</v>
      </c>
      <c r="G105">
        <v>34</v>
      </c>
      <c r="W105">
        <v>0.21900000000000003</v>
      </c>
      <c r="X105">
        <v>3.125E-2</v>
      </c>
      <c r="Y105">
        <v>6.25E-2</v>
      </c>
      <c r="Z105">
        <v>9.375E-2</v>
      </c>
      <c r="AA105">
        <v>6.2000000000000013E-2</v>
      </c>
      <c r="AB105">
        <v>0</v>
      </c>
      <c r="AC105">
        <v>4.6875E-2</v>
      </c>
      <c r="AD105">
        <v>4.6875E-2</v>
      </c>
      <c r="AE105">
        <v>29729</v>
      </c>
      <c r="AF105">
        <v>73</v>
      </c>
      <c r="AG105">
        <v>29766</v>
      </c>
      <c r="AH105">
        <v>80</v>
      </c>
      <c r="AI105" s="1">
        <v>1.4314120370370371E-2</v>
      </c>
      <c r="AJ105" s="1">
        <v>1.4318287037037037E-2</v>
      </c>
    </row>
    <row r="106" spans="1:36" x14ac:dyDescent="0.25">
      <c r="A106" t="s">
        <v>108</v>
      </c>
      <c r="B106">
        <v>5</v>
      </c>
      <c r="C106" t="s">
        <v>120</v>
      </c>
      <c r="D106" t="s">
        <v>121</v>
      </c>
      <c r="E106" t="s">
        <v>128</v>
      </c>
      <c r="F106">
        <v>0</v>
      </c>
      <c r="G106">
        <v>34</v>
      </c>
      <c r="W106">
        <v>0.187</v>
      </c>
      <c r="X106">
        <v>6.25E-2</v>
      </c>
      <c r="Y106">
        <v>4.6875E-2</v>
      </c>
      <c r="Z106">
        <v>0.109375</v>
      </c>
      <c r="AA106">
        <v>7.8E-2</v>
      </c>
      <c r="AB106">
        <v>4.6875E-2</v>
      </c>
      <c r="AC106">
        <v>9.375E-2</v>
      </c>
      <c r="AD106">
        <v>0.140625</v>
      </c>
      <c r="AE106">
        <v>29729</v>
      </c>
      <c r="AF106">
        <v>73</v>
      </c>
      <c r="AG106">
        <v>29766</v>
      </c>
      <c r="AH106">
        <v>80</v>
      </c>
      <c r="AI106" s="1">
        <v>1.432037037037037E-2</v>
      </c>
      <c r="AJ106" s="1">
        <v>1.4324421296296297E-2</v>
      </c>
    </row>
    <row r="107" spans="1:36" x14ac:dyDescent="0.25">
      <c r="A107" t="s">
        <v>108</v>
      </c>
      <c r="B107">
        <v>6</v>
      </c>
      <c r="C107" t="s">
        <v>120</v>
      </c>
      <c r="D107" t="s">
        <v>121</v>
      </c>
      <c r="E107" t="s">
        <v>128</v>
      </c>
      <c r="F107">
        <v>0</v>
      </c>
      <c r="G107">
        <v>34</v>
      </c>
      <c r="W107">
        <v>0.21799999999999997</v>
      </c>
      <c r="X107">
        <v>4.6875E-2</v>
      </c>
      <c r="Y107">
        <v>6.25E-2</v>
      </c>
      <c r="Z107">
        <v>0.109375</v>
      </c>
      <c r="AA107">
        <v>7.8000000000000014E-2</v>
      </c>
      <c r="AB107">
        <v>4.6875E-2</v>
      </c>
      <c r="AC107">
        <v>7.8125E-2</v>
      </c>
      <c r="AD107">
        <v>0.125</v>
      </c>
      <c r="AE107">
        <v>29729</v>
      </c>
      <c r="AF107">
        <v>73</v>
      </c>
      <c r="AG107">
        <v>29766</v>
      </c>
      <c r="AH107">
        <v>80</v>
      </c>
      <c r="AI107" s="1">
        <v>1.4325925925925926E-2</v>
      </c>
      <c r="AJ107" s="1">
        <v>1.4330555555555555E-2</v>
      </c>
    </row>
    <row r="108" spans="1:36" x14ac:dyDescent="0.25">
      <c r="A108" t="s">
        <v>108</v>
      </c>
      <c r="B108">
        <v>7</v>
      </c>
      <c r="C108" t="s">
        <v>120</v>
      </c>
      <c r="D108" t="s">
        <v>121</v>
      </c>
      <c r="E108" t="s">
        <v>128</v>
      </c>
      <c r="F108">
        <v>0</v>
      </c>
      <c r="G108">
        <v>34</v>
      </c>
      <c r="W108">
        <v>0.18799999999999997</v>
      </c>
      <c r="X108">
        <v>4.6875E-2</v>
      </c>
      <c r="Y108">
        <v>3.125E-2</v>
      </c>
      <c r="Z108">
        <v>7.8125E-2</v>
      </c>
      <c r="AA108">
        <v>0.17200000000000001</v>
      </c>
      <c r="AB108">
        <v>0.25</v>
      </c>
      <c r="AC108">
        <v>0.453125</v>
      </c>
      <c r="AD108">
        <v>0.703125</v>
      </c>
      <c r="AE108">
        <v>29729</v>
      </c>
      <c r="AF108">
        <v>73</v>
      </c>
      <c r="AG108">
        <v>29766</v>
      </c>
      <c r="AH108">
        <v>80</v>
      </c>
      <c r="AI108" s="1">
        <v>1.4332407407407407E-2</v>
      </c>
      <c r="AJ108" s="1">
        <v>1.4337615740740741E-2</v>
      </c>
    </row>
    <row r="109" spans="1:36" x14ac:dyDescent="0.25">
      <c r="A109" t="s">
        <v>108</v>
      </c>
      <c r="B109">
        <v>8</v>
      </c>
      <c r="C109" t="s">
        <v>120</v>
      </c>
      <c r="D109" t="s">
        <v>121</v>
      </c>
      <c r="E109" t="s">
        <v>128</v>
      </c>
      <c r="F109">
        <v>0</v>
      </c>
      <c r="G109">
        <v>34</v>
      </c>
      <c r="W109">
        <v>0.17199999999999999</v>
      </c>
      <c r="X109">
        <v>1.5625E-2</v>
      </c>
      <c r="Y109">
        <v>6.25E-2</v>
      </c>
      <c r="Z109">
        <v>7.8125E-2</v>
      </c>
      <c r="AA109">
        <v>7.8E-2</v>
      </c>
      <c r="AB109">
        <v>6.25E-2</v>
      </c>
      <c r="AC109">
        <v>0.125</v>
      </c>
      <c r="AD109">
        <v>0.1875</v>
      </c>
      <c r="AE109">
        <v>29729</v>
      </c>
      <c r="AF109">
        <v>73</v>
      </c>
      <c r="AG109">
        <v>29766</v>
      </c>
      <c r="AH109">
        <v>80</v>
      </c>
      <c r="AI109" s="1">
        <v>1.4339467592592593E-2</v>
      </c>
      <c r="AJ109" s="1">
        <v>1.4343402777777778E-2</v>
      </c>
    </row>
    <row r="110" spans="1:36" x14ac:dyDescent="0.25">
      <c r="A110" t="s">
        <v>108</v>
      </c>
      <c r="B110">
        <v>9</v>
      </c>
      <c r="C110" t="s">
        <v>120</v>
      </c>
      <c r="D110" t="s">
        <v>121</v>
      </c>
      <c r="E110" t="s">
        <v>128</v>
      </c>
      <c r="F110">
        <v>0</v>
      </c>
      <c r="G110">
        <v>34</v>
      </c>
      <c r="W110">
        <v>0.20300000000000001</v>
      </c>
      <c r="X110">
        <v>1.5625E-2</v>
      </c>
      <c r="Y110">
        <v>9.375E-2</v>
      </c>
      <c r="Z110">
        <v>0.109375</v>
      </c>
      <c r="AA110">
        <v>0.125</v>
      </c>
      <c r="AB110">
        <v>7.8125E-2</v>
      </c>
      <c r="AC110">
        <v>4.6875E-2</v>
      </c>
      <c r="AD110">
        <v>0.125</v>
      </c>
      <c r="AE110">
        <v>29729</v>
      </c>
      <c r="AF110">
        <v>73</v>
      </c>
      <c r="AG110">
        <v>29766</v>
      </c>
      <c r="AH110">
        <v>80</v>
      </c>
      <c r="AI110" s="1">
        <v>1.4345370370370371E-2</v>
      </c>
      <c r="AJ110" s="1">
        <v>1.4350578703703704E-2</v>
      </c>
    </row>
    <row r="111" spans="1:36" x14ac:dyDescent="0.25">
      <c r="A111" t="s">
        <v>108</v>
      </c>
      <c r="B111">
        <v>10</v>
      </c>
      <c r="C111" t="s">
        <v>120</v>
      </c>
      <c r="D111" t="s">
        <v>121</v>
      </c>
      <c r="E111" t="s">
        <v>128</v>
      </c>
      <c r="F111">
        <v>0</v>
      </c>
      <c r="G111">
        <v>34</v>
      </c>
      <c r="W111">
        <v>0.188</v>
      </c>
      <c r="X111">
        <v>4.6875E-2</v>
      </c>
      <c r="Y111">
        <v>9.375E-2</v>
      </c>
      <c r="Z111">
        <v>0.140625</v>
      </c>
      <c r="AA111">
        <v>7.8E-2</v>
      </c>
      <c r="AB111">
        <v>4.6875E-2</v>
      </c>
      <c r="AC111">
        <v>0.125</v>
      </c>
      <c r="AD111">
        <v>0.171875</v>
      </c>
      <c r="AE111">
        <v>29729</v>
      </c>
      <c r="AF111">
        <v>73</v>
      </c>
      <c r="AG111">
        <v>29766</v>
      </c>
      <c r="AH111">
        <v>80</v>
      </c>
      <c r="AI111" s="1">
        <v>1.4352199074074075E-2</v>
      </c>
      <c r="AJ111" s="1">
        <v>1.4356134259259259E-2</v>
      </c>
    </row>
    <row r="112" spans="1:36" x14ac:dyDescent="0.25">
      <c r="A112" t="s">
        <v>109</v>
      </c>
      <c r="B112">
        <v>1</v>
      </c>
      <c r="C112" t="s">
        <v>122</v>
      </c>
      <c r="D112" t="s">
        <v>123</v>
      </c>
      <c r="E112" t="s">
        <v>132</v>
      </c>
      <c r="F112">
        <v>101</v>
      </c>
      <c r="G112">
        <v>4</v>
      </c>
      <c r="W112">
        <v>0.20299999999999985</v>
      </c>
      <c r="X112">
        <v>1.5625E-2</v>
      </c>
      <c r="Y112">
        <v>6.25E-2</v>
      </c>
      <c r="Z112">
        <v>7.8125E-2</v>
      </c>
      <c r="AA112">
        <v>2.0780000000000003</v>
      </c>
      <c r="AB112">
        <v>0.3125</v>
      </c>
      <c r="AC112">
        <v>0.421875</v>
      </c>
      <c r="AD112">
        <v>0.734375</v>
      </c>
      <c r="AE112">
        <v>29729</v>
      </c>
      <c r="AF112">
        <v>73</v>
      </c>
      <c r="AG112">
        <v>29766</v>
      </c>
      <c r="AH112">
        <v>80</v>
      </c>
      <c r="AI112" s="1">
        <v>1.435787037037037E-2</v>
      </c>
      <c r="AJ112" s="1">
        <v>1.4385069444444445E-2</v>
      </c>
    </row>
    <row r="113" spans="1:36" x14ac:dyDescent="0.25">
      <c r="A113" t="s">
        <v>109</v>
      </c>
      <c r="B113">
        <v>2</v>
      </c>
      <c r="C113" t="s">
        <v>122</v>
      </c>
      <c r="D113" t="s">
        <v>123</v>
      </c>
      <c r="E113" t="s">
        <v>132</v>
      </c>
      <c r="F113">
        <v>101</v>
      </c>
      <c r="G113">
        <v>4</v>
      </c>
      <c r="W113">
        <v>0.15600000000000014</v>
      </c>
      <c r="X113">
        <v>3.125E-2</v>
      </c>
      <c r="Y113">
        <v>4.6875E-2</v>
      </c>
      <c r="Z113">
        <v>7.8125E-2</v>
      </c>
      <c r="AA113">
        <v>2.0939999999999999</v>
      </c>
      <c r="AB113">
        <v>0.296875</v>
      </c>
      <c r="AC113">
        <v>0.53125</v>
      </c>
      <c r="AD113">
        <v>0.828125</v>
      </c>
      <c r="AE113">
        <v>29729</v>
      </c>
      <c r="AF113">
        <v>73</v>
      </c>
      <c r="AG113">
        <v>29766</v>
      </c>
      <c r="AH113">
        <v>80</v>
      </c>
      <c r="AI113" s="1">
        <v>1.4387268518518518E-2</v>
      </c>
      <c r="AJ113" s="1">
        <v>1.4414583333333333E-2</v>
      </c>
    </row>
    <row r="114" spans="1:36" x14ac:dyDescent="0.25">
      <c r="A114" t="s">
        <v>109</v>
      </c>
      <c r="B114">
        <v>3</v>
      </c>
      <c r="C114" t="s">
        <v>122</v>
      </c>
      <c r="D114" t="s">
        <v>123</v>
      </c>
      <c r="E114" t="s">
        <v>132</v>
      </c>
      <c r="F114">
        <v>101</v>
      </c>
      <c r="G114">
        <v>4</v>
      </c>
      <c r="W114">
        <v>0.15599999999999969</v>
      </c>
      <c r="X114">
        <v>1.5625E-2</v>
      </c>
      <c r="Y114">
        <v>7.8125E-2</v>
      </c>
      <c r="Z114">
        <v>9.375E-2</v>
      </c>
      <c r="AA114">
        <v>2.2970000000000002</v>
      </c>
      <c r="AB114">
        <v>0.296875</v>
      </c>
      <c r="AC114">
        <v>0.453125</v>
      </c>
      <c r="AD114">
        <v>0.75</v>
      </c>
      <c r="AE114">
        <v>29729</v>
      </c>
      <c r="AF114">
        <v>73</v>
      </c>
      <c r="AG114">
        <v>29766</v>
      </c>
      <c r="AH114">
        <v>80</v>
      </c>
      <c r="AI114" s="1">
        <v>1.4416550925925926E-2</v>
      </c>
      <c r="AJ114" s="1">
        <v>1.4446412037037037E-2</v>
      </c>
    </row>
    <row r="115" spans="1:36" x14ac:dyDescent="0.25">
      <c r="A115" t="s">
        <v>109</v>
      </c>
      <c r="B115">
        <v>4</v>
      </c>
      <c r="C115" t="s">
        <v>122</v>
      </c>
      <c r="D115" t="s">
        <v>123</v>
      </c>
      <c r="E115" t="s">
        <v>132</v>
      </c>
      <c r="F115">
        <v>101</v>
      </c>
      <c r="G115">
        <v>4</v>
      </c>
      <c r="W115">
        <v>0.20299999999999985</v>
      </c>
      <c r="X115">
        <v>4.6875E-2</v>
      </c>
      <c r="Y115">
        <v>6.25E-2</v>
      </c>
      <c r="Z115">
        <v>0.109375</v>
      </c>
      <c r="AA115">
        <v>2.4220000000000002</v>
      </c>
      <c r="AB115">
        <v>0.359375</v>
      </c>
      <c r="AC115">
        <v>0.4375</v>
      </c>
      <c r="AD115">
        <v>0.796875</v>
      </c>
      <c r="AE115">
        <v>29729</v>
      </c>
      <c r="AF115">
        <v>73</v>
      </c>
      <c r="AG115">
        <v>29766</v>
      </c>
      <c r="AH115">
        <v>80</v>
      </c>
      <c r="AI115" s="1">
        <v>1.4448842592592593E-2</v>
      </c>
      <c r="AJ115" s="1">
        <v>1.4480555555555556E-2</v>
      </c>
    </row>
    <row r="116" spans="1:36" x14ac:dyDescent="0.25">
      <c r="A116" t="s">
        <v>109</v>
      </c>
      <c r="B116">
        <v>5</v>
      </c>
      <c r="C116" t="s">
        <v>122</v>
      </c>
      <c r="D116" t="s">
        <v>123</v>
      </c>
      <c r="E116" t="s">
        <v>132</v>
      </c>
      <c r="F116">
        <v>101</v>
      </c>
      <c r="G116">
        <v>4</v>
      </c>
      <c r="W116">
        <v>0.18799999999999972</v>
      </c>
      <c r="X116">
        <v>3.125E-2</v>
      </c>
      <c r="Y116">
        <v>6.25E-2</v>
      </c>
      <c r="Z116">
        <v>9.375E-2</v>
      </c>
      <c r="AA116">
        <v>2.14</v>
      </c>
      <c r="AB116">
        <v>0.21875</v>
      </c>
      <c r="AC116">
        <v>0.5625</v>
      </c>
      <c r="AD116">
        <v>0.78125</v>
      </c>
      <c r="AE116">
        <v>29729</v>
      </c>
      <c r="AF116">
        <v>73</v>
      </c>
      <c r="AG116">
        <v>29766</v>
      </c>
      <c r="AH116">
        <v>80</v>
      </c>
      <c r="AI116" s="1">
        <v>1.448275462962963E-2</v>
      </c>
      <c r="AJ116" s="1">
        <v>1.4511342592592593E-2</v>
      </c>
    </row>
    <row r="117" spans="1:36" x14ac:dyDescent="0.25">
      <c r="A117" t="s">
        <v>109</v>
      </c>
      <c r="B117">
        <v>6</v>
      </c>
      <c r="C117" t="s">
        <v>122</v>
      </c>
      <c r="D117" t="s">
        <v>123</v>
      </c>
      <c r="E117" t="s">
        <v>132</v>
      </c>
      <c r="F117">
        <v>101</v>
      </c>
      <c r="G117">
        <v>4</v>
      </c>
      <c r="W117">
        <v>0.21899999999999986</v>
      </c>
      <c r="X117">
        <v>4.6875E-2</v>
      </c>
      <c r="Y117">
        <v>3.125E-2</v>
      </c>
      <c r="Z117">
        <v>7.8125E-2</v>
      </c>
      <c r="AA117">
        <v>2.016</v>
      </c>
      <c r="AB117">
        <v>0.234375</v>
      </c>
      <c r="AC117">
        <v>0.515625</v>
      </c>
      <c r="AD117">
        <v>0.75</v>
      </c>
      <c r="AE117">
        <v>29729</v>
      </c>
      <c r="AF117">
        <v>73</v>
      </c>
      <c r="AG117">
        <v>29766</v>
      </c>
      <c r="AH117">
        <v>80</v>
      </c>
      <c r="AI117" s="1">
        <v>1.4513773148148149E-2</v>
      </c>
      <c r="AJ117" s="1">
        <v>1.4540740740740741E-2</v>
      </c>
    </row>
    <row r="118" spans="1:36" x14ac:dyDescent="0.25">
      <c r="A118" t="s">
        <v>109</v>
      </c>
      <c r="B118">
        <v>7</v>
      </c>
      <c r="C118" t="s">
        <v>122</v>
      </c>
      <c r="D118" t="s">
        <v>123</v>
      </c>
      <c r="E118" t="s">
        <v>132</v>
      </c>
      <c r="F118">
        <v>101</v>
      </c>
      <c r="G118">
        <v>4</v>
      </c>
      <c r="W118">
        <v>0.18699999999999983</v>
      </c>
      <c r="X118">
        <v>1.5625E-2</v>
      </c>
      <c r="Y118">
        <v>6.25E-2</v>
      </c>
      <c r="Z118">
        <v>7.8125E-2</v>
      </c>
      <c r="AA118">
        <v>2.157</v>
      </c>
      <c r="AB118">
        <v>0.28125</v>
      </c>
      <c r="AC118">
        <v>0.421875</v>
      </c>
      <c r="AD118">
        <v>0.703125</v>
      </c>
      <c r="AE118">
        <v>29729</v>
      </c>
      <c r="AF118">
        <v>73</v>
      </c>
      <c r="AG118">
        <v>29766</v>
      </c>
      <c r="AH118">
        <v>80</v>
      </c>
      <c r="AI118" s="1">
        <v>1.4542939814814814E-2</v>
      </c>
      <c r="AJ118" s="1">
        <v>1.4571180555555556E-2</v>
      </c>
    </row>
    <row r="119" spans="1:36" x14ac:dyDescent="0.25">
      <c r="A119" t="s">
        <v>109</v>
      </c>
      <c r="B119">
        <v>8</v>
      </c>
      <c r="C119" t="s">
        <v>122</v>
      </c>
      <c r="D119" t="s">
        <v>123</v>
      </c>
      <c r="E119" t="s">
        <v>132</v>
      </c>
      <c r="F119">
        <v>101</v>
      </c>
      <c r="G119">
        <v>4</v>
      </c>
      <c r="W119">
        <v>0.23399999999999954</v>
      </c>
      <c r="X119">
        <v>3.125E-2</v>
      </c>
      <c r="Y119">
        <v>6.25E-2</v>
      </c>
      <c r="Z119">
        <v>9.375E-2</v>
      </c>
      <c r="AA119">
        <v>2.0940000000000003</v>
      </c>
      <c r="AB119">
        <v>0.234375</v>
      </c>
      <c r="AC119">
        <v>0.5625</v>
      </c>
      <c r="AD119">
        <v>0.796875</v>
      </c>
      <c r="AE119">
        <v>29729</v>
      </c>
      <c r="AF119">
        <v>73</v>
      </c>
      <c r="AG119">
        <v>29766</v>
      </c>
      <c r="AH119">
        <v>80</v>
      </c>
      <c r="AI119" s="1">
        <v>1.4573263888888889E-2</v>
      </c>
      <c r="AJ119" s="1">
        <v>1.4601273148148148E-2</v>
      </c>
    </row>
    <row r="120" spans="1:36" x14ac:dyDescent="0.25">
      <c r="A120" t="s">
        <v>109</v>
      </c>
      <c r="B120">
        <v>9</v>
      </c>
      <c r="C120" t="s">
        <v>122</v>
      </c>
      <c r="D120" t="s">
        <v>123</v>
      </c>
      <c r="E120" t="s">
        <v>132</v>
      </c>
      <c r="F120">
        <v>101</v>
      </c>
      <c r="G120">
        <v>4</v>
      </c>
      <c r="W120">
        <v>0.18699999999999983</v>
      </c>
      <c r="X120">
        <v>6.25E-2</v>
      </c>
      <c r="Y120">
        <v>4.6875E-2</v>
      </c>
      <c r="Z120">
        <v>0.109375</v>
      </c>
      <c r="AA120">
        <v>2.1100000000000003</v>
      </c>
      <c r="AB120">
        <v>0.296875</v>
      </c>
      <c r="AC120">
        <v>0.453125</v>
      </c>
      <c r="AD120">
        <v>0.75</v>
      </c>
      <c r="AE120">
        <v>29729</v>
      </c>
      <c r="AF120">
        <v>73</v>
      </c>
      <c r="AG120">
        <v>29766</v>
      </c>
      <c r="AH120">
        <v>80</v>
      </c>
      <c r="AI120" s="1">
        <v>1.4604050925925927E-2</v>
      </c>
      <c r="AJ120" s="1">
        <v>1.4632175925925925E-2</v>
      </c>
    </row>
    <row r="121" spans="1:36" x14ac:dyDescent="0.25">
      <c r="A121" t="s">
        <v>109</v>
      </c>
      <c r="B121">
        <v>10</v>
      </c>
      <c r="C121" t="s">
        <v>122</v>
      </c>
      <c r="D121" t="s">
        <v>123</v>
      </c>
      <c r="E121" t="s">
        <v>132</v>
      </c>
      <c r="F121">
        <v>101</v>
      </c>
      <c r="G121">
        <v>4</v>
      </c>
      <c r="W121">
        <v>0.18799999999999972</v>
      </c>
      <c r="X121">
        <v>3.125E-2</v>
      </c>
      <c r="Y121">
        <v>7.8125E-2</v>
      </c>
      <c r="Z121">
        <v>0.109375</v>
      </c>
      <c r="AA121">
        <v>2.0620000000000003</v>
      </c>
      <c r="AB121">
        <v>0.171875</v>
      </c>
      <c r="AC121">
        <v>0.625</v>
      </c>
      <c r="AD121">
        <v>0.796875</v>
      </c>
      <c r="AE121">
        <v>29729</v>
      </c>
      <c r="AF121">
        <v>73</v>
      </c>
      <c r="AG121">
        <v>29766</v>
      </c>
      <c r="AH121">
        <v>80</v>
      </c>
      <c r="AI121" s="1">
        <v>1.4634722222222223E-2</v>
      </c>
      <c r="AJ121" s="1">
        <v>1.4661689814814815E-2</v>
      </c>
    </row>
    <row r="122" spans="1:36" x14ac:dyDescent="0.25">
      <c r="A122" t="s">
        <v>110</v>
      </c>
      <c r="B122">
        <v>1</v>
      </c>
      <c r="C122" t="s">
        <v>124</v>
      </c>
      <c r="D122" t="s">
        <v>125</v>
      </c>
      <c r="E122" t="s">
        <v>128</v>
      </c>
      <c r="F122">
        <v>0</v>
      </c>
      <c r="G122">
        <v>4</v>
      </c>
      <c r="W122">
        <v>0.20300000000000296</v>
      </c>
      <c r="X122">
        <v>3.125E-2</v>
      </c>
      <c r="Y122">
        <v>6.25E-2</v>
      </c>
      <c r="Z122">
        <v>9.375E-2</v>
      </c>
      <c r="AA122">
        <v>39.094000000000001</v>
      </c>
      <c r="AB122">
        <v>0.609375</v>
      </c>
      <c r="AC122">
        <v>39.015625</v>
      </c>
      <c r="AD122">
        <v>39.625</v>
      </c>
      <c r="AE122">
        <v>29729</v>
      </c>
      <c r="AF122">
        <v>73</v>
      </c>
      <c r="AG122">
        <v>29766</v>
      </c>
      <c r="AH122">
        <v>80</v>
      </c>
      <c r="AI122" s="1">
        <v>1.4664930555555556E-2</v>
      </c>
      <c r="AJ122" s="1">
        <v>1.5120949074074075E-2</v>
      </c>
    </row>
    <row r="123" spans="1:36" x14ac:dyDescent="0.25">
      <c r="A123" t="s">
        <v>110</v>
      </c>
      <c r="B123">
        <v>2</v>
      </c>
      <c r="C123" t="s">
        <v>124</v>
      </c>
      <c r="D123" t="s">
        <v>125</v>
      </c>
      <c r="E123" t="s">
        <v>128</v>
      </c>
      <c r="F123">
        <v>0</v>
      </c>
      <c r="G123">
        <v>4</v>
      </c>
      <c r="W123">
        <v>0.18699999999999761</v>
      </c>
      <c r="X123">
        <v>4.6875E-2</v>
      </c>
      <c r="Y123">
        <v>4.6875E-2</v>
      </c>
      <c r="Z123">
        <v>9.375E-2</v>
      </c>
      <c r="AA123">
        <v>39.922000000000004</v>
      </c>
      <c r="AB123">
        <v>1.203125</v>
      </c>
      <c r="AC123">
        <v>39.90625</v>
      </c>
      <c r="AD123">
        <v>41.109375</v>
      </c>
      <c r="AE123">
        <v>29729</v>
      </c>
      <c r="AF123">
        <v>73</v>
      </c>
      <c r="AG123">
        <v>29766</v>
      </c>
      <c r="AH123">
        <v>80</v>
      </c>
      <c r="AI123" s="1">
        <v>1.5123032407407408E-2</v>
      </c>
      <c r="AJ123" s="1">
        <v>1.5588310185185186E-2</v>
      </c>
    </row>
    <row r="124" spans="1:36" x14ac:dyDescent="0.25">
      <c r="A124" t="s">
        <v>110</v>
      </c>
      <c r="B124">
        <v>3</v>
      </c>
      <c r="C124" t="s">
        <v>124</v>
      </c>
      <c r="D124" t="s">
        <v>125</v>
      </c>
      <c r="E124" t="s">
        <v>128</v>
      </c>
      <c r="F124">
        <v>0</v>
      </c>
      <c r="G124">
        <v>4</v>
      </c>
      <c r="W124">
        <v>0.60899999999999466</v>
      </c>
      <c r="X124">
        <v>4.6875E-2</v>
      </c>
      <c r="Y124">
        <v>6.25E-2</v>
      </c>
      <c r="Z124">
        <v>0.109375</v>
      </c>
      <c r="AA124">
        <v>40.157000000000004</v>
      </c>
      <c r="AB124">
        <v>0.65625</v>
      </c>
      <c r="AC124">
        <v>39.78125</v>
      </c>
      <c r="AD124">
        <v>40.4375</v>
      </c>
      <c r="AE124">
        <v>29729</v>
      </c>
      <c r="AF124">
        <v>73</v>
      </c>
      <c r="AG124">
        <v>29766</v>
      </c>
      <c r="AH124">
        <v>80</v>
      </c>
      <c r="AI124" s="1">
        <v>1.5590162037037038E-2</v>
      </c>
      <c r="AJ124" s="1">
        <v>1.6064120370370371E-2</v>
      </c>
    </row>
    <row r="125" spans="1:36" x14ac:dyDescent="0.25">
      <c r="A125" t="s">
        <v>110</v>
      </c>
      <c r="B125">
        <v>4</v>
      </c>
      <c r="C125" t="s">
        <v>124</v>
      </c>
      <c r="D125" t="s">
        <v>125</v>
      </c>
      <c r="E125" t="s">
        <v>128</v>
      </c>
      <c r="F125">
        <v>0</v>
      </c>
      <c r="G125">
        <v>4</v>
      </c>
      <c r="W125">
        <v>0.18800000000000239</v>
      </c>
      <c r="X125">
        <v>1.5625E-2</v>
      </c>
      <c r="Y125">
        <v>6.25E-2</v>
      </c>
      <c r="Z125">
        <v>7.8125E-2</v>
      </c>
      <c r="AA125">
        <v>38.546999999999997</v>
      </c>
      <c r="AB125">
        <v>1.078125</v>
      </c>
      <c r="AC125">
        <v>38.140625</v>
      </c>
      <c r="AD125">
        <v>39.21875</v>
      </c>
      <c r="AE125">
        <v>29729</v>
      </c>
      <c r="AF125">
        <v>73</v>
      </c>
      <c r="AG125">
        <v>29766</v>
      </c>
      <c r="AH125">
        <v>80</v>
      </c>
      <c r="AI125" s="1">
        <v>1.6066319444444446E-2</v>
      </c>
      <c r="AJ125" s="1">
        <v>1.6515509259259258E-2</v>
      </c>
    </row>
    <row r="126" spans="1:36" x14ac:dyDescent="0.25">
      <c r="A126" t="s">
        <v>110</v>
      </c>
      <c r="B126">
        <v>5</v>
      </c>
      <c r="C126" t="s">
        <v>124</v>
      </c>
      <c r="D126" t="s">
        <v>125</v>
      </c>
      <c r="E126" t="s">
        <v>128</v>
      </c>
      <c r="F126">
        <v>0</v>
      </c>
      <c r="G126">
        <v>4</v>
      </c>
      <c r="W126">
        <v>0.20300000000000296</v>
      </c>
      <c r="X126">
        <v>1.5625E-2</v>
      </c>
      <c r="Y126">
        <v>7.8125E-2</v>
      </c>
      <c r="Z126">
        <v>9.375E-2</v>
      </c>
      <c r="AA126">
        <v>38.765999999999998</v>
      </c>
      <c r="AB126">
        <v>1.1875</v>
      </c>
      <c r="AC126">
        <v>38.453125</v>
      </c>
      <c r="AD126">
        <v>39.640625</v>
      </c>
      <c r="AE126">
        <v>29729</v>
      </c>
      <c r="AF126">
        <v>73</v>
      </c>
      <c r="AG126">
        <v>29766</v>
      </c>
      <c r="AH126">
        <v>80</v>
      </c>
      <c r="AI126" s="1">
        <v>1.6517708333333332E-2</v>
      </c>
      <c r="AJ126" s="1">
        <v>1.6969791666666668E-2</v>
      </c>
    </row>
    <row r="127" spans="1:36" x14ac:dyDescent="0.25">
      <c r="A127" t="s">
        <v>110</v>
      </c>
      <c r="B127">
        <v>6</v>
      </c>
      <c r="C127" t="s">
        <v>124</v>
      </c>
      <c r="D127" t="s">
        <v>125</v>
      </c>
      <c r="E127" t="s">
        <v>128</v>
      </c>
      <c r="F127">
        <v>0</v>
      </c>
      <c r="G127">
        <v>4</v>
      </c>
      <c r="W127">
        <v>0.23400000000000887</v>
      </c>
      <c r="X127">
        <v>3.125E-2</v>
      </c>
      <c r="Y127">
        <v>7.8125E-2</v>
      </c>
      <c r="Z127">
        <v>0.109375</v>
      </c>
      <c r="AA127">
        <v>38.687999999999995</v>
      </c>
      <c r="AB127">
        <v>1.0625</v>
      </c>
      <c r="AC127">
        <v>38.46875</v>
      </c>
      <c r="AD127">
        <v>39.53125</v>
      </c>
      <c r="AE127">
        <v>29729</v>
      </c>
      <c r="AF127">
        <v>73</v>
      </c>
      <c r="AG127">
        <v>29766</v>
      </c>
      <c r="AH127">
        <v>80</v>
      </c>
      <c r="AI127" s="1">
        <v>1.6971412037037038E-2</v>
      </c>
      <c r="AJ127" s="1">
        <v>1.7423148148148149E-2</v>
      </c>
    </row>
    <row r="128" spans="1:36" x14ac:dyDescent="0.25">
      <c r="A128" t="s">
        <v>110</v>
      </c>
      <c r="B128">
        <v>7</v>
      </c>
      <c r="C128" t="s">
        <v>124</v>
      </c>
      <c r="D128" t="s">
        <v>125</v>
      </c>
      <c r="E128" t="s">
        <v>128</v>
      </c>
      <c r="F128">
        <v>0</v>
      </c>
      <c r="G128">
        <v>4</v>
      </c>
      <c r="W128">
        <v>0.18700000000000472</v>
      </c>
      <c r="X128">
        <v>6.25E-2</v>
      </c>
      <c r="Y128">
        <v>4.6875E-2</v>
      </c>
      <c r="Z128">
        <v>0.109375</v>
      </c>
      <c r="AA128">
        <v>38.921999999999997</v>
      </c>
      <c r="AB128">
        <v>0.546875</v>
      </c>
      <c r="AC128">
        <v>38.546875</v>
      </c>
      <c r="AD128">
        <v>39.09375</v>
      </c>
      <c r="AE128">
        <v>29729</v>
      </c>
      <c r="AF128">
        <v>73</v>
      </c>
      <c r="AG128">
        <v>29766</v>
      </c>
      <c r="AH128">
        <v>80</v>
      </c>
      <c r="AI128" s="1">
        <v>1.7425E-2</v>
      </c>
      <c r="AJ128" s="1">
        <v>1.7878587962962964E-2</v>
      </c>
    </row>
    <row r="129" spans="1:36" x14ac:dyDescent="0.25">
      <c r="A129" t="s">
        <v>110</v>
      </c>
      <c r="B129">
        <v>8</v>
      </c>
      <c r="C129" t="s">
        <v>124</v>
      </c>
      <c r="D129" t="s">
        <v>125</v>
      </c>
      <c r="E129" t="s">
        <v>128</v>
      </c>
      <c r="F129">
        <v>0</v>
      </c>
      <c r="G129">
        <v>4</v>
      </c>
      <c r="W129">
        <v>0.23300000000000409</v>
      </c>
      <c r="X129">
        <v>3.125E-2</v>
      </c>
      <c r="Y129">
        <v>9.375E-2</v>
      </c>
      <c r="Z129">
        <v>0.125</v>
      </c>
      <c r="AA129">
        <v>40.61</v>
      </c>
      <c r="AB129">
        <v>0.796875</v>
      </c>
      <c r="AC129">
        <v>39.796875</v>
      </c>
      <c r="AD129">
        <v>40.59375</v>
      </c>
      <c r="AE129">
        <v>29729</v>
      </c>
      <c r="AF129">
        <v>73</v>
      </c>
      <c r="AG129">
        <v>29766</v>
      </c>
      <c r="AH129">
        <v>80</v>
      </c>
      <c r="AI129" s="1">
        <v>1.7880208333333335E-2</v>
      </c>
      <c r="AJ129" s="1">
        <v>1.8354050925925926E-2</v>
      </c>
    </row>
    <row r="130" spans="1:36" x14ac:dyDescent="0.25">
      <c r="A130" t="s">
        <v>110</v>
      </c>
      <c r="B130">
        <v>9</v>
      </c>
      <c r="C130" t="s">
        <v>124</v>
      </c>
      <c r="D130" t="s">
        <v>125</v>
      </c>
      <c r="E130" t="s">
        <v>128</v>
      </c>
      <c r="F130">
        <v>0</v>
      </c>
      <c r="G130">
        <v>4</v>
      </c>
      <c r="W130">
        <v>0.20300000000000296</v>
      </c>
      <c r="X130">
        <v>3.125E-2</v>
      </c>
      <c r="Y130">
        <v>4.6875E-2</v>
      </c>
      <c r="Z130">
        <v>7.8125E-2</v>
      </c>
      <c r="AA130">
        <v>38.812999999999995</v>
      </c>
      <c r="AB130">
        <v>0.765625</v>
      </c>
      <c r="AC130">
        <v>38.53125</v>
      </c>
      <c r="AD130">
        <v>39.296875</v>
      </c>
      <c r="AE130">
        <v>29729</v>
      </c>
      <c r="AF130">
        <v>73</v>
      </c>
      <c r="AG130">
        <v>29766</v>
      </c>
      <c r="AH130">
        <v>80</v>
      </c>
      <c r="AI130" s="1">
        <v>1.8355787037037039E-2</v>
      </c>
      <c r="AJ130" s="1">
        <v>1.880810185185185E-2</v>
      </c>
    </row>
    <row r="131" spans="1:36" x14ac:dyDescent="0.25">
      <c r="A131" t="s">
        <v>110</v>
      </c>
      <c r="B131">
        <v>10</v>
      </c>
      <c r="C131" t="s">
        <v>124</v>
      </c>
      <c r="D131" t="s">
        <v>125</v>
      </c>
      <c r="E131" t="s">
        <v>128</v>
      </c>
      <c r="F131">
        <v>0</v>
      </c>
      <c r="G131">
        <v>4</v>
      </c>
      <c r="W131">
        <v>0.53000000000000114</v>
      </c>
      <c r="X131">
        <v>3.125E-2</v>
      </c>
      <c r="Y131">
        <v>6.25E-2</v>
      </c>
      <c r="Z131">
        <v>9.375E-2</v>
      </c>
      <c r="AA131">
        <v>38.890999999999998</v>
      </c>
      <c r="AB131">
        <v>1.625</v>
      </c>
      <c r="AC131">
        <v>38.125</v>
      </c>
      <c r="AD131">
        <v>39.75</v>
      </c>
      <c r="AE131">
        <v>29729</v>
      </c>
      <c r="AF131">
        <v>73</v>
      </c>
      <c r="AG131">
        <v>29766</v>
      </c>
      <c r="AH131">
        <v>80</v>
      </c>
      <c r="AI131" s="1">
        <v>1.8809837962962962E-2</v>
      </c>
      <c r="AJ131" s="1">
        <v>1.9266898148148148E-2</v>
      </c>
    </row>
    <row r="132" spans="1:36" x14ac:dyDescent="0.25">
      <c r="A132" t="s">
        <v>111</v>
      </c>
      <c r="B132">
        <v>1</v>
      </c>
      <c r="C132" t="s">
        <v>104</v>
      </c>
      <c r="D132" t="s">
        <v>104</v>
      </c>
      <c r="E132" t="s">
        <v>132</v>
      </c>
      <c r="F132">
        <v>100</v>
      </c>
      <c r="G132">
        <v>1.9590243219206969</v>
      </c>
      <c r="W132">
        <v>0.20300000000000001</v>
      </c>
      <c r="X132">
        <v>4.6875E-2</v>
      </c>
      <c r="Y132">
        <v>3.125E-2</v>
      </c>
      <c r="Z132">
        <v>7.8125E-2</v>
      </c>
      <c r="AA132">
        <v>0.125</v>
      </c>
      <c r="AB132">
        <v>3.125E-2</v>
      </c>
      <c r="AC132">
        <v>3.125E-2</v>
      </c>
      <c r="AD132">
        <v>6.25E-2</v>
      </c>
      <c r="AE132">
        <v>16623</v>
      </c>
      <c r="AF132">
        <v>391</v>
      </c>
      <c r="AG132">
        <v>16624</v>
      </c>
      <c r="AH132">
        <v>341</v>
      </c>
      <c r="AI132" s="1">
        <v>1.9268402777777777E-2</v>
      </c>
      <c r="AJ132" s="1">
        <v>1.9273263888888888E-2</v>
      </c>
    </row>
    <row r="133" spans="1:36" x14ac:dyDescent="0.25">
      <c r="A133" t="s">
        <v>111</v>
      </c>
      <c r="B133">
        <v>2</v>
      </c>
      <c r="C133" t="s">
        <v>104</v>
      </c>
      <c r="D133" t="s">
        <v>104</v>
      </c>
      <c r="E133" t="s">
        <v>132</v>
      </c>
      <c r="F133">
        <v>100</v>
      </c>
      <c r="G133">
        <v>1.9590243219206969</v>
      </c>
      <c r="W133">
        <v>0.17199999999999999</v>
      </c>
      <c r="X133">
        <v>1.5625E-2</v>
      </c>
      <c r="Y133">
        <v>7.8125E-2</v>
      </c>
      <c r="Z133">
        <v>9.375E-2</v>
      </c>
      <c r="AA133">
        <v>0.14100000000000001</v>
      </c>
      <c r="AB133">
        <v>4.6875E-2</v>
      </c>
      <c r="AC133">
        <v>1.5625E-2</v>
      </c>
      <c r="AD133">
        <v>6.25E-2</v>
      </c>
      <c r="AE133">
        <v>16623</v>
      </c>
      <c r="AF133">
        <v>391</v>
      </c>
      <c r="AG133">
        <v>16624</v>
      </c>
      <c r="AH133">
        <v>341</v>
      </c>
      <c r="AI133" s="1">
        <v>1.9275E-2</v>
      </c>
      <c r="AJ133" s="1">
        <v>1.9279745370370371E-2</v>
      </c>
    </row>
    <row r="134" spans="1:36" x14ac:dyDescent="0.25">
      <c r="A134" t="s">
        <v>111</v>
      </c>
      <c r="B134">
        <v>3</v>
      </c>
      <c r="C134" t="s">
        <v>104</v>
      </c>
      <c r="D134" t="s">
        <v>104</v>
      </c>
      <c r="E134" t="s">
        <v>132</v>
      </c>
      <c r="F134">
        <v>100</v>
      </c>
      <c r="G134">
        <v>1.9590243219206969</v>
      </c>
      <c r="W134">
        <v>0.25</v>
      </c>
      <c r="X134">
        <v>3.125E-2</v>
      </c>
      <c r="Y134">
        <v>1.5625E-2</v>
      </c>
      <c r="Z134">
        <v>4.6875E-2</v>
      </c>
      <c r="AA134">
        <v>0.125</v>
      </c>
      <c r="AB134">
        <v>1.5625E-2</v>
      </c>
      <c r="AC134">
        <v>3.125E-2</v>
      </c>
      <c r="AD134">
        <v>4.6875E-2</v>
      </c>
      <c r="AE134">
        <v>16623</v>
      </c>
      <c r="AF134">
        <v>391</v>
      </c>
      <c r="AG134">
        <v>16624</v>
      </c>
      <c r="AH134">
        <v>341</v>
      </c>
      <c r="AI134" s="1">
        <v>1.9281365740740741E-2</v>
      </c>
      <c r="AJ134" s="1">
        <v>1.9286574074074074E-2</v>
      </c>
    </row>
    <row r="135" spans="1:36" x14ac:dyDescent="0.25">
      <c r="A135" t="s">
        <v>111</v>
      </c>
      <c r="B135">
        <v>4</v>
      </c>
      <c r="C135" t="s">
        <v>104</v>
      </c>
      <c r="D135" t="s">
        <v>104</v>
      </c>
      <c r="E135" t="s">
        <v>132</v>
      </c>
      <c r="F135">
        <v>100</v>
      </c>
      <c r="G135">
        <v>1.9590243219206969</v>
      </c>
      <c r="W135">
        <v>0.21800000000000003</v>
      </c>
      <c r="X135">
        <v>0</v>
      </c>
      <c r="Y135">
        <v>4.6875E-2</v>
      </c>
      <c r="Z135">
        <v>4.6875E-2</v>
      </c>
      <c r="AA135">
        <v>0.125</v>
      </c>
      <c r="AB135">
        <v>3.125E-2</v>
      </c>
      <c r="AC135">
        <v>3.125E-2</v>
      </c>
      <c r="AD135">
        <v>6.25E-2</v>
      </c>
      <c r="AE135">
        <v>16623</v>
      </c>
      <c r="AF135">
        <v>391</v>
      </c>
      <c r="AG135">
        <v>16624</v>
      </c>
      <c r="AH135">
        <v>341</v>
      </c>
      <c r="AI135" s="1">
        <v>1.9287962962962962E-2</v>
      </c>
      <c r="AJ135" s="1">
        <v>1.9293055555555556E-2</v>
      </c>
    </row>
    <row r="136" spans="1:36" x14ac:dyDescent="0.25">
      <c r="A136" t="s">
        <v>111</v>
      </c>
      <c r="B136">
        <v>5</v>
      </c>
      <c r="C136" t="s">
        <v>104</v>
      </c>
      <c r="D136" t="s">
        <v>104</v>
      </c>
      <c r="E136" t="s">
        <v>132</v>
      </c>
      <c r="F136">
        <v>100</v>
      </c>
      <c r="G136">
        <v>1.9590243219206969</v>
      </c>
      <c r="W136">
        <v>0.21900000000000003</v>
      </c>
      <c r="X136">
        <v>6.25E-2</v>
      </c>
      <c r="Y136">
        <v>1.5625E-2</v>
      </c>
      <c r="Z136">
        <v>7.8125E-2</v>
      </c>
      <c r="AA136">
        <v>0.109</v>
      </c>
      <c r="AB136">
        <v>1.5625E-2</v>
      </c>
      <c r="AC136">
        <v>4.6875E-2</v>
      </c>
      <c r="AD136">
        <v>6.25E-2</v>
      </c>
      <c r="AE136">
        <v>16623</v>
      </c>
      <c r="AF136">
        <v>391</v>
      </c>
      <c r="AG136">
        <v>16624</v>
      </c>
      <c r="AH136">
        <v>341</v>
      </c>
      <c r="AI136" s="1">
        <v>1.9295138888888889E-2</v>
      </c>
      <c r="AJ136" s="1">
        <v>1.9300000000000001E-2</v>
      </c>
    </row>
    <row r="137" spans="1:36" x14ac:dyDescent="0.25">
      <c r="A137" t="s">
        <v>111</v>
      </c>
      <c r="B137">
        <v>6</v>
      </c>
      <c r="C137" t="s">
        <v>104</v>
      </c>
      <c r="D137" t="s">
        <v>104</v>
      </c>
      <c r="E137" t="s">
        <v>132</v>
      </c>
      <c r="F137">
        <v>100</v>
      </c>
      <c r="G137">
        <v>1.9590243219206969</v>
      </c>
      <c r="W137">
        <v>0.26500000000000001</v>
      </c>
      <c r="X137">
        <v>1.5625E-2</v>
      </c>
      <c r="Y137">
        <v>4.6875E-2</v>
      </c>
      <c r="Z137">
        <v>6.25E-2</v>
      </c>
      <c r="AA137">
        <v>0.11000000000000001</v>
      </c>
      <c r="AB137">
        <v>3.125E-2</v>
      </c>
      <c r="AC137">
        <v>3.125E-2</v>
      </c>
      <c r="AD137">
        <v>6.25E-2</v>
      </c>
      <c r="AE137">
        <v>16623</v>
      </c>
      <c r="AF137">
        <v>391</v>
      </c>
      <c r="AG137">
        <v>16624</v>
      </c>
      <c r="AH137">
        <v>341</v>
      </c>
      <c r="AI137" s="1">
        <v>1.9301388888888889E-2</v>
      </c>
      <c r="AJ137" s="1">
        <v>1.9306597222222222E-2</v>
      </c>
    </row>
    <row r="138" spans="1:36" x14ac:dyDescent="0.25">
      <c r="A138" t="s">
        <v>111</v>
      </c>
      <c r="B138">
        <v>7</v>
      </c>
      <c r="C138" t="s">
        <v>104</v>
      </c>
      <c r="D138" t="s">
        <v>104</v>
      </c>
      <c r="E138" t="s">
        <v>132</v>
      </c>
      <c r="F138">
        <v>100</v>
      </c>
      <c r="G138">
        <v>1.9590243219206969</v>
      </c>
      <c r="W138">
        <v>0.21900000000000003</v>
      </c>
      <c r="X138">
        <v>4.6875E-2</v>
      </c>
      <c r="Y138">
        <v>0</v>
      </c>
      <c r="Z138">
        <v>4.6875E-2</v>
      </c>
      <c r="AA138">
        <v>0.125</v>
      </c>
      <c r="AB138">
        <v>4.6875E-2</v>
      </c>
      <c r="AC138">
        <v>6.25E-2</v>
      </c>
      <c r="AD138">
        <v>0.109375</v>
      </c>
      <c r="AE138">
        <v>16623</v>
      </c>
      <c r="AF138">
        <v>391</v>
      </c>
      <c r="AG138">
        <v>16624</v>
      </c>
      <c r="AH138">
        <v>341</v>
      </c>
      <c r="AI138" s="1">
        <v>1.9308217592592592E-2</v>
      </c>
      <c r="AJ138" s="1">
        <v>1.9313078703703704E-2</v>
      </c>
    </row>
    <row r="139" spans="1:36" x14ac:dyDescent="0.25">
      <c r="A139" t="s">
        <v>111</v>
      </c>
      <c r="B139">
        <v>8</v>
      </c>
      <c r="C139" t="s">
        <v>104</v>
      </c>
      <c r="D139" t="s">
        <v>104</v>
      </c>
      <c r="E139" t="s">
        <v>132</v>
      </c>
      <c r="F139">
        <v>100</v>
      </c>
      <c r="G139">
        <v>1.9590243219206969</v>
      </c>
      <c r="W139">
        <v>0.21899999999999997</v>
      </c>
      <c r="X139">
        <v>3.125E-2</v>
      </c>
      <c r="Y139">
        <v>4.6875E-2</v>
      </c>
      <c r="Z139">
        <v>7.8125E-2</v>
      </c>
      <c r="AA139">
        <v>0.125</v>
      </c>
      <c r="AB139">
        <v>1.5625E-2</v>
      </c>
      <c r="AC139">
        <v>4.6875E-2</v>
      </c>
      <c r="AD139">
        <v>6.25E-2</v>
      </c>
      <c r="AE139">
        <v>16623</v>
      </c>
      <c r="AF139">
        <v>391</v>
      </c>
      <c r="AG139">
        <v>16624</v>
      </c>
      <c r="AH139">
        <v>341</v>
      </c>
      <c r="AI139" s="1">
        <v>1.9314699074074074E-2</v>
      </c>
      <c r="AJ139" s="1">
        <v>1.9320023148148149E-2</v>
      </c>
    </row>
    <row r="140" spans="1:36" x14ac:dyDescent="0.25">
      <c r="A140" t="s">
        <v>111</v>
      </c>
      <c r="B140">
        <v>9</v>
      </c>
      <c r="C140" t="s">
        <v>104</v>
      </c>
      <c r="D140" t="s">
        <v>104</v>
      </c>
      <c r="E140" t="s">
        <v>132</v>
      </c>
      <c r="F140">
        <v>100</v>
      </c>
      <c r="G140">
        <v>1.9590243219206969</v>
      </c>
      <c r="W140">
        <v>0.21900000000000003</v>
      </c>
      <c r="X140">
        <v>1.5625E-2</v>
      </c>
      <c r="Y140">
        <v>4.6875E-2</v>
      </c>
      <c r="Z140">
        <v>6.25E-2</v>
      </c>
      <c r="AA140">
        <v>0.17199999999999999</v>
      </c>
      <c r="AB140">
        <v>1.5625E-2</v>
      </c>
      <c r="AC140">
        <v>3.125E-2</v>
      </c>
      <c r="AD140">
        <v>4.6875E-2</v>
      </c>
      <c r="AE140">
        <v>16623</v>
      </c>
      <c r="AF140">
        <v>391</v>
      </c>
      <c r="AG140">
        <v>16624</v>
      </c>
      <c r="AH140">
        <v>341</v>
      </c>
      <c r="AI140" s="1">
        <v>1.9321527777777778E-2</v>
      </c>
      <c r="AJ140" s="1">
        <v>1.9327199074074073E-2</v>
      </c>
    </row>
    <row r="141" spans="1:36" x14ac:dyDescent="0.25">
      <c r="A141" t="s">
        <v>111</v>
      </c>
      <c r="B141">
        <v>10</v>
      </c>
      <c r="C141" t="s">
        <v>104</v>
      </c>
      <c r="D141" t="s">
        <v>104</v>
      </c>
      <c r="E141" t="s">
        <v>132</v>
      </c>
      <c r="F141">
        <v>100</v>
      </c>
      <c r="G141">
        <v>1.9590243219206969</v>
      </c>
      <c r="W141">
        <v>0.21800000000000003</v>
      </c>
      <c r="X141">
        <v>1.5625E-2</v>
      </c>
      <c r="Y141">
        <v>3.125E-2</v>
      </c>
      <c r="Z141">
        <v>4.6875E-2</v>
      </c>
      <c r="AA141">
        <v>0.11</v>
      </c>
      <c r="AB141">
        <v>3.125E-2</v>
      </c>
      <c r="AC141">
        <v>1.5625E-2</v>
      </c>
      <c r="AD141">
        <v>4.6875E-2</v>
      </c>
      <c r="AE141">
        <v>16623</v>
      </c>
      <c r="AF141">
        <v>391</v>
      </c>
      <c r="AG141">
        <v>16624</v>
      </c>
      <c r="AH141">
        <v>341</v>
      </c>
      <c r="AI141" s="1">
        <v>1.9328819444444444E-2</v>
      </c>
      <c r="AJ141" s="1">
        <v>1.9333564814814814E-2</v>
      </c>
    </row>
    <row r="142" spans="1:36" x14ac:dyDescent="0.25">
      <c r="A142" t="s">
        <v>112</v>
      </c>
      <c r="B142">
        <v>1</v>
      </c>
      <c r="C142" t="s">
        <v>104</v>
      </c>
      <c r="D142" t="s">
        <v>104</v>
      </c>
      <c r="E142" t="s">
        <v>131</v>
      </c>
      <c r="F142">
        <v>999</v>
      </c>
      <c r="G142">
        <v>0</v>
      </c>
      <c r="W142">
        <v>4.7E-2</v>
      </c>
      <c r="X142">
        <v>1.5625E-2</v>
      </c>
      <c r="Y142">
        <v>3.125E-2</v>
      </c>
      <c r="Z142">
        <v>4.6875E-2</v>
      </c>
      <c r="AA142">
        <v>0</v>
      </c>
      <c r="AB142">
        <v>0</v>
      </c>
      <c r="AC142">
        <v>0</v>
      </c>
      <c r="AD142">
        <v>0</v>
      </c>
      <c r="AE142">
        <v>16623</v>
      </c>
      <c r="AF142">
        <v>391</v>
      </c>
      <c r="AG142">
        <v>16624</v>
      </c>
      <c r="AH142">
        <v>341</v>
      </c>
      <c r="AI142" s="1">
        <v>1.9335185185185184E-2</v>
      </c>
      <c r="AJ142" s="1">
        <v>1.9336805555555555E-2</v>
      </c>
    </row>
    <row r="143" spans="1:36" x14ac:dyDescent="0.25">
      <c r="A143" t="s">
        <v>112</v>
      </c>
      <c r="B143">
        <v>2</v>
      </c>
      <c r="C143" t="s">
        <v>104</v>
      </c>
      <c r="D143" t="s">
        <v>104</v>
      </c>
      <c r="E143" t="s">
        <v>131</v>
      </c>
      <c r="F143">
        <v>999</v>
      </c>
      <c r="G143">
        <v>0</v>
      </c>
      <c r="W143">
        <v>4.7E-2</v>
      </c>
      <c r="X143">
        <v>4.6875E-2</v>
      </c>
      <c r="Y143">
        <v>3.125E-2</v>
      </c>
      <c r="Z143">
        <v>7.8125E-2</v>
      </c>
      <c r="AA143">
        <v>0</v>
      </c>
      <c r="AB143">
        <v>0</v>
      </c>
      <c r="AC143">
        <v>0</v>
      </c>
      <c r="AD143">
        <v>0</v>
      </c>
      <c r="AE143">
        <v>16623</v>
      </c>
      <c r="AF143">
        <v>391</v>
      </c>
      <c r="AG143">
        <v>16624</v>
      </c>
      <c r="AH143">
        <v>341</v>
      </c>
      <c r="AI143" s="1">
        <v>1.9338425925925926E-2</v>
      </c>
      <c r="AJ143" s="1">
        <v>1.9340625E-2</v>
      </c>
    </row>
    <row r="144" spans="1:36" x14ac:dyDescent="0.25">
      <c r="A144" t="s">
        <v>112</v>
      </c>
      <c r="B144">
        <v>3</v>
      </c>
      <c r="C144" t="s">
        <v>104</v>
      </c>
      <c r="D144" t="s">
        <v>104</v>
      </c>
      <c r="E144" t="s">
        <v>131</v>
      </c>
      <c r="F144">
        <v>999</v>
      </c>
      <c r="G144">
        <v>0</v>
      </c>
      <c r="W144">
        <v>3.1E-2</v>
      </c>
      <c r="X144">
        <v>3.125E-2</v>
      </c>
      <c r="Y144">
        <v>1.5625E-2</v>
      </c>
      <c r="Z144">
        <v>4.6875E-2</v>
      </c>
      <c r="AA144">
        <v>0</v>
      </c>
      <c r="AB144">
        <v>0</v>
      </c>
      <c r="AC144">
        <v>0</v>
      </c>
      <c r="AD144">
        <v>0</v>
      </c>
      <c r="AE144">
        <v>16623</v>
      </c>
      <c r="AF144">
        <v>391</v>
      </c>
      <c r="AG144">
        <v>16624</v>
      </c>
      <c r="AH144">
        <v>341</v>
      </c>
      <c r="AI144" s="1">
        <v>1.9342129629629629E-2</v>
      </c>
      <c r="AJ144" s="1">
        <v>1.9343634259259258E-2</v>
      </c>
    </row>
    <row r="145" spans="1:36" x14ac:dyDescent="0.25">
      <c r="A145" t="s">
        <v>112</v>
      </c>
      <c r="B145">
        <v>4</v>
      </c>
      <c r="C145" t="s">
        <v>104</v>
      </c>
      <c r="D145" t="s">
        <v>104</v>
      </c>
      <c r="E145" t="s">
        <v>131</v>
      </c>
      <c r="F145">
        <v>999</v>
      </c>
      <c r="G145">
        <v>0</v>
      </c>
      <c r="W145">
        <v>3.1E-2</v>
      </c>
      <c r="X145">
        <v>3.125E-2</v>
      </c>
      <c r="Y145">
        <v>3.125E-2</v>
      </c>
      <c r="Z145">
        <v>6.25E-2</v>
      </c>
      <c r="AA145">
        <v>0</v>
      </c>
      <c r="AB145">
        <v>0</v>
      </c>
      <c r="AC145">
        <v>0</v>
      </c>
      <c r="AD145">
        <v>0</v>
      </c>
      <c r="AE145">
        <v>16623</v>
      </c>
      <c r="AF145">
        <v>391</v>
      </c>
      <c r="AG145">
        <v>16624</v>
      </c>
      <c r="AH145">
        <v>341</v>
      </c>
      <c r="AI145" s="1">
        <v>1.9345138888888887E-2</v>
      </c>
      <c r="AJ145" s="1">
        <v>1.9346874999999999E-2</v>
      </c>
    </row>
    <row r="146" spans="1:36" x14ac:dyDescent="0.25">
      <c r="A146" t="s">
        <v>112</v>
      </c>
      <c r="B146">
        <v>5</v>
      </c>
      <c r="C146" t="s">
        <v>104</v>
      </c>
      <c r="D146" t="s">
        <v>104</v>
      </c>
      <c r="E146" t="s">
        <v>131</v>
      </c>
      <c r="F146">
        <v>999</v>
      </c>
      <c r="G146">
        <v>0</v>
      </c>
      <c r="W146">
        <v>4.7E-2</v>
      </c>
      <c r="X146">
        <v>0</v>
      </c>
      <c r="Y146">
        <v>4.6875E-2</v>
      </c>
      <c r="Z146">
        <v>4.6875E-2</v>
      </c>
      <c r="AA146">
        <v>0</v>
      </c>
      <c r="AB146">
        <v>0</v>
      </c>
      <c r="AC146">
        <v>0</v>
      </c>
      <c r="AD146">
        <v>0</v>
      </c>
      <c r="AE146">
        <v>16623</v>
      </c>
      <c r="AF146">
        <v>391</v>
      </c>
      <c r="AG146">
        <v>16624</v>
      </c>
      <c r="AH146">
        <v>341</v>
      </c>
      <c r="AI146" s="1">
        <v>1.9348611111111112E-2</v>
      </c>
      <c r="AJ146" s="1">
        <v>1.9350347222222224E-2</v>
      </c>
    </row>
    <row r="147" spans="1:36" x14ac:dyDescent="0.25">
      <c r="A147" t="s">
        <v>112</v>
      </c>
      <c r="B147">
        <v>6</v>
      </c>
      <c r="C147" t="s">
        <v>104</v>
      </c>
      <c r="D147" t="s">
        <v>104</v>
      </c>
      <c r="E147" t="s">
        <v>131</v>
      </c>
      <c r="F147">
        <v>999</v>
      </c>
      <c r="G147">
        <v>0</v>
      </c>
      <c r="W147">
        <v>4.5999999999999999E-2</v>
      </c>
      <c r="X147">
        <v>1.5625E-2</v>
      </c>
      <c r="Y147">
        <v>4.6875E-2</v>
      </c>
      <c r="Z147">
        <v>6.25E-2</v>
      </c>
      <c r="AA147">
        <v>0</v>
      </c>
      <c r="AB147">
        <v>0</v>
      </c>
      <c r="AC147">
        <v>0</v>
      </c>
      <c r="AD147">
        <v>0</v>
      </c>
      <c r="AE147">
        <v>16623</v>
      </c>
      <c r="AF147">
        <v>391</v>
      </c>
      <c r="AG147">
        <v>16624</v>
      </c>
      <c r="AH147">
        <v>341</v>
      </c>
      <c r="AI147" s="1">
        <v>1.9351967592592594E-2</v>
      </c>
      <c r="AJ147" s="1">
        <v>1.9353703703703703E-2</v>
      </c>
    </row>
    <row r="148" spans="1:36" x14ac:dyDescent="0.25">
      <c r="A148" t="s">
        <v>112</v>
      </c>
      <c r="B148">
        <v>7</v>
      </c>
      <c r="C148" t="s">
        <v>104</v>
      </c>
      <c r="D148" t="s">
        <v>104</v>
      </c>
      <c r="E148" t="s">
        <v>131</v>
      </c>
      <c r="F148">
        <v>999</v>
      </c>
      <c r="G148">
        <v>0</v>
      </c>
      <c r="W148">
        <v>4.7E-2</v>
      </c>
      <c r="X148">
        <v>7.8125E-2</v>
      </c>
      <c r="Y148">
        <v>1.5625E-2</v>
      </c>
      <c r="Z148">
        <v>9.375E-2</v>
      </c>
      <c r="AA148">
        <v>0</v>
      </c>
      <c r="AB148">
        <v>0</v>
      </c>
      <c r="AC148">
        <v>0</v>
      </c>
      <c r="AD148">
        <v>0</v>
      </c>
      <c r="AE148">
        <v>16623</v>
      </c>
      <c r="AF148">
        <v>391</v>
      </c>
      <c r="AG148">
        <v>16624</v>
      </c>
      <c r="AH148">
        <v>341</v>
      </c>
      <c r="AI148" s="1">
        <v>1.9355324074074073E-2</v>
      </c>
      <c r="AJ148" s="1">
        <v>1.9356944444444444E-2</v>
      </c>
    </row>
    <row r="149" spans="1:36" x14ac:dyDescent="0.25">
      <c r="A149" t="s">
        <v>112</v>
      </c>
      <c r="B149">
        <v>8</v>
      </c>
      <c r="C149" t="s">
        <v>104</v>
      </c>
      <c r="D149" t="s">
        <v>104</v>
      </c>
      <c r="E149" t="s">
        <v>131</v>
      </c>
      <c r="F149">
        <v>999</v>
      </c>
      <c r="G149">
        <v>0</v>
      </c>
      <c r="W149">
        <v>3.1E-2</v>
      </c>
      <c r="X149">
        <v>1.5625E-2</v>
      </c>
      <c r="Y149">
        <v>3.125E-2</v>
      </c>
      <c r="Z149">
        <v>4.6875E-2</v>
      </c>
      <c r="AA149">
        <v>1.6E-2</v>
      </c>
      <c r="AB149">
        <v>0</v>
      </c>
      <c r="AC149">
        <v>0</v>
      </c>
      <c r="AD149">
        <v>0</v>
      </c>
      <c r="AE149">
        <v>16623</v>
      </c>
      <c r="AF149">
        <v>391</v>
      </c>
      <c r="AG149">
        <v>16624</v>
      </c>
      <c r="AH149">
        <v>341</v>
      </c>
      <c r="AI149" s="1">
        <v>1.9358796296296298E-2</v>
      </c>
      <c r="AJ149" s="1">
        <v>1.9360416666666668E-2</v>
      </c>
    </row>
    <row r="150" spans="1:36" x14ac:dyDescent="0.25">
      <c r="A150" t="s">
        <v>112</v>
      </c>
      <c r="B150">
        <v>9</v>
      </c>
      <c r="C150" t="s">
        <v>104</v>
      </c>
      <c r="D150" t="s">
        <v>104</v>
      </c>
      <c r="E150" t="s">
        <v>131</v>
      </c>
      <c r="F150">
        <v>999</v>
      </c>
      <c r="G150">
        <v>0</v>
      </c>
      <c r="W150">
        <v>4.7E-2</v>
      </c>
      <c r="X150">
        <v>4.6875E-2</v>
      </c>
      <c r="Y150">
        <v>1.5625E-2</v>
      </c>
      <c r="Z150">
        <v>6.25E-2</v>
      </c>
      <c r="AA150">
        <v>0</v>
      </c>
      <c r="AB150">
        <v>0</v>
      </c>
      <c r="AC150">
        <v>0</v>
      </c>
      <c r="AD150">
        <v>0</v>
      </c>
      <c r="AE150">
        <v>16623</v>
      </c>
      <c r="AF150">
        <v>391</v>
      </c>
      <c r="AG150">
        <v>16624</v>
      </c>
      <c r="AH150">
        <v>341</v>
      </c>
      <c r="AI150" s="1">
        <v>1.9362152777777777E-2</v>
      </c>
      <c r="AJ150" s="1">
        <v>1.9363657407407406E-2</v>
      </c>
    </row>
    <row r="151" spans="1:36" x14ac:dyDescent="0.25">
      <c r="A151" t="s">
        <v>112</v>
      </c>
      <c r="B151">
        <v>10</v>
      </c>
      <c r="C151" t="s">
        <v>104</v>
      </c>
      <c r="D151" t="s">
        <v>104</v>
      </c>
      <c r="E151" t="s">
        <v>131</v>
      </c>
      <c r="F151">
        <v>999</v>
      </c>
      <c r="G151">
        <v>0</v>
      </c>
      <c r="W151">
        <v>4.7E-2</v>
      </c>
      <c r="X151">
        <v>3.125E-2</v>
      </c>
      <c r="Y151">
        <v>4.6875E-2</v>
      </c>
      <c r="Z151">
        <v>7.8125E-2</v>
      </c>
      <c r="AA151">
        <v>0</v>
      </c>
      <c r="AB151">
        <v>0</v>
      </c>
      <c r="AC151">
        <v>0</v>
      </c>
      <c r="AD151">
        <v>0</v>
      </c>
      <c r="AE151">
        <v>16623</v>
      </c>
      <c r="AF151">
        <v>391</v>
      </c>
      <c r="AG151">
        <v>16624</v>
      </c>
      <c r="AH151">
        <v>341</v>
      </c>
      <c r="AI151" s="1">
        <v>1.9365277777777776E-2</v>
      </c>
      <c r="AJ151" s="1">
        <v>1.9366898148148147E-2</v>
      </c>
    </row>
    <row r="152" spans="1:36" x14ac:dyDescent="0.25">
      <c r="A152" t="s">
        <v>113</v>
      </c>
      <c r="B152">
        <v>1</v>
      </c>
      <c r="C152" t="s">
        <v>42</v>
      </c>
      <c r="D152" t="s">
        <v>43</v>
      </c>
      <c r="E152" t="s">
        <v>128</v>
      </c>
      <c r="F152">
        <v>0</v>
      </c>
      <c r="G152">
        <v>1.9590243829214431</v>
      </c>
      <c r="W152">
        <v>0.17200000000000015</v>
      </c>
      <c r="X152">
        <v>4.6875E-2</v>
      </c>
      <c r="Y152">
        <v>4.6875E-2</v>
      </c>
      <c r="Z152">
        <v>9.375E-2</v>
      </c>
      <c r="AA152">
        <v>3.75</v>
      </c>
      <c r="AB152">
        <v>1.765625</v>
      </c>
      <c r="AC152">
        <v>46.921875</v>
      </c>
      <c r="AD152">
        <v>48.6875</v>
      </c>
      <c r="AE152">
        <v>16623</v>
      </c>
      <c r="AF152">
        <v>391</v>
      </c>
      <c r="AG152">
        <v>16624</v>
      </c>
      <c r="AH152">
        <v>341</v>
      </c>
      <c r="AI152" s="1">
        <v>1.9368518518518518E-2</v>
      </c>
      <c r="AJ152" s="1">
        <v>1.9415046296296295E-2</v>
      </c>
    </row>
    <row r="153" spans="1:36" x14ac:dyDescent="0.25">
      <c r="A153" t="s">
        <v>113</v>
      </c>
      <c r="B153">
        <v>2</v>
      </c>
      <c r="C153" t="s">
        <v>42</v>
      </c>
      <c r="D153" t="s">
        <v>43</v>
      </c>
      <c r="E153" t="s">
        <v>128</v>
      </c>
      <c r="F153">
        <v>0</v>
      </c>
      <c r="G153">
        <v>1.9590243829214431</v>
      </c>
      <c r="W153">
        <v>0.20299999999999985</v>
      </c>
      <c r="X153">
        <v>4.6875E-2</v>
      </c>
      <c r="Y153">
        <v>1.5625E-2</v>
      </c>
      <c r="Z153">
        <v>6.25E-2</v>
      </c>
      <c r="AA153">
        <v>3.641</v>
      </c>
      <c r="AB153">
        <v>1.390625</v>
      </c>
      <c r="AC153">
        <v>44.609375</v>
      </c>
      <c r="AD153">
        <v>46</v>
      </c>
      <c r="AE153">
        <v>16623</v>
      </c>
      <c r="AF153">
        <v>391</v>
      </c>
      <c r="AG153">
        <v>16624</v>
      </c>
      <c r="AH153">
        <v>341</v>
      </c>
      <c r="AI153" s="1">
        <v>1.9416666666666665E-2</v>
      </c>
      <c r="AJ153" s="1">
        <v>1.9461921296296297E-2</v>
      </c>
    </row>
    <row r="154" spans="1:36" x14ac:dyDescent="0.25">
      <c r="A154" t="s">
        <v>113</v>
      </c>
      <c r="B154">
        <v>3</v>
      </c>
      <c r="C154" t="s">
        <v>42</v>
      </c>
      <c r="D154" t="s">
        <v>43</v>
      </c>
      <c r="E154" t="s">
        <v>128</v>
      </c>
      <c r="F154">
        <v>0</v>
      </c>
      <c r="G154">
        <v>1.9590243829214431</v>
      </c>
      <c r="W154">
        <v>0.17199999999999971</v>
      </c>
      <c r="X154">
        <v>1.5625E-2</v>
      </c>
      <c r="Y154">
        <v>3.125E-2</v>
      </c>
      <c r="Z154">
        <v>4.6875E-2</v>
      </c>
      <c r="AA154">
        <v>3.6720000000000002</v>
      </c>
      <c r="AB154">
        <v>1.59375</v>
      </c>
      <c r="AC154">
        <v>45.4375</v>
      </c>
      <c r="AD154">
        <v>47.03125</v>
      </c>
      <c r="AE154">
        <v>16623</v>
      </c>
      <c r="AF154">
        <v>391</v>
      </c>
      <c r="AG154">
        <v>16624</v>
      </c>
      <c r="AH154">
        <v>341</v>
      </c>
      <c r="AI154" s="1">
        <v>1.9463888888888888E-2</v>
      </c>
      <c r="AJ154" s="1">
        <v>1.950949074074074E-2</v>
      </c>
    </row>
    <row r="155" spans="1:36" x14ac:dyDescent="0.25">
      <c r="A155" t="s">
        <v>113</v>
      </c>
      <c r="B155">
        <v>4</v>
      </c>
      <c r="C155" t="s">
        <v>42</v>
      </c>
      <c r="D155" t="s">
        <v>43</v>
      </c>
      <c r="E155" t="s">
        <v>128</v>
      </c>
      <c r="F155">
        <v>0</v>
      </c>
      <c r="G155">
        <v>1.9590243829214431</v>
      </c>
      <c r="W155">
        <v>0.21899999999999986</v>
      </c>
      <c r="X155">
        <v>0</v>
      </c>
      <c r="Y155">
        <v>4.6875E-2</v>
      </c>
      <c r="Z155">
        <v>4.6875E-2</v>
      </c>
      <c r="AA155">
        <v>3.8279999999999998</v>
      </c>
      <c r="AB155">
        <v>1.78125</v>
      </c>
      <c r="AC155">
        <v>48.609375</v>
      </c>
      <c r="AD155">
        <v>50.390625</v>
      </c>
      <c r="AE155">
        <v>16623</v>
      </c>
      <c r="AF155">
        <v>391</v>
      </c>
      <c r="AG155">
        <v>16624</v>
      </c>
      <c r="AH155">
        <v>341</v>
      </c>
      <c r="AI155" s="1">
        <v>1.9511111111111111E-2</v>
      </c>
      <c r="AJ155" s="1">
        <v>1.9558912037037038E-2</v>
      </c>
    </row>
    <row r="156" spans="1:36" x14ac:dyDescent="0.25">
      <c r="A156" t="s">
        <v>113</v>
      </c>
      <c r="B156">
        <v>5</v>
      </c>
      <c r="C156" t="s">
        <v>42</v>
      </c>
      <c r="D156" t="s">
        <v>43</v>
      </c>
      <c r="E156" t="s">
        <v>128</v>
      </c>
      <c r="F156">
        <v>0</v>
      </c>
      <c r="G156">
        <v>1.9590243829214431</v>
      </c>
      <c r="W156">
        <v>0.21799999999999953</v>
      </c>
      <c r="X156">
        <v>0</v>
      </c>
      <c r="Y156">
        <v>4.6875E-2</v>
      </c>
      <c r="Z156">
        <v>4.6875E-2</v>
      </c>
      <c r="AA156">
        <v>3.6570000000000005</v>
      </c>
      <c r="AB156">
        <v>1.453125</v>
      </c>
      <c r="AC156">
        <v>44.6875</v>
      </c>
      <c r="AD156">
        <v>46.140625</v>
      </c>
      <c r="AE156">
        <v>16623</v>
      </c>
      <c r="AF156">
        <v>391</v>
      </c>
      <c r="AG156">
        <v>16624</v>
      </c>
      <c r="AH156">
        <v>341</v>
      </c>
      <c r="AI156" s="1">
        <v>1.9560648148148146E-2</v>
      </c>
      <c r="AJ156" s="1">
        <v>1.9606481481481482E-2</v>
      </c>
    </row>
    <row r="157" spans="1:36" x14ac:dyDescent="0.25">
      <c r="A157" t="s">
        <v>113</v>
      </c>
      <c r="B157">
        <v>6</v>
      </c>
      <c r="C157" t="s">
        <v>42</v>
      </c>
      <c r="D157" t="s">
        <v>43</v>
      </c>
      <c r="E157" t="s">
        <v>128</v>
      </c>
      <c r="F157">
        <v>0</v>
      </c>
      <c r="G157">
        <v>1.9590243829214431</v>
      </c>
      <c r="W157">
        <v>0.14100000000000001</v>
      </c>
      <c r="X157">
        <v>0</v>
      </c>
      <c r="Y157">
        <v>7.8125E-2</v>
      </c>
      <c r="Z157">
        <v>7.8125E-2</v>
      </c>
      <c r="AA157">
        <v>3.625</v>
      </c>
      <c r="AB157">
        <v>1.546875</v>
      </c>
      <c r="AC157">
        <v>44</v>
      </c>
      <c r="AD157">
        <v>45.546875</v>
      </c>
      <c r="AE157">
        <v>16623</v>
      </c>
      <c r="AF157">
        <v>391</v>
      </c>
      <c r="AG157">
        <v>16624</v>
      </c>
      <c r="AH157">
        <v>341</v>
      </c>
      <c r="AI157" s="1">
        <v>1.9608101851851852E-2</v>
      </c>
      <c r="AJ157" s="1">
        <v>1.9652662037037038E-2</v>
      </c>
    </row>
    <row r="158" spans="1:36" x14ac:dyDescent="0.25">
      <c r="A158" t="s">
        <v>113</v>
      </c>
      <c r="B158">
        <v>7</v>
      </c>
      <c r="C158" t="s">
        <v>42</v>
      </c>
      <c r="D158" t="s">
        <v>43</v>
      </c>
      <c r="E158" t="s">
        <v>128</v>
      </c>
      <c r="F158">
        <v>0</v>
      </c>
      <c r="G158">
        <v>1.9590243829214431</v>
      </c>
      <c r="W158">
        <v>0.20299999999999985</v>
      </c>
      <c r="X158">
        <v>1.5625E-2</v>
      </c>
      <c r="Y158">
        <v>3.125E-2</v>
      </c>
      <c r="Z158">
        <v>4.6875E-2</v>
      </c>
      <c r="AA158">
        <v>3.5940000000000003</v>
      </c>
      <c r="AB158">
        <v>1.53125</v>
      </c>
      <c r="AC158">
        <v>43.703125</v>
      </c>
      <c r="AD158">
        <v>45.234375</v>
      </c>
      <c r="AE158">
        <v>16623</v>
      </c>
      <c r="AF158">
        <v>391</v>
      </c>
      <c r="AG158">
        <v>16624</v>
      </c>
      <c r="AH158">
        <v>341</v>
      </c>
      <c r="AI158" s="1">
        <v>1.9654513888888888E-2</v>
      </c>
      <c r="AJ158" s="1">
        <v>1.9699305555555557E-2</v>
      </c>
    </row>
    <row r="159" spans="1:36" x14ac:dyDescent="0.25">
      <c r="A159" t="s">
        <v>113</v>
      </c>
      <c r="B159">
        <v>8</v>
      </c>
      <c r="C159" t="s">
        <v>42</v>
      </c>
      <c r="D159" t="s">
        <v>43</v>
      </c>
      <c r="E159" t="s">
        <v>128</v>
      </c>
      <c r="F159">
        <v>0</v>
      </c>
      <c r="G159">
        <v>1.9590243829214431</v>
      </c>
      <c r="W159">
        <v>0.18800000000000017</v>
      </c>
      <c r="X159">
        <v>3.125E-2</v>
      </c>
      <c r="Y159">
        <v>3.125E-2</v>
      </c>
      <c r="Z159">
        <v>6.25E-2</v>
      </c>
      <c r="AA159">
        <v>3.609</v>
      </c>
      <c r="AB159">
        <v>1.515625</v>
      </c>
      <c r="AC159">
        <v>44.890625</v>
      </c>
      <c r="AD159">
        <v>46.40625</v>
      </c>
      <c r="AE159">
        <v>16623</v>
      </c>
      <c r="AF159">
        <v>391</v>
      </c>
      <c r="AG159">
        <v>16624</v>
      </c>
      <c r="AH159">
        <v>341</v>
      </c>
      <c r="AI159" s="1">
        <v>1.9700694444444444E-2</v>
      </c>
      <c r="AJ159" s="1">
        <v>1.9745601851851851E-2</v>
      </c>
    </row>
    <row r="160" spans="1:36" x14ac:dyDescent="0.25">
      <c r="A160" t="s">
        <v>113</v>
      </c>
      <c r="B160">
        <v>9</v>
      </c>
      <c r="C160" t="s">
        <v>42</v>
      </c>
      <c r="D160" t="s">
        <v>43</v>
      </c>
      <c r="E160" t="s">
        <v>128</v>
      </c>
      <c r="F160">
        <v>0</v>
      </c>
      <c r="G160">
        <v>1.9590243829214431</v>
      </c>
      <c r="W160">
        <v>0.18700000000000028</v>
      </c>
      <c r="X160">
        <v>1.5625E-2</v>
      </c>
      <c r="Y160">
        <v>4.6875E-2</v>
      </c>
      <c r="Z160">
        <v>6.25E-2</v>
      </c>
      <c r="AA160">
        <v>3.6719999999999997</v>
      </c>
      <c r="AB160">
        <v>1.296875</v>
      </c>
      <c r="AC160">
        <v>45.640625</v>
      </c>
      <c r="AD160">
        <v>46.9375</v>
      </c>
      <c r="AE160">
        <v>16623</v>
      </c>
      <c r="AF160">
        <v>391</v>
      </c>
      <c r="AG160">
        <v>16624</v>
      </c>
      <c r="AH160">
        <v>341</v>
      </c>
      <c r="AI160" s="1">
        <v>1.9747222222222222E-2</v>
      </c>
      <c r="AJ160" s="1">
        <v>1.9792824074074074E-2</v>
      </c>
    </row>
    <row r="161" spans="1:36" x14ac:dyDescent="0.25">
      <c r="A161" t="s">
        <v>113</v>
      </c>
      <c r="B161">
        <v>10</v>
      </c>
      <c r="C161" t="s">
        <v>42</v>
      </c>
      <c r="D161" t="s">
        <v>43</v>
      </c>
      <c r="E161" t="s">
        <v>128</v>
      </c>
      <c r="F161">
        <v>0</v>
      </c>
      <c r="G161">
        <v>1.9590243829214431</v>
      </c>
      <c r="W161">
        <v>0.18800000000000017</v>
      </c>
      <c r="X161">
        <v>4.6875E-2</v>
      </c>
      <c r="Y161">
        <v>1.5625E-2</v>
      </c>
      <c r="Z161">
        <v>6.25E-2</v>
      </c>
      <c r="AA161">
        <v>3.5459999999999998</v>
      </c>
      <c r="AB161">
        <v>1.609375</v>
      </c>
      <c r="AC161">
        <v>44.546875</v>
      </c>
      <c r="AD161">
        <v>46.15625</v>
      </c>
      <c r="AE161">
        <v>16623</v>
      </c>
      <c r="AF161">
        <v>391</v>
      </c>
      <c r="AG161">
        <v>16624</v>
      </c>
      <c r="AH161">
        <v>341</v>
      </c>
      <c r="AI161" s="1">
        <v>1.9794212962962961E-2</v>
      </c>
      <c r="AJ161" s="1">
        <v>1.9838657407407409E-2</v>
      </c>
    </row>
    <row r="162" spans="1:36" x14ac:dyDescent="0.25">
      <c r="A162" t="s">
        <v>114</v>
      </c>
      <c r="B162">
        <v>1</v>
      </c>
      <c r="C162" t="s">
        <v>34</v>
      </c>
      <c r="D162" t="s">
        <v>35</v>
      </c>
      <c r="E162" t="s">
        <v>128</v>
      </c>
      <c r="F162">
        <v>0</v>
      </c>
      <c r="G162">
        <v>1.9589704802783663</v>
      </c>
      <c r="I162">
        <v>204</v>
      </c>
      <c r="J162">
        <v>547</v>
      </c>
      <c r="K162">
        <v>205</v>
      </c>
      <c r="L162">
        <v>547</v>
      </c>
      <c r="M162">
        <v>0</v>
      </c>
      <c r="N162">
        <v>207</v>
      </c>
      <c r="O162">
        <v>0</v>
      </c>
      <c r="P162">
        <v>204</v>
      </c>
      <c r="Q162">
        <v>1.8285026270881133E-12</v>
      </c>
      <c r="R162">
        <v>0.60299999999999998</v>
      </c>
      <c r="S162">
        <v>4.5999999999999999E-2</v>
      </c>
      <c r="T162">
        <v>391</v>
      </c>
      <c r="U162">
        <v>341</v>
      </c>
      <c r="V162">
        <v>0</v>
      </c>
      <c r="W162">
        <v>0.18800000000000006</v>
      </c>
      <c r="X162">
        <v>6.25E-2</v>
      </c>
      <c r="Y162">
        <v>3.125E-2</v>
      </c>
      <c r="Z162">
        <v>9.375E-2</v>
      </c>
      <c r="AA162">
        <v>0.68699999999999994</v>
      </c>
      <c r="AB162">
        <v>3.125E-2</v>
      </c>
      <c r="AC162">
        <v>0.609375</v>
      </c>
      <c r="AD162">
        <v>0.640625</v>
      </c>
      <c r="AE162">
        <v>16623</v>
      </c>
      <c r="AF162">
        <v>391</v>
      </c>
      <c r="AG162">
        <v>16624</v>
      </c>
      <c r="AH162">
        <v>341</v>
      </c>
      <c r="AI162" s="1">
        <v>1.9840393518518518E-2</v>
      </c>
      <c r="AJ162" s="1">
        <v>1.9851504629629629E-2</v>
      </c>
    </row>
    <row r="163" spans="1:36" x14ac:dyDescent="0.25">
      <c r="A163" t="s">
        <v>114</v>
      </c>
      <c r="B163">
        <v>2</v>
      </c>
      <c r="C163" t="s">
        <v>34</v>
      </c>
      <c r="D163" t="s">
        <v>35</v>
      </c>
      <c r="E163" t="s">
        <v>128</v>
      </c>
      <c r="F163">
        <v>0</v>
      </c>
      <c r="G163">
        <v>1.9589704802783663</v>
      </c>
      <c r="I163">
        <v>204</v>
      </c>
      <c r="J163">
        <v>547</v>
      </c>
      <c r="K163">
        <v>205</v>
      </c>
      <c r="L163">
        <v>547</v>
      </c>
      <c r="M163">
        <v>0</v>
      </c>
      <c r="N163">
        <v>207</v>
      </c>
      <c r="O163">
        <v>0</v>
      </c>
      <c r="P163">
        <v>204</v>
      </c>
      <c r="Q163">
        <v>1.8285026270881133E-12</v>
      </c>
      <c r="R163">
        <v>0.63600000000000001</v>
      </c>
      <c r="S163">
        <v>3.5999999999999997E-2</v>
      </c>
      <c r="T163">
        <v>391</v>
      </c>
      <c r="U163">
        <v>341</v>
      </c>
      <c r="V163">
        <v>0</v>
      </c>
      <c r="W163">
        <v>0.18800000000000006</v>
      </c>
      <c r="X163">
        <v>1.5625E-2</v>
      </c>
      <c r="Y163">
        <v>3.125E-2</v>
      </c>
      <c r="Z163">
        <v>4.6875E-2</v>
      </c>
      <c r="AA163">
        <v>0.68699999999999994</v>
      </c>
      <c r="AB163">
        <v>4.6875E-2</v>
      </c>
      <c r="AC163">
        <v>0.625</v>
      </c>
      <c r="AD163">
        <v>0.671875</v>
      </c>
      <c r="AE163">
        <v>16623</v>
      </c>
      <c r="AF163">
        <v>391</v>
      </c>
      <c r="AG163">
        <v>16624</v>
      </c>
      <c r="AH163">
        <v>341</v>
      </c>
      <c r="AI163" s="1">
        <v>1.9853356481481482E-2</v>
      </c>
      <c r="AJ163" s="1">
        <v>1.9864930555555556E-2</v>
      </c>
    </row>
    <row r="164" spans="1:36" x14ac:dyDescent="0.25">
      <c r="A164" t="s">
        <v>114</v>
      </c>
      <c r="B164">
        <v>3</v>
      </c>
      <c r="C164" t="s">
        <v>34</v>
      </c>
      <c r="D164" t="s">
        <v>35</v>
      </c>
      <c r="E164" t="s">
        <v>128</v>
      </c>
      <c r="F164">
        <v>0</v>
      </c>
      <c r="G164">
        <v>1.9589704802783663</v>
      </c>
      <c r="I164">
        <v>204</v>
      </c>
      <c r="J164">
        <v>547</v>
      </c>
      <c r="K164">
        <v>205</v>
      </c>
      <c r="L164">
        <v>547</v>
      </c>
      <c r="M164">
        <v>0</v>
      </c>
      <c r="N164">
        <v>207</v>
      </c>
      <c r="O164">
        <v>0</v>
      </c>
      <c r="P164">
        <v>204</v>
      </c>
      <c r="Q164">
        <v>1.8285026270881133E-12</v>
      </c>
      <c r="R164">
        <v>0.66300000000000003</v>
      </c>
      <c r="S164">
        <v>4.2999999999999997E-2</v>
      </c>
      <c r="T164">
        <v>391</v>
      </c>
      <c r="U164">
        <v>341</v>
      </c>
      <c r="V164">
        <v>0</v>
      </c>
      <c r="W164">
        <v>0.15600000000000003</v>
      </c>
      <c r="X164">
        <v>4.6875E-2</v>
      </c>
      <c r="Y164">
        <v>1.5625E-2</v>
      </c>
      <c r="Z164">
        <v>6.25E-2</v>
      </c>
      <c r="AA164">
        <v>0.73499999999999999</v>
      </c>
      <c r="AB164">
        <v>3.125E-2</v>
      </c>
      <c r="AC164">
        <v>0.6875</v>
      </c>
      <c r="AD164">
        <v>0.71875</v>
      </c>
      <c r="AE164">
        <v>16623</v>
      </c>
      <c r="AF164">
        <v>391</v>
      </c>
      <c r="AG164">
        <v>16624</v>
      </c>
      <c r="AH164">
        <v>341</v>
      </c>
      <c r="AI164" s="1">
        <v>1.9866666666666668E-2</v>
      </c>
      <c r="AJ164" s="1">
        <v>1.9878587962962962E-2</v>
      </c>
    </row>
    <row r="165" spans="1:36" x14ac:dyDescent="0.25">
      <c r="A165" t="s">
        <v>114</v>
      </c>
      <c r="B165">
        <v>4</v>
      </c>
      <c r="C165" t="s">
        <v>34</v>
      </c>
      <c r="D165" t="s">
        <v>35</v>
      </c>
      <c r="E165" t="s">
        <v>128</v>
      </c>
      <c r="F165">
        <v>0</v>
      </c>
      <c r="G165">
        <v>1.9589704802783663</v>
      </c>
      <c r="I165">
        <v>204</v>
      </c>
      <c r="J165">
        <v>547</v>
      </c>
      <c r="K165">
        <v>205</v>
      </c>
      <c r="L165">
        <v>547</v>
      </c>
      <c r="M165">
        <v>0</v>
      </c>
      <c r="N165">
        <v>207</v>
      </c>
      <c r="O165">
        <v>0</v>
      </c>
      <c r="P165">
        <v>204</v>
      </c>
      <c r="Q165">
        <v>1.8285026270881133E-12</v>
      </c>
      <c r="R165">
        <v>0.73599999999999999</v>
      </c>
      <c r="S165">
        <v>2.8000000000000001E-2</v>
      </c>
      <c r="T165">
        <v>391</v>
      </c>
      <c r="U165">
        <v>341</v>
      </c>
      <c r="V165">
        <v>0</v>
      </c>
      <c r="W165">
        <v>0.23499999999999999</v>
      </c>
      <c r="X165">
        <v>3.125E-2</v>
      </c>
      <c r="Y165">
        <v>4.6875E-2</v>
      </c>
      <c r="Z165">
        <v>7.8125E-2</v>
      </c>
      <c r="AA165">
        <v>0.82799999999999996</v>
      </c>
      <c r="AB165">
        <v>1.5625E-2</v>
      </c>
      <c r="AC165">
        <v>0.75</v>
      </c>
      <c r="AD165">
        <v>0.765625</v>
      </c>
      <c r="AE165">
        <v>16623</v>
      </c>
      <c r="AF165">
        <v>391</v>
      </c>
      <c r="AG165">
        <v>16624</v>
      </c>
      <c r="AH165">
        <v>341</v>
      </c>
      <c r="AI165" s="1">
        <v>1.9880439814814816E-2</v>
      </c>
      <c r="AJ165" s="1">
        <v>1.9894328703703702E-2</v>
      </c>
    </row>
    <row r="166" spans="1:36" x14ac:dyDescent="0.25">
      <c r="A166" t="s">
        <v>114</v>
      </c>
      <c r="B166">
        <v>5</v>
      </c>
      <c r="C166" t="s">
        <v>34</v>
      </c>
      <c r="D166" t="s">
        <v>35</v>
      </c>
      <c r="E166" t="s">
        <v>128</v>
      </c>
      <c r="F166">
        <v>0</v>
      </c>
      <c r="G166">
        <v>1.9589704802783663</v>
      </c>
      <c r="I166">
        <v>204</v>
      </c>
      <c r="J166">
        <v>547</v>
      </c>
      <c r="K166">
        <v>205</v>
      </c>
      <c r="L166">
        <v>547</v>
      </c>
      <c r="M166">
        <v>0</v>
      </c>
      <c r="N166">
        <v>207</v>
      </c>
      <c r="O166">
        <v>0</v>
      </c>
      <c r="P166">
        <v>204</v>
      </c>
      <c r="Q166">
        <v>1.8285026270881133E-12</v>
      </c>
      <c r="R166">
        <v>0.63100000000000001</v>
      </c>
      <c r="S166">
        <v>0.05</v>
      </c>
      <c r="T166">
        <v>391</v>
      </c>
      <c r="U166">
        <v>341</v>
      </c>
      <c r="V166">
        <v>0</v>
      </c>
      <c r="W166">
        <v>0.20300000000000007</v>
      </c>
      <c r="X166">
        <v>3.125E-2</v>
      </c>
      <c r="Y166">
        <v>3.125E-2</v>
      </c>
      <c r="Z166">
        <v>6.25E-2</v>
      </c>
      <c r="AA166">
        <v>0.70299999999999996</v>
      </c>
      <c r="AB166">
        <v>4.6875E-2</v>
      </c>
      <c r="AC166">
        <v>0.640625</v>
      </c>
      <c r="AD166">
        <v>0.6875</v>
      </c>
      <c r="AE166">
        <v>16623</v>
      </c>
      <c r="AF166">
        <v>391</v>
      </c>
      <c r="AG166">
        <v>16624</v>
      </c>
      <c r="AH166">
        <v>341</v>
      </c>
      <c r="AI166" s="1">
        <v>1.9896643518518518E-2</v>
      </c>
      <c r="AJ166" s="1">
        <v>1.9908449074074075E-2</v>
      </c>
    </row>
    <row r="167" spans="1:36" x14ac:dyDescent="0.25">
      <c r="A167" t="s">
        <v>114</v>
      </c>
      <c r="B167">
        <v>6</v>
      </c>
      <c r="C167" t="s">
        <v>34</v>
      </c>
      <c r="D167" t="s">
        <v>35</v>
      </c>
      <c r="E167" t="s">
        <v>128</v>
      </c>
      <c r="F167">
        <v>0</v>
      </c>
      <c r="G167">
        <v>1.9589704802783663</v>
      </c>
      <c r="I167">
        <v>204</v>
      </c>
      <c r="J167">
        <v>547</v>
      </c>
      <c r="K167">
        <v>205</v>
      </c>
      <c r="L167">
        <v>547</v>
      </c>
      <c r="M167">
        <v>0</v>
      </c>
      <c r="N167">
        <v>207</v>
      </c>
      <c r="O167">
        <v>0</v>
      </c>
      <c r="P167">
        <v>204</v>
      </c>
      <c r="Q167">
        <v>1.8285026270881133E-12</v>
      </c>
      <c r="R167">
        <v>0.66900000000000004</v>
      </c>
      <c r="S167">
        <v>4.4999999999999998E-2</v>
      </c>
      <c r="T167">
        <v>391</v>
      </c>
      <c r="U167">
        <v>341</v>
      </c>
      <c r="V167">
        <v>0</v>
      </c>
      <c r="W167">
        <v>0.20400000000000007</v>
      </c>
      <c r="X167">
        <v>6.25E-2</v>
      </c>
      <c r="Y167">
        <v>0</v>
      </c>
      <c r="Z167">
        <v>6.25E-2</v>
      </c>
      <c r="AA167">
        <v>0.73399999999999999</v>
      </c>
      <c r="AB167">
        <v>0</v>
      </c>
      <c r="AC167">
        <v>0.71875</v>
      </c>
      <c r="AD167">
        <v>0.71875</v>
      </c>
      <c r="AE167">
        <v>16623</v>
      </c>
      <c r="AF167">
        <v>391</v>
      </c>
      <c r="AG167">
        <v>16624</v>
      </c>
      <c r="AH167">
        <v>341</v>
      </c>
      <c r="AI167" s="1">
        <v>1.9910300925925925E-2</v>
      </c>
      <c r="AJ167" s="1">
        <v>1.9923032407407407E-2</v>
      </c>
    </row>
    <row r="168" spans="1:36" x14ac:dyDescent="0.25">
      <c r="A168" t="s">
        <v>114</v>
      </c>
      <c r="B168">
        <v>7</v>
      </c>
      <c r="C168" t="s">
        <v>34</v>
      </c>
      <c r="D168" t="s">
        <v>35</v>
      </c>
      <c r="E168" t="s">
        <v>128</v>
      </c>
      <c r="F168">
        <v>0</v>
      </c>
      <c r="G168">
        <v>1.9589704802783663</v>
      </c>
      <c r="I168">
        <v>204</v>
      </c>
      <c r="J168">
        <v>547</v>
      </c>
      <c r="K168">
        <v>205</v>
      </c>
      <c r="L168">
        <v>547</v>
      </c>
      <c r="M168">
        <v>0</v>
      </c>
      <c r="N168">
        <v>207</v>
      </c>
      <c r="O168">
        <v>0</v>
      </c>
      <c r="P168">
        <v>204</v>
      </c>
      <c r="Q168">
        <v>1.8285026270881133E-12</v>
      </c>
      <c r="R168">
        <v>0.71399999999999997</v>
      </c>
      <c r="S168">
        <v>4.4999999999999998E-2</v>
      </c>
      <c r="T168">
        <v>391</v>
      </c>
      <c r="U168">
        <v>341</v>
      </c>
      <c r="V168">
        <v>0</v>
      </c>
      <c r="W168">
        <v>0.17200000000000004</v>
      </c>
      <c r="X168">
        <v>6.25E-2</v>
      </c>
      <c r="Y168">
        <v>1.5625E-2</v>
      </c>
      <c r="Z168">
        <v>7.8125E-2</v>
      </c>
      <c r="AA168">
        <v>0.78100000000000003</v>
      </c>
      <c r="AB168">
        <v>4.6875E-2</v>
      </c>
      <c r="AC168">
        <v>0.71875</v>
      </c>
      <c r="AD168">
        <v>0.765625</v>
      </c>
      <c r="AE168">
        <v>16623</v>
      </c>
      <c r="AF168">
        <v>391</v>
      </c>
      <c r="AG168">
        <v>16624</v>
      </c>
      <c r="AH168">
        <v>341</v>
      </c>
      <c r="AI168" s="1">
        <v>1.992488425925926E-2</v>
      </c>
      <c r="AJ168" s="1">
        <v>1.99375E-2</v>
      </c>
    </row>
    <row r="169" spans="1:36" x14ac:dyDescent="0.25">
      <c r="A169" t="s">
        <v>114</v>
      </c>
      <c r="B169">
        <v>8</v>
      </c>
      <c r="C169" t="s">
        <v>34</v>
      </c>
      <c r="D169" t="s">
        <v>35</v>
      </c>
      <c r="E169" t="s">
        <v>128</v>
      </c>
      <c r="F169">
        <v>0</v>
      </c>
      <c r="G169">
        <v>1.9589704802783663</v>
      </c>
      <c r="I169">
        <v>204</v>
      </c>
      <c r="J169">
        <v>547</v>
      </c>
      <c r="K169">
        <v>205</v>
      </c>
      <c r="L169">
        <v>547</v>
      </c>
      <c r="M169">
        <v>0</v>
      </c>
      <c r="N169">
        <v>207</v>
      </c>
      <c r="O169">
        <v>0</v>
      </c>
      <c r="P169">
        <v>204</v>
      </c>
      <c r="Q169">
        <v>1.8285026270881133E-12</v>
      </c>
      <c r="R169">
        <v>0.68799999999999994</v>
      </c>
      <c r="S169">
        <v>4.1000000000000002E-2</v>
      </c>
      <c r="T169">
        <v>391</v>
      </c>
      <c r="U169">
        <v>341</v>
      </c>
      <c r="V169">
        <v>0</v>
      </c>
      <c r="W169">
        <v>0.21799999999999986</v>
      </c>
      <c r="X169">
        <v>1.5625E-2</v>
      </c>
      <c r="Y169">
        <v>0.109375</v>
      </c>
      <c r="Z169">
        <v>0.125</v>
      </c>
      <c r="AA169">
        <v>0.75000000000000011</v>
      </c>
      <c r="AB169">
        <v>4.6875E-2</v>
      </c>
      <c r="AC169">
        <v>0.6875</v>
      </c>
      <c r="AD169">
        <v>0.734375</v>
      </c>
      <c r="AE169">
        <v>16623</v>
      </c>
      <c r="AF169">
        <v>391</v>
      </c>
      <c r="AG169">
        <v>16624</v>
      </c>
      <c r="AH169">
        <v>341</v>
      </c>
      <c r="AI169" s="1">
        <v>1.9938888888888888E-2</v>
      </c>
      <c r="AJ169" s="1">
        <v>1.9951736111111111E-2</v>
      </c>
    </row>
    <row r="170" spans="1:36" x14ac:dyDescent="0.25">
      <c r="A170" t="s">
        <v>114</v>
      </c>
      <c r="B170">
        <v>9</v>
      </c>
      <c r="C170" t="s">
        <v>34</v>
      </c>
      <c r="D170" t="s">
        <v>35</v>
      </c>
      <c r="E170" t="s">
        <v>128</v>
      </c>
      <c r="F170">
        <v>0</v>
      </c>
      <c r="G170">
        <v>1.9589704802783663</v>
      </c>
      <c r="I170">
        <v>204</v>
      </c>
      <c r="J170">
        <v>547</v>
      </c>
      <c r="K170">
        <v>205</v>
      </c>
      <c r="L170">
        <v>547</v>
      </c>
      <c r="M170">
        <v>0</v>
      </c>
      <c r="N170">
        <v>207</v>
      </c>
      <c r="O170">
        <v>0</v>
      </c>
      <c r="P170">
        <v>204</v>
      </c>
      <c r="Q170">
        <v>1.8285026270881133E-12</v>
      </c>
      <c r="R170">
        <v>0.67400000000000004</v>
      </c>
      <c r="S170">
        <v>4.1000000000000002E-2</v>
      </c>
      <c r="T170">
        <v>391</v>
      </c>
      <c r="U170">
        <v>341</v>
      </c>
      <c r="V170">
        <v>0</v>
      </c>
      <c r="W170">
        <v>0.18700000000000006</v>
      </c>
      <c r="X170">
        <v>1.5625E-2</v>
      </c>
      <c r="Y170">
        <v>6.25E-2</v>
      </c>
      <c r="Z170">
        <v>7.8125E-2</v>
      </c>
      <c r="AA170">
        <v>0.75</v>
      </c>
      <c r="AB170">
        <v>7.8125E-2</v>
      </c>
      <c r="AC170">
        <v>0.640625</v>
      </c>
      <c r="AD170">
        <v>0.71875</v>
      </c>
      <c r="AE170">
        <v>16623</v>
      </c>
      <c r="AF170">
        <v>391</v>
      </c>
      <c r="AG170">
        <v>16624</v>
      </c>
      <c r="AH170">
        <v>341</v>
      </c>
      <c r="AI170" s="1">
        <v>1.9953819444444444E-2</v>
      </c>
      <c r="AJ170" s="1">
        <v>1.9965972222222222E-2</v>
      </c>
    </row>
    <row r="171" spans="1:36" x14ac:dyDescent="0.25">
      <c r="A171" t="s">
        <v>114</v>
      </c>
      <c r="B171">
        <v>10</v>
      </c>
      <c r="C171" t="s">
        <v>34</v>
      </c>
      <c r="D171" t="s">
        <v>35</v>
      </c>
      <c r="E171" t="s">
        <v>128</v>
      </c>
      <c r="F171">
        <v>0</v>
      </c>
      <c r="G171">
        <v>1.9589704802783663</v>
      </c>
      <c r="I171">
        <v>204</v>
      </c>
      <c r="J171">
        <v>547</v>
      </c>
      <c r="K171">
        <v>205</v>
      </c>
      <c r="L171">
        <v>547</v>
      </c>
      <c r="M171">
        <v>0</v>
      </c>
      <c r="N171">
        <v>207</v>
      </c>
      <c r="O171">
        <v>0</v>
      </c>
      <c r="P171">
        <v>204</v>
      </c>
      <c r="Q171">
        <v>1.8285026270881133E-12</v>
      </c>
      <c r="R171">
        <v>0.67700000000000005</v>
      </c>
      <c r="S171">
        <v>4.2999999999999997E-2</v>
      </c>
      <c r="T171">
        <v>391</v>
      </c>
      <c r="U171">
        <v>341</v>
      </c>
      <c r="V171">
        <v>0</v>
      </c>
      <c r="W171">
        <v>0.20300000000000007</v>
      </c>
      <c r="X171">
        <v>1.5625E-2</v>
      </c>
      <c r="Y171">
        <v>3.125E-2</v>
      </c>
      <c r="Z171">
        <v>4.6875E-2</v>
      </c>
      <c r="AA171">
        <v>0.75</v>
      </c>
      <c r="AB171">
        <v>4.6875E-2</v>
      </c>
      <c r="AC171">
        <v>0.671875</v>
      </c>
      <c r="AD171">
        <v>0.71875</v>
      </c>
      <c r="AE171">
        <v>16623</v>
      </c>
      <c r="AF171">
        <v>391</v>
      </c>
      <c r="AG171">
        <v>16624</v>
      </c>
      <c r="AH171">
        <v>341</v>
      </c>
      <c r="AI171" s="1">
        <v>1.9967824074074075E-2</v>
      </c>
      <c r="AJ171" s="1">
        <v>1.9980324074074074E-2</v>
      </c>
    </row>
    <row r="172" spans="1:36" x14ac:dyDescent="0.25">
      <c r="A172" t="s">
        <v>115</v>
      </c>
      <c r="B172">
        <v>1</v>
      </c>
      <c r="C172" t="s">
        <v>120</v>
      </c>
      <c r="D172" t="s">
        <v>121</v>
      </c>
      <c r="E172" t="s">
        <v>104</v>
      </c>
      <c r="AI172" s="1">
        <v>1.9982291666666666E-2</v>
      </c>
      <c r="AJ172" s="1">
        <v>1.9984606481481482E-2</v>
      </c>
    </row>
    <row r="173" spans="1:36" x14ac:dyDescent="0.25">
      <c r="A173" t="s">
        <v>115</v>
      </c>
      <c r="B173">
        <v>2</v>
      </c>
      <c r="C173" t="s">
        <v>120</v>
      </c>
      <c r="D173" t="s">
        <v>121</v>
      </c>
      <c r="E173" t="s">
        <v>104</v>
      </c>
      <c r="AI173" s="1">
        <v>1.9987152777777777E-2</v>
      </c>
      <c r="AJ173" s="1">
        <v>1.9990162037037035E-2</v>
      </c>
    </row>
    <row r="174" spans="1:36" x14ac:dyDescent="0.25">
      <c r="A174" t="s">
        <v>115</v>
      </c>
      <c r="B174">
        <v>3</v>
      </c>
      <c r="C174" t="s">
        <v>120</v>
      </c>
      <c r="D174" t="s">
        <v>121</v>
      </c>
      <c r="E174" t="s">
        <v>104</v>
      </c>
      <c r="AI174" s="1">
        <v>1.9992129629629631E-2</v>
      </c>
      <c r="AJ174" s="1">
        <v>1.9994444444444443E-2</v>
      </c>
    </row>
    <row r="175" spans="1:36" x14ac:dyDescent="0.25">
      <c r="A175" t="s">
        <v>115</v>
      </c>
      <c r="B175">
        <v>4</v>
      </c>
      <c r="C175" t="s">
        <v>120</v>
      </c>
      <c r="D175" t="s">
        <v>121</v>
      </c>
      <c r="E175" t="s">
        <v>104</v>
      </c>
      <c r="AI175" s="1">
        <v>1.9996759259259259E-2</v>
      </c>
      <c r="AJ175" s="1">
        <v>1.9999537037037038E-2</v>
      </c>
    </row>
    <row r="176" spans="1:36" x14ac:dyDescent="0.25">
      <c r="A176" t="s">
        <v>115</v>
      </c>
      <c r="B176">
        <v>5</v>
      </c>
      <c r="C176" t="s">
        <v>120</v>
      </c>
      <c r="D176" t="s">
        <v>121</v>
      </c>
      <c r="E176" t="s">
        <v>104</v>
      </c>
      <c r="AI176" s="1">
        <v>2.0001504629629629E-2</v>
      </c>
      <c r="AJ176" s="1">
        <v>2.0004513888888888E-2</v>
      </c>
    </row>
    <row r="177" spans="1:36" x14ac:dyDescent="0.25">
      <c r="A177" t="s">
        <v>115</v>
      </c>
      <c r="B177">
        <v>6</v>
      </c>
      <c r="C177" t="s">
        <v>120</v>
      </c>
      <c r="D177" t="s">
        <v>121</v>
      </c>
      <c r="E177" t="s">
        <v>104</v>
      </c>
      <c r="AI177" s="1">
        <v>2.000625E-2</v>
      </c>
      <c r="AJ177" s="1">
        <v>2.0008680555555554E-2</v>
      </c>
    </row>
    <row r="178" spans="1:36" x14ac:dyDescent="0.25">
      <c r="A178" t="s">
        <v>115</v>
      </c>
      <c r="B178">
        <v>7</v>
      </c>
      <c r="C178" t="s">
        <v>120</v>
      </c>
      <c r="D178" t="s">
        <v>121</v>
      </c>
      <c r="E178" t="s">
        <v>104</v>
      </c>
      <c r="AI178" s="1">
        <v>2.0010648148148149E-2</v>
      </c>
      <c r="AJ178" s="1">
        <v>2.0013078703703703E-2</v>
      </c>
    </row>
    <row r="179" spans="1:36" x14ac:dyDescent="0.25">
      <c r="A179" t="s">
        <v>115</v>
      </c>
      <c r="B179">
        <v>8</v>
      </c>
      <c r="C179" t="s">
        <v>120</v>
      </c>
      <c r="D179" t="s">
        <v>121</v>
      </c>
      <c r="E179" t="s">
        <v>104</v>
      </c>
      <c r="AI179" s="1">
        <v>2.0015277777777778E-2</v>
      </c>
      <c r="AJ179" s="1">
        <v>2.0017708333333332E-2</v>
      </c>
    </row>
    <row r="180" spans="1:36" x14ac:dyDescent="0.25">
      <c r="A180" t="s">
        <v>115</v>
      </c>
      <c r="B180">
        <v>9</v>
      </c>
      <c r="C180" t="s">
        <v>120</v>
      </c>
      <c r="D180" t="s">
        <v>121</v>
      </c>
      <c r="E180" t="s">
        <v>104</v>
      </c>
      <c r="AI180" s="1">
        <v>2.0019444444444444E-2</v>
      </c>
      <c r="AJ180" s="1">
        <v>2.0022337962962964E-2</v>
      </c>
    </row>
    <row r="181" spans="1:36" x14ac:dyDescent="0.25">
      <c r="A181" t="s">
        <v>115</v>
      </c>
      <c r="B181">
        <v>10</v>
      </c>
      <c r="C181" t="s">
        <v>120</v>
      </c>
      <c r="D181" t="s">
        <v>121</v>
      </c>
      <c r="E181" t="s">
        <v>104</v>
      </c>
      <c r="AI181" s="1">
        <v>2.0024189814814814E-2</v>
      </c>
      <c r="AJ181" s="1">
        <v>2.0026388888888889E-2</v>
      </c>
    </row>
    <row r="182" spans="1:36" x14ac:dyDescent="0.25">
      <c r="A182" t="s">
        <v>116</v>
      </c>
      <c r="B182">
        <v>1</v>
      </c>
      <c r="C182" t="s">
        <v>104</v>
      </c>
      <c r="D182" t="s">
        <v>104</v>
      </c>
      <c r="E182" t="s">
        <v>131</v>
      </c>
      <c r="F182">
        <v>999</v>
      </c>
      <c r="G182">
        <v>0</v>
      </c>
      <c r="W182">
        <v>3.1E-2</v>
      </c>
      <c r="X182">
        <v>6.25E-2</v>
      </c>
      <c r="Y182">
        <v>0</v>
      </c>
      <c r="Z182">
        <v>6.25E-2</v>
      </c>
      <c r="AA182">
        <v>0</v>
      </c>
      <c r="AB182">
        <v>0</v>
      </c>
      <c r="AC182">
        <v>0</v>
      </c>
      <c r="AD182">
        <v>0</v>
      </c>
      <c r="AE182">
        <v>16623</v>
      </c>
      <c r="AF182">
        <v>391</v>
      </c>
      <c r="AG182">
        <v>16624</v>
      </c>
      <c r="AH182">
        <v>341</v>
      </c>
      <c r="AI182" s="1">
        <v>2.0028009259259259E-2</v>
      </c>
      <c r="AJ182" s="1">
        <v>2.0029745370370371E-2</v>
      </c>
    </row>
    <row r="183" spans="1:36" x14ac:dyDescent="0.25">
      <c r="A183" t="s">
        <v>116</v>
      </c>
      <c r="B183">
        <v>2</v>
      </c>
      <c r="C183" t="s">
        <v>104</v>
      </c>
      <c r="D183" t="s">
        <v>104</v>
      </c>
      <c r="E183" t="s">
        <v>131</v>
      </c>
      <c r="F183">
        <v>999</v>
      </c>
      <c r="G183">
        <v>0</v>
      </c>
      <c r="W183">
        <v>4.7E-2</v>
      </c>
      <c r="X183">
        <v>1.5625E-2</v>
      </c>
      <c r="Y183">
        <v>4.6875E-2</v>
      </c>
      <c r="Z183">
        <v>6.25E-2</v>
      </c>
      <c r="AA183">
        <v>0</v>
      </c>
      <c r="AB183">
        <v>0</v>
      </c>
      <c r="AC183">
        <v>0</v>
      </c>
      <c r="AD183">
        <v>0</v>
      </c>
      <c r="AE183">
        <v>16623</v>
      </c>
      <c r="AF183">
        <v>391</v>
      </c>
      <c r="AG183">
        <v>16624</v>
      </c>
      <c r="AH183">
        <v>341</v>
      </c>
      <c r="AI183" s="1">
        <v>2.0031597222222221E-2</v>
      </c>
      <c r="AJ183" s="1">
        <v>2.0033101851851851E-2</v>
      </c>
    </row>
    <row r="184" spans="1:36" x14ac:dyDescent="0.25">
      <c r="A184" t="s">
        <v>116</v>
      </c>
      <c r="B184">
        <v>3</v>
      </c>
      <c r="C184" t="s">
        <v>104</v>
      </c>
      <c r="D184" t="s">
        <v>104</v>
      </c>
      <c r="E184" t="s">
        <v>131</v>
      </c>
      <c r="F184">
        <v>999</v>
      </c>
      <c r="G184">
        <v>0</v>
      </c>
      <c r="W184">
        <v>4.7E-2</v>
      </c>
      <c r="X184">
        <v>4.6875E-2</v>
      </c>
      <c r="Y184">
        <v>1.5625E-2</v>
      </c>
      <c r="Z184">
        <v>6.25E-2</v>
      </c>
      <c r="AA184">
        <v>0</v>
      </c>
      <c r="AB184">
        <v>0</v>
      </c>
      <c r="AC184">
        <v>0</v>
      </c>
      <c r="AD184">
        <v>0</v>
      </c>
      <c r="AE184">
        <v>16623</v>
      </c>
      <c r="AF184">
        <v>391</v>
      </c>
      <c r="AG184">
        <v>16624</v>
      </c>
      <c r="AH184">
        <v>341</v>
      </c>
      <c r="AI184" s="1">
        <v>2.0034722222222221E-2</v>
      </c>
      <c r="AJ184" s="1">
        <v>2.0036574074074075E-2</v>
      </c>
    </row>
    <row r="185" spans="1:36" x14ac:dyDescent="0.25">
      <c r="A185" t="s">
        <v>116</v>
      </c>
      <c r="B185">
        <v>4</v>
      </c>
      <c r="C185" t="s">
        <v>104</v>
      </c>
      <c r="D185" t="s">
        <v>104</v>
      </c>
      <c r="E185" t="s">
        <v>131</v>
      </c>
      <c r="F185">
        <v>999</v>
      </c>
      <c r="G185">
        <v>0</v>
      </c>
      <c r="W185">
        <v>3.1E-2</v>
      </c>
      <c r="X185">
        <v>6.25E-2</v>
      </c>
      <c r="Y185">
        <v>0</v>
      </c>
      <c r="Z185">
        <v>6.25E-2</v>
      </c>
      <c r="AA185">
        <v>1.6E-2</v>
      </c>
      <c r="AB185">
        <v>0</v>
      </c>
      <c r="AC185">
        <v>0</v>
      </c>
      <c r="AD185">
        <v>0</v>
      </c>
      <c r="AE185">
        <v>16623</v>
      </c>
      <c r="AF185">
        <v>391</v>
      </c>
      <c r="AG185">
        <v>16624</v>
      </c>
      <c r="AH185">
        <v>341</v>
      </c>
      <c r="AI185" s="1">
        <v>2.0038194444444445E-2</v>
      </c>
      <c r="AJ185" s="1">
        <v>2.0039930555555554E-2</v>
      </c>
    </row>
    <row r="186" spans="1:36" x14ac:dyDescent="0.25">
      <c r="A186" t="s">
        <v>116</v>
      </c>
      <c r="B186">
        <v>5</v>
      </c>
      <c r="C186" t="s">
        <v>104</v>
      </c>
      <c r="D186" t="s">
        <v>104</v>
      </c>
      <c r="E186" t="s">
        <v>131</v>
      </c>
      <c r="F186">
        <v>999</v>
      </c>
      <c r="G186">
        <v>0</v>
      </c>
      <c r="W186">
        <v>6.3E-2</v>
      </c>
      <c r="X186">
        <v>1.5625E-2</v>
      </c>
      <c r="Y186">
        <v>4.6875E-2</v>
      </c>
      <c r="Z186">
        <v>6.25E-2</v>
      </c>
      <c r="AA186">
        <v>0</v>
      </c>
      <c r="AB186">
        <v>0</v>
      </c>
      <c r="AC186">
        <v>0</v>
      </c>
      <c r="AD186">
        <v>0</v>
      </c>
      <c r="AE186">
        <v>16623</v>
      </c>
      <c r="AF186">
        <v>391</v>
      </c>
      <c r="AG186">
        <v>16624</v>
      </c>
      <c r="AH186">
        <v>341</v>
      </c>
      <c r="AI186" s="1">
        <v>2.0041550925925924E-2</v>
      </c>
      <c r="AJ186" s="1">
        <v>2.0043171296296295E-2</v>
      </c>
    </row>
    <row r="187" spans="1:36" x14ac:dyDescent="0.25">
      <c r="A187" t="s">
        <v>116</v>
      </c>
      <c r="B187">
        <v>6</v>
      </c>
      <c r="C187" t="s">
        <v>104</v>
      </c>
      <c r="D187" t="s">
        <v>104</v>
      </c>
      <c r="E187" t="s">
        <v>131</v>
      </c>
      <c r="F187">
        <v>999</v>
      </c>
      <c r="G187">
        <v>0</v>
      </c>
      <c r="W187">
        <v>4.7E-2</v>
      </c>
      <c r="X187">
        <v>0</v>
      </c>
      <c r="Y187">
        <v>4.6875E-2</v>
      </c>
      <c r="Z187">
        <v>4.6875E-2</v>
      </c>
      <c r="AA187">
        <v>0</v>
      </c>
      <c r="AB187">
        <v>0</v>
      </c>
      <c r="AC187">
        <v>0</v>
      </c>
      <c r="AD187">
        <v>0</v>
      </c>
      <c r="AE187">
        <v>16623</v>
      </c>
      <c r="AF187">
        <v>391</v>
      </c>
      <c r="AG187">
        <v>16624</v>
      </c>
      <c r="AH187">
        <v>341</v>
      </c>
      <c r="AI187" s="1">
        <v>2.004537037037037E-2</v>
      </c>
      <c r="AJ187" s="1">
        <v>2.004699074074074E-2</v>
      </c>
    </row>
    <row r="188" spans="1:36" x14ac:dyDescent="0.25">
      <c r="A188" t="s">
        <v>116</v>
      </c>
      <c r="B188">
        <v>7</v>
      </c>
      <c r="C188" t="s">
        <v>104</v>
      </c>
      <c r="D188" t="s">
        <v>104</v>
      </c>
      <c r="E188" t="s">
        <v>131</v>
      </c>
      <c r="F188">
        <v>999</v>
      </c>
      <c r="G188">
        <v>0</v>
      </c>
      <c r="W188">
        <v>4.7E-2</v>
      </c>
      <c r="X188">
        <v>1.5625E-2</v>
      </c>
      <c r="Y188">
        <v>3.125E-2</v>
      </c>
      <c r="Z188">
        <v>4.6875E-2</v>
      </c>
      <c r="AA188">
        <v>0</v>
      </c>
      <c r="AB188">
        <v>0</v>
      </c>
      <c r="AC188">
        <v>0</v>
      </c>
      <c r="AD188">
        <v>0</v>
      </c>
      <c r="AE188">
        <v>16623</v>
      </c>
      <c r="AF188">
        <v>391</v>
      </c>
      <c r="AG188">
        <v>16624</v>
      </c>
      <c r="AH188">
        <v>341</v>
      </c>
      <c r="AI188" s="1">
        <v>2.0048726851851852E-2</v>
      </c>
      <c r="AJ188" s="1">
        <v>2.0050231481481481E-2</v>
      </c>
    </row>
    <row r="189" spans="1:36" x14ac:dyDescent="0.25">
      <c r="A189" t="s">
        <v>116</v>
      </c>
      <c r="B189">
        <v>8</v>
      </c>
      <c r="C189" t="s">
        <v>104</v>
      </c>
      <c r="D189" t="s">
        <v>104</v>
      </c>
      <c r="E189" t="s">
        <v>131</v>
      </c>
      <c r="F189">
        <v>999</v>
      </c>
      <c r="G189">
        <v>0</v>
      </c>
      <c r="W189">
        <v>4.7E-2</v>
      </c>
      <c r="X189">
        <v>0</v>
      </c>
      <c r="Y189">
        <v>6.25E-2</v>
      </c>
      <c r="Z189">
        <v>6.25E-2</v>
      </c>
      <c r="AA189">
        <v>0</v>
      </c>
      <c r="AB189">
        <v>0</v>
      </c>
      <c r="AC189">
        <v>0</v>
      </c>
      <c r="AD189">
        <v>0</v>
      </c>
      <c r="AE189">
        <v>16623</v>
      </c>
      <c r="AF189">
        <v>391</v>
      </c>
      <c r="AG189">
        <v>16624</v>
      </c>
      <c r="AH189">
        <v>341</v>
      </c>
      <c r="AI189" s="1">
        <v>2.0051851851851852E-2</v>
      </c>
      <c r="AJ189" s="1">
        <v>2.0053472222222223E-2</v>
      </c>
    </row>
    <row r="190" spans="1:36" x14ac:dyDescent="0.25">
      <c r="A190" t="s">
        <v>116</v>
      </c>
      <c r="B190">
        <v>9</v>
      </c>
      <c r="C190" t="s">
        <v>104</v>
      </c>
      <c r="D190" t="s">
        <v>104</v>
      </c>
      <c r="E190" t="s">
        <v>131</v>
      </c>
      <c r="F190">
        <v>999</v>
      </c>
      <c r="G190">
        <v>0</v>
      </c>
      <c r="W190">
        <v>6.2E-2</v>
      </c>
      <c r="X190">
        <v>1.5625E-2</v>
      </c>
      <c r="Y190">
        <v>3.125E-2</v>
      </c>
      <c r="Z190">
        <v>4.6875E-2</v>
      </c>
      <c r="AA190">
        <v>0</v>
      </c>
      <c r="AB190">
        <v>0</v>
      </c>
      <c r="AC190">
        <v>0</v>
      </c>
      <c r="AD190">
        <v>0</v>
      </c>
      <c r="AE190">
        <v>16623</v>
      </c>
      <c r="AF190">
        <v>391</v>
      </c>
      <c r="AG190">
        <v>16624</v>
      </c>
      <c r="AH190">
        <v>341</v>
      </c>
      <c r="AI190" s="1">
        <v>2.0055092592592593E-2</v>
      </c>
      <c r="AJ190" s="1">
        <v>2.0056597222222222E-2</v>
      </c>
    </row>
    <row r="191" spans="1:36" x14ac:dyDescent="0.25">
      <c r="A191" t="s">
        <v>116</v>
      </c>
      <c r="B191">
        <v>10</v>
      </c>
      <c r="C191" t="s">
        <v>104</v>
      </c>
      <c r="D191" t="s">
        <v>104</v>
      </c>
      <c r="E191" t="s">
        <v>131</v>
      </c>
      <c r="F191">
        <v>999</v>
      </c>
      <c r="G191">
        <v>0</v>
      </c>
      <c r="W191">
        <v>4.7E-2</v>
      </c>
      <c r="X191">
        <v>1.5625E-2</v>
      </c>
      <c r="Y191">
        <v>4.6875E-2</v>
      </c>
      <c r="Z191">
        <v>6.25E-2</v>
      </c>
      <c r="AA191">
        <v>0</v>
      </c>
      <c r="AB191">
        <v>0</v>
      </c>
      <c r="AC191">
        <v>0</v>
      </c>
      <c r="AD191">
        <v>0</v>
      </c>
      <c r="AE191">
        <v>16623</v>
      </c>
      <c r="AF191">
        <v>391</v>
      </c>
      <c r="AG191">
        <v>16624</v>
      </c>
      <c r="AH191">
        <v>341</v>
      </c>
      <c r="AI191" s="1">
        <v>2.0058217592592593E-2</v>
      </c>
      <c r="AJ191" s="1">
        <v>2.0059722222222222E-2</v>
      </c>
    </row>
    <row r="192" spans="1:36" x14ac:dyDescent="0.25">
      <c r="A192" t="s">
        <v>134</v>
      </c>
      <c r="B192">
        <v>1</v>
      </c>
      <c r="C192" t="s">
        <v>104</v>
      </c>
      <c r="D192" t="s">
        <v>104</v>
      </c>
      <c r="E192" t="s">
        <v>128</v>
      </c>
      <c r="F192">
        <v>0</v>
      </c>
      <c r="G192">
        <v>1.9589703821413573</v>
      </c>
      <c r="W192">
        <v>0.17100000000000004</v>
      </c>
      <c r="X192">
        <v>3.125E-2</v>
      </c>
      <c r="Y192">
        <v>6.25E-2</v>
      </c>
      <c r="Z192">
        <v>9.375E-2</v>
      </c>
      <c r="AA192">
        <v>0.625</v>
      </c>
      <c r="AB192">
        <v>3.125E-2</v>
      </c>
      <c r="AC192">
        <v>1.5625E-2</v>
      </c>
      <c r="AD192">
        <v>4.6875E-2</v>
      </c>
      <c r="AE192">
        <v>16623</v>
      </c>
      <c r="AF192">
        <v>391</v>
      </c>
      <c r="AG192">
        <v>16624</v>
      </c>
      <c r="AH192">
        <v>341</v>
      </c>
      <c r="AI192" s="1">
        <v>2.0061342592592592E-2</v>
      </c>
      <c r="AJ192" s="1">
        <v>2.007164351851852E-2</v>
      </c>
    </row>
    <row r="193" spans="1:36" x14ac:dyDescent="0.25">
      <c r="A193" t="s">
        <v>134</v>
      </c>
      <c r="B193">
        <v>2</v>
      </c>
      <c r="C193" t="s">
        <v>104</v>
      </c>
      <c r="D193" t="s">
        <v>104</v>
      </c>
      <c r="E193" t="s">
        <v>128</v>
      </c>
      <c r="F193">
        <v>0</v>
      </c>
      <c r="G193">
        <v>1.9589703821413573</v>
      </c>
      <c r="W193">
        <v>0.18700000000000003</v>
      </c>
      <c r="X193">
        <v>1.5625E-2</v>
      </c>
      <c r="Y193">
        <v>7.8125E-2</v>
      </c>
      <c r="Z193">
        <v>9.375E-2</v>
      </c>
      <c r="AA193">
        <v>9.4E-2</v>
      </c>
      <c r="AB193">
        <v>4.6875E-2</v>
      </c>
      <c r="AC193">
        <v>0</v>
      </c>
      <c r="AD193">
        <v>4.6875E-2</v>
      </c>
      <c r="AE193">
        <v>16623</v>
      </c>
      <c r="AF193">
        <v>391</v>
      </c>
      <c r="AG193">
        <v>16624</v>
      </c>
      <c r="AH193">
        <v>341</v>
      </c>
      <c r="AI193" s="1">
        <v>2.007349537037037E-2</v>
      </c>
      <c r="AJ193" s="1">
        <v>2.007824074074074E-2</v>
      </c>
    </row>
    <row r="194" spans="1:36" x14ac:dyDescent="0.25">
      <c r="A194" t="s">
        <v>134</v>
      </c>
      <c r="B194">
        <v>3</v>
      </c>
      <c r="C194" t="s">
        <v>104</v>
      </c>
      <c r="D194" t="s">
        <v>104</v>
      </c>
      <c r="E194" t="s">
        <v>128</v>
      </c>
      <c r="F194">
        <v>0</v>
      </c>
      <c r="G194">
        <v>1.9589703821413573</v>
      </c>
      <c r="W194">
        <v>0.17199999999999999</v>
      </c>
      <c r="X194">
        <v>3.125E-2</v>
      </c>
      <c r="Y194">
        <v>3.125E-2</v>
      </c>
      <c r="Z194">
        <v>6.25E-2</v>
      </c>
      <c r="AA194">
        <v>7.8E-2</v>
      </c>
      <c r="AB194">
        <v>1.5625E-2</v>
      </c>
      <c r="AC194">
        <v>1.5625E-2</v>
      </c>
      <c r="AD194">
        <v>3.125E-2</v>
      </c>
      <c r="AE194">
        <v>16623</v>
      </c>
      <c r="AF194">
        <v>391</v>
      </c>
      <c r="AG194">
        <v>16624</v>
      </c>
      <c r="AH194">
        <v>341</v>
      </c>
      <c r="AI194" s="1">
        <v>2.0080092592592594E-2</v>
      </c>
      <c r="AJ194" s="1">
        <v>2.0084375000000002E-2</v>
      </c>
    </row>
    <row r="195" spans="1:36" x14ac:dyDescent="0.25">
      <c r="A195" t="s">
        <v>134</v>
      </c>
      <c r="B195">
        <v>4</v>
      </c>
      <c r="C195" t="s">
        <v>104</v>
      </c>
      <c r="D195" t="s">
        <v>104</v>
      </c>
      <c r="E195" t="s">
        <v>128</v>
      </c>
      <c r="F195">
        <v>0</v>
      </c>
      <c r="G195">
        <v>1.9589703821413573</v>
      </c>
      <c r="W195">
        <v>0.15599999999999997</v>
      </c>
      <c r="X195">
        <v>1.5625E-2</v>
      </c>
      <c r="Y195">
        <v>4.6875E-2</v>
      </c>
      <c r="Z195">
        <v>6.25E-2</v>
      </c>
      <c r="AA195">
        <v>7.8E-2</v>
      </c>
      <c r="AB195">
        <v>1.5625E-2</v>
      </c>
      <c r="AC195">
        <v>0</v>
      </c>
      <c r="AD195">
        <v>1.5625E-2</v>
      </c>
      <c r="AE195">
        <v>16623</v>
      </c>
      <c r="AF195">
        <v>391</v>
      </c>
      <c r="AG195">
        <v>16624</v>
      </c>
      <c r="AH195">
        <v>341</v>
      </c>
      <c r="AI195" s="1">
        <v>2.0085995370370369E-2</v>
      </c>
      <c r="AJ195" s="1">
        <v>2.0090046296296297E-2</v>
      </c>
    </row>
    <row r="196" spans="1:36" x14ac:dyDescent="0.25">
      <c r="A196" t="s">
        <v>134</v>
      </c>
      <c r="B196">
        <v>5</v>
      </c>
      <c r="C196" t="s">
        <v>104</v>
      </c>
      <c r="D196" t="s">
        <v>104</v>
      </c>
      <c r="E196" t="s">
        <v>128</v>
      </c>
      <c r="F196">
        <v>0</v>
      </c>
      <c r="G196">
        <v>1.9589703821413573</v>
      </c>
      <c r="W196">
        <v>0.14100000000000001</v>
      </c>
      <c r="X196">
        <v>1.5625E-2</v>
      </c>
      <c r="Y196">
        <v>7.8125E-2</v>
      </c>
      <c r="Z196">
        <v>9.375E-2</v>
      </c>
      <c r="AA196">
        <v>7.8E-2</v>
      </c>
      <c r="AB196">
        <v>0</v>
      </c>
      <c r="AC196">
        <v>3.125E-2</v>
      </c>
      <c r="AD196">
        <v>3.125E-2</v>
      </c>
      <c r="AE196">
        <v>16623</v>
      </c>
      <c r="AF196">
        <v>391</v>
      </c>
      <c r="AG196">
        <v>16624</v>
      </c>
      <c r="AH196">
        <v>341</v>
      </c>
      <c r="AI196" s="1">
        <v>2.0092361111111109E-2</v>
      </c>
      <c r="AJ196" s="1">
        <v>2.0096643518518517E-2</v>
      </c>
    </row>
    <row r="197" spans="1:36" x14ac:dyDescent="0.25">
      <c r="A197" t="s">
        <v>134</v>
      </c>
      <c r="B197">
        <v>6</v>
      </c>
      <c r="C197" t="s">
        <v>104</v>
      </c>
      <c r="D197" t="s">
        <v>104</v>
      </c>
      <c r="E197" t="s">
        <v>128</v>
      </c>
      <c r="F197">
        <v>0</v>
      </c>
      <c r="G197">
        <v>1.9589703821413573</v>
      </c>
      <c r="W197">
        <v>0.14100000000000001</v>
      </c>
      <c r="X197">
        <v>1.5625E-2</v>
      </c>
      <c r="Y197">
        <v>4.6875E-2</v>
      </c>
      <c r="Z197">
        <v>6.25E-2</v>
      </c>
      <c r="AA197">
        <v>7.8E-2</v>
      </c>
      <c r="AB197">
        <v>1.5625E-2</v>
      </c>
      <c r="AC197">
        <v>1.5625E-2</v>
      </c>
      <c r="AD197">
        <v>3.125E-2</v>
      </c>
      <c r="AE197">
        <v>16623</v>
      </c>
      <c r="AF197">
        <v>391</v>
      </c>
      <c r="AG197">
        <v>16624</v>
      </c>
      <c r="AH197">
        <v>341</v>
      </c>
      <c r="AI197" s="1">
        <v>2.0098263888888888E-2</v>
      </c>
      <c r="AJ197" s="1">
        <v>2.0102199074074074E-2</v>
      </c>
    </row>
    <row r="198" spans="1:36" x14ac:dyDescent="0.25">
      <c r="A198" t="s">
        <v>134</v>
      </c>
      <c r="B198">
        <v>7</v>
      </c>
      <c r="C198" t="s">
        <v>104</v>
      </c>
      <c r="D198" t="s">
        <v>104</v>
      </c>
      <c r="E198" t="s">
        <v>128</v>
      </c>
      <c r="F198">
        <v>0</v>
      </c>
      <c r="G198">
        <v>1.9589703821413573</v>
      </c>
      <c r="W198">
        <v>0.15500000000000003</v>
      </c>
      <c r="X198">
        <v>4.6875E-2</v>
      </c>
      <c r="Y198">
        <v>3.125E-2</v>
      </c>
      <c r="Z198">
        <v>7.8125E-2</v>
      </c>
      <c r="AA198">
        <v>7.9000000000000001E-2</v>
      </c>
      <c r="AB198">
        <v>0</v>
      </c>
      <c r="AC198">
        <v>3.125E-2</v>
      </c>
      <c r="AD198">
        <v>3.125E-2</v>
      </c>
      <c r="AE198">
        <v>16623</v>
      </c>
      <c r="AF198">
        <v>391</v>
      </c>
      <c r="AG198">
        <v>16624</v>
      </c>
      <c r="AH198">
        <v>341</v>
      </c>
      <c r="AI198" s="1">
        <v>2.0104282407407408E-2</v>
      </c>
      <c r="AJ198" s="1">
        <v>2.0108449074074074E-2</v>
      </c>
    </row>
    <row r="199" spans="1:36" x14ac:dyDescent="0.25">
      <c r="A199" t="s">
        <v>134</v>
      </c>
      <c r="B199">
        <v>8</v>
      </c>
      <c r="C199" t="s">
        <v>104</v>
      </c>
      <c r="D199" t="s">
        <v>104</v>
      </c>
      <c r="E199" t="s">
        <v>128</v>
      </c>
      <c r="F199">
        <v>0</v>
      </c>
      <c r="G199">
        <v>1.9589703821413573</v>
      </c>
      <c r="W199">
        <v>0.15600000000000003</v>
      </c>
      <c r="X199">
        <v>4.6875E-2</v>
      </c>
      <c r="Y199">
        <v>4.6875E-2</v>
      </c>
      <c r="Z199">
        <v>9.375E-2</v>
      </c>
      <c r="AA199">
        <v>7.8E-2</v>
      </c>
      <c r="AB199">
        <v>1.5625E-2</v>
      </c>
      <c r="AC199">
        <v>0</v>
      </c>
      <c r="AD199">
        <v>1.5625E-2</v>
      </c>
      <c r="AE199">
        <v>16623</v>
      </c>
      <c r="AF199">
        <v>391</v>
      </c>
      <c r="AG199">
        <v>16624</v>
      </c>
      <c r="AH199">
        <v>341</v>
      </c>
      <c r="AI199" s="1">
        <v>2.0110300925925927E-2</v>
      </c>
      <c r="AJ199" s="1">
        <v>2.0114236111111111E-2</v>
      </c>
    </row>
    <row r="200" spans="1:36" x14ac:dyDescent="0.25">
      <c r="A200" t="s">
        <v>134</v>
      </c>
      <c r="B200">
        <v>9</v>
      </c>
      <c r="C200" t="s">
        <v>104</v>
      </c>
      <c r="D200" t="s">
        <v>104</v>
      </c>
      <c r="E200" t="s">
        <v>128</v>
      </c>
      <c r="F200">
        <v>0</v>
      </c>
      <c r="G200">
        <v>1.9589703821413573</v>
      </c>
      <c r="W200">
        <v>0.156</v>
      </c>
      <c r="X200">
        <v>4.6875E-2</v>
      </c>
      <c r="Y200">
        <v>6.25E-2</v>
      </c>
      <c r="Z200">
        <v>0.109375</v>
      </c>
      <c r="AA200">
        <v>7.8000000000000014E-2</v>
      </c>
      <c r="AB200">
        <v>1.5625E-2</v>
      </c>
      <c r="AC200">
        <v>3.125E-2</v>
      </c>
      <c r="AD200">
        <v>4.6875E-2</v>
      </c>
      <c r="AE200">
        <v>16623</v>
      </c>
      <c r="AF200">
        <v>391</v>
      </c>
      <c r="AG200">
        <v>16624</v>
      </c>
      <c r="AH200">
        <v>341</v>
      </c>
      <c r="AI200" s="1">
        <v>2.0115972222222223E-2</v>
      </c>
      <c r="AJ200" s="1">
        <v>2.0120138888888889E-2</v>
      </c>
    </row>
    <row r="201" spans="1:36" x14ac:dyDescent="0.25">
      <c r="A201" t="s">
        <v>134</v>
      </c>
      <c r="B201">
        <v>10</v>
      </c>
      <c r="C201" t="s">
        <v>104</v>
      </c>
      <c r="D201" t="s">
        <v>104</v>
      </c>
      <c r="E201" t="s">
        <v>128</v>
      </c>
      <c r="F201">
        <v>0</v>
      </c>
      <c r="G201">
        <v>1.9589703821413573</v>
      </c>
      <c r="W201">
        <v>0.20400000000000001</v>
      </c>
      <c r="X201">
        <v>3.125E-2</v>
      </c>
      <c r="Y201">
        <v>3.125E-2</v>
      </c>
      <c r="Z201">
        <v>6.25E-2</v>
      </c>
      <c r="AA201">
        <v>6.2E-2</v>
      </c>
      <c r="AB201">
        <v>1.5625E-2</v>
      </c>
      <c r="AC201">
        <v>1.5625E-2</v>
      </c>
      <c r="AD201">
        <v>3.125E-2</v>
      </c>
      <c r="AE201">
        <v>16623</v>
      </c>
      <c r="AF201">
        <v>391</v>
      </c>
      <c r="AG201">
        <v>16624</v>
      </c>
      <c r="AH201">
        <v>341</v>
      </c>
      <c r="AI201" s="1">
        <v>2.0122569444444443E-2</v>
      </c>
      <c r="AJ201" s="1">
        <v>2.0127083333333334E-2</v>
      </c>
    </row>
    <row r="202" spans="1:36" x14ac:dyDescent="0.25">
      <c r="A202" t="s">
        <v>135</v>
      </c>
      <c r="B202">
        <v>1</v>
      </c>
      <c r="C202" t="s">
        <v>104</v>
      </c>
      <c r="D202" t="s">
        <v>104</v>
      </c>
      <c r="E202" t="s">
        <v>133</v>
      </c>
      <c r="F202">
        <v>200</v>
      </c>
      <c r="G202">
        <v>0</v>
      </c>
      <c r="W202">
        <v>0.15500000000000003</v>
      </c>
      <c r="X202">
        <v>3.125E-2</v>
      </c>
      <c r="Y202">
        <v>3.125E-2</v>
      </c>
      <c r="Z202">
        <v>6.25E-2</v>
      </c>
      <c r="AA202">
        <v>0.36</v>
      </c>
      <c r="AB202">
        <v>4.6875E-2</v>
      </c>
      <c r="AC202">
        <v>3.125E-2</v>
      </c>
      <c r="AD202">
        <v>7.8125E-2</v>
      </c>
      <c r="AE202">
        <v>16623</v>
      </c>
      <c r="AF202">
        <v>391</v>
      </c>
      <c r="AG202">
        <v>16624</v>
      </c>
      <c r="AH202">
        <v>341</v>
      </c>
      <c r="AI202" s="1">
        <v>2.0128819444444446E-2</v>
      </c>
      <c r="AJ202" s="1">
        <v>2.0135648148148149E-2</v>
      </c>
    </row>
    <row r="203" spans="1:36" x14ac:dyDescent="0.25">
      <c r="A203" t="s">
        <v>135</v>
      </c>
      <c r="B203">
        <v>2</v>
      </c>
      <c r="C203" t="s">
        <v>104</v>
      </c>
      <c r="D203" t="s">
        <v>104</v>
      </c>
      <c r="E203" t="s">
        <v>133</v>
      </c>
      <c r="F203">
        <v>200</v>
      </c>
      <c r="G203">
        <v>0</v>
      </c>
      <c r="W203">
        <v>0.17299999999999999</v>
      </c>
      <c r="X203">
        <v>1.5625E-2</v>
      </c>
      <c r="Y203">
        <v>7.8125E-2</v>
      </c>
      <c r="Z203">
        <v>9.375E-2</v>
      </c>
      <c r="AA203">
        <v>0.14000000000000001</v>
      </c>
      <c r="AB203">
        <v>4.6875E-2</v>
      </c>
      <c r="AC203">
        <v>3.125E-2</v>
      </c>
      <c r="AD203">
        <v>7.8125E-2</v>
      </c>
      <c r="AE203">
        <v>16623</v>
      </c>
      <c r="AF203">
        <v>391</v>
      </c>
      <c r="AG203">
        <v>16624</v>
      </c>
      <c r="AH203">
        <v>341</v>
      </c>
      <c r="AI203" s="1">
        <v>2.0137847222222224E-2</v>
      </c>
      <c r="AJ203" s="1">
        <v>2.0142708333333332E-2</v>
      </c>
    </row>
    <row r="204" spans="1:36" x14ac:dyDescent="0.25">
      <c r="A204" t="s">
        <v>135</v>
      </c>
      <c r="B204">
        <v>3</v>
      </c>
      <c r="C204" t="s">
        <v>104</v>
      </c>
      <c r="D204" t="s">
        <v>104</v>
      </c>
      <c r="E204" t="s">
        <v>133</v>
      </c>
      <c r="F204">
        <v>200</v>
      </c>
      <c r="G204">
        <v>0</v>
      </c>
      <c r="W204">
        <v>0.20199999999999999</v>
      </c>
      <c r="X204">
        <v>4.6875E-2</v>
      </c>
      <c r="Y204">
        <v>3.125E-2</v>
      </c>
      <c r="Z204">
        <v>7.8125E-2</v>
      </c>
      <c r="AA204">
        <v>0.11000000000000001</v>
      </c>
      <c r="AB204">
        <v>1.5625E-2</v>
      </c>
      <c r="AC204">
        <v>3.125E-2</v>
      </c>
      <c r="AD204">
        <v>4.6875E-2</v>
      </c>
      <c r="AE204">
        <v>16623</v>
      </c>
      <c r="AF204">
        <v>391</v>
      </c>
      <c r="AG204">
        <v>16624</v>
      </c>
      <c r="AH204">
        <v>341</v>
      </c>
      <c r="AI204" s="1">
        <v>2.0144444444444444E-2</v>
      </c>
      <c r="AJ204" s="1">
        <v>2.0149189814814814E-2</v>
      </c>
    </row>
    <row r="205" spans="1:36" x14ac:dyDescent="0.25">
      <c r="A205" t="s">
        <v>135</v>
      </c>
      <c r="B205">
        <v>4</v>
      </c>
      <c r="C205" t="s">
        <v>104</v>
      </c>
      <c r="D205" t="s">
        <v>104</v>
      </c>
      <c r="E205" t="s">
        <v>133</v>
      </c>
      <c r="F205">
        <v>200</v>
      </c>
      <c r="G205">
        <v>0</v>
      </c>
      <c r="W205">
        <v>0.17100000000000001</v>
      </c>
      <c r="X205">
        <v>6.25E-2</v>
      </c>
      <c r="Y205">
        <v>0</v>
      </c>
      <c r="Z205">
        <v>6.25E-2</v>
      </c>
      <c r="AA205">
        <v>0.11000000000000001</v>
      </c>
      <c r="AB205">
        <v>1.5625E-2</v>
      </c>
      <c r="AC205">
        <v>4.6875E-2</v>
      </c>
      <c r="AD205">
        <v>6.25E-2</v>
      </c>
      <c r="AE205">
        <v>16623</v>
      </c>
      <c r="AF205">
        <v>391</v>
      </c>
      <c r="AG205">
        <v>16624</v>
      </c>
      <c r="AH205">
        <v>341</v>
      </c>
      <c r="AI205" s="1">
        <v>2.0151041666666668E-2</v>
      </c>
      <c r="AJ205" s="1">
        <v>2.0155324074074076E-2</v>
      </c>
    </row>
    <row r="206" spans="1:36" x14ac:dyDescent="0.25">
      <c r="A206" t="s">
        <v>135</v>
      </c>
      <c r="B206">
        <v>5</v>
      </c>
      <c r="C206" t="s">
        <v>104</v>
      </c>
      <c r="D206" t="s">
        <v>104</v>
      </c>
      <c r="E206" t="s">
        <v>133</v>
      </c>
      <c r="F206">
        <v>200</v>
      </c>
      <c r="G206">
        <v>0</v>
      </c>
      <c r="W206">
        <v>0.18599999999999997</v>
      </c>
      <c r="X206">
        <v>4.6875E-2</v>
      </c>
      <c r="Y206">
        <v>3.125E-2</v>
      </c>
      <c r="Z206">
        <v>7.8125E-2</v>
      </c>
      <c r="AA206">
        <v>0.157</v>
      </c>
      <c r="AB206">
        <v>1.5625E-2</v>
      </c>
      <c r="AC206">
        <v>6.25E-2</v>
      </c>
      <c r="AD206">
        <v>7.8125E-2</v>
      </c>
      <c r="AE206">
        <v>16623</v>
      </c>
      <c r="AF206">
        <v>391</v>
      </c>
      <c r="AG206">
        <v>16624</v>
      </c>
      <c r="AH206">
        <v>341</v>
      </c>
      <c r="AI206" s="1">
        <v>2.015775462962963E-2</v>
      </c>
      <c r="AJ206" s="1">
        <v>2.0162962962962962E-2</v>
      </c>
    </row>
    <row r="207" spans="1:36" x14ac:dyDescent="0.25">
      <c r="A207" t="s">
        <v>135</v>
      </c>
      <c r="B207">
        <v>6</v>
      </c>
      <c r="C207" t="s">
        <v>104</v>
      </c>
      <c r="D207" t="s">
        <v>104</v>
      </c>
      <c r="E207" t="s">
        <v>133</v>
      </c>
      <c r="F207">
        <v>200</v>
      </c>
      <c r="G207">
        <v>0</v>
      </c>
      <c r="W207">
        <v>0.188</v>
      </c>
      <c r="X207">
        <v>4.6875E-2</v>
      </c>
      <c r="Y207">
        <v>3.125E-2</v>
      </c>
      <c r="Z207">
        <v>7.8125E-2</v>
      </c>
      <c r="AA207">
        <v>0.109</v>
      </c>
      <c r="AB207">
        <v>3.125E-2</v>
      </c>
      <c r="AC207">
        <v>3.125E-2</v>
      </c>
      <c r="AD207">
        <v>6.25E-2</v>
      </c>
      <c r="AE207">
        <v>16623</v>
      </c>
      <c r="AF207">
        <v>391</v>
      </c>
      <c r="AG207">
        <v>16624</v>
      </c>
      <c r="AH207">
        <v>341</v>
      </c>
      <c r="AI207" s="1">
        <v>2.0164814814814816E-2</v>
      </c>
      <c r="AJ207" s="1">
        <v>2.0169560185185186E-2</v>
      </c>
    </row>
    <row r="208" spans="1:36" x14ac:dyDescent="0.25">
      <c r="A208" t="s">
        <v>135</v>
      </c>
      <c r="B208">
        <v>7</v>
      </c>
      <c r="C208" t="s">
        <v>104</v>
      </c>
      <c r="D208" t="s">
        <v>104</v>
      </c>
      <c r="E208" t="s">
        <v>133</v>
      </c>
      <c r="F208">
        <v>200</v>
      </c>
      <c r="G208">
        <v>0</v>
      </c>
      <c r="W208">
        <v>0.188</v>
      </c>
      <c r="X208">
        <v>6.25E-2</v>
      </c>
      <c r="Y208">
        <v>3.125E-2</v>
      </c>
      <c r="Z208">
        <v>9.375E-2</v>
      </c>
      <c r="AA208">
        <v>9.4000000000000014E-2</v>
      </c>
      <c r="AB208">
        <v>3.125E-2</v>
      </c>
      <c r="AC208">
        <v>3.125E-2</v>
      </c>
      <c r="AD208">
        <v>6.25E-2</v>
      </c>
      <c r="AE208">
        <v>16623</v>
      </c>
      <c r="AF208">
        <v>391</v>
      </c>
      <c r="AG208">
        <v>16624</v>
      </c>
      <c r="AH208">
        <v>341</v>
      </c>
      <c r="AI208" s="1">
        <v>2.0172106481481482E-2</v>
      </c>
      <c r="AJ208" s="1">
        <v>2.0176504629629631E-2</v>
      </c>
    </row>
    <row r="209" spans="1:36" x14ac:dyDescent="0.25">
      <c r="A209" t="s">
        <v>135</v>
      </c>
      <c r="B209">
        <v>8</v>
      </c>
      <c r="C209" t="s">
        <v>104</v>
      </c>
      <c r="D209" t="s">
        <v>104</v>
      </c>
      <c r="E209" t="s">
        <v>133</v>
      </c>
      <c r="F209">
        <v>200</v>
      </c>
      <c r="G209">
        <v>0</v>
      </c>
      <c r="W209">
        <v>0.17200000000000004</v>
      </c>
      <c r="X209">
        <v>0</v>
      </c>
      <c r="Y209">
        <v>7.8125E-2</v>
      </c>
      <c r="Z209">
        <v>7.8125E-2</v>
      </c>
      <c r="AA209">
        <v>0.11</v>
      </c>
      <c r="AB209">
        <v>0</v>
      </c>
      <c r="AC209">
        <v>6.25E-2</v>
      </c>
      <c r="AD209">
        <v>6.25E-2</v>
      </c>
      <c r="AE209">
        <v>16623</v>
      </c>
      <c r="AF209">
        <v>391</v>
      </c>
      <c r="AG209">
        <v>16624</v>
      </c>
      <c r="AH209">
        <v>341</v>
      </c>
      <c r="AI209" s="1">
        <v>2.0178703703703702E-2</v>
      </c>
      <c r="AJ209" s="1">
        <v>2.0183217592592593E-2</v>
      </c>
    </row>
    <row r="210" spans="1:36" x14ac:dyDescent="0.25">
      <c r="A210" t="s">
        <v>135</v>
      </c>
      <c r="B210">
        <v>9</v>
      </c>
      <c r="C210" t="s">
        <v>104</v>
      </c>
      <c r="D210" t="s">
        <v>104</v>
      </c>
      <c r="E210" t="s">
        <v>133</v>
      </c>
      <c r="F210">
        <v>200</v>
      </c>
      <c r="G210">
        <v>0</v>
      </c>
      <c r="W210">
        <v>0.20299999999999999</v>
      </c>
      <c r="X210">
        <v>3.125E-2</v>
      </c>
      <c r="Y210">
        <v>4.6875E-2</v>
      </c>
      <c r="Z210">
        <v>7.8125E-2</v>
      </c>
      <c r="AA210">
        <v>9.4E-2</v>
      </c>
      <c r="AB210">
        <v>3.125E-2</v>
      </c>
      <c r="AC210">
        <v>3.125E-2</v>
      </c>
      <c r="AD210">
        <v>6.25E-2</v>
      </c>
      <c r="AE210">
        <v>16623</v>
      </c>
      <c r="AF210">
        <v>391</v>
      </c>
      <c r="AG210">
        <v>16624</v>
      </c>
      <c r="AH210">
        <v>341</v>
      </c>
      <c r="AI210" s="1">
        <v>2.0185069444444443E-2</v>
      </c>
      <c r="AJ210" s="1">
        <v>2.0189930555555555E-2</v>
      </c>
    </row>
    <row r="211" spans="1:36" x14ac:dyDescent="0.25">
      <c r="A211" t="s">
        <v>135</v>
      </c>
      <c r="B211">
        <v>10</v>
      </c>
      <c r="C211" t="s">
        <v>104</v>
      </c>
      <c r="D211" t="s">
        <v>104</v>
      </c>
      <c r="E211" t="s">
        <v>133</v>
      </c>
      <c r="F211">
        <v>200</v>
      </c>
      <c r="G211">
        <v>0</v>
      </c>
      <c r="W211">
        <v>0.15600000000000003</v>
      </c>
      <c r="X211">
        <v>3.125E-2</v>
      </c>
      <c r="Y211">
        <v>4.6875E-2</v>
      </c>
      <c r="Z211">
        <v>7.8125E-2</v>
      </c>
      <c r="AA211">
        <v>0.125</v>
      </c>
      <c r="AB211">
        <v>3.125E-2</v>
      </c>
      <c r="AC211">
        <v>4.6875E-2</v>
      </c>
      <c r="AD211">
        <v>7.8125E-2</v>
      </c>
      <c r="AE211">
        <v>16623</v>
      </c>
      <c r="AF211">
        <v>391</v>
      </c>
      <c r="AG211">
        <v>16624</v>
      </c>
      <c r="AH211">
        <v>341</v>
      </c>
      <c r="AI211" s="1">
        <v>2.0192361111111112E-2</v>
      </c>
      <c r="AJ211" s="1">
        <v>2.0196990740740741E-2</v>
      </c>
    </row>
    <row r="212" spans="1:36" x14ac:dyDescent="0.25">
      <c r="A212" t="s">
        <v>117</v>
      </c>
      <c r="B212">
        <v>1</v>
      </c>
      <c r="C212" t="s">
        <v>104</v>
      </c>
      <c r="D212" t="s">
        <v>104</v>
      </c>
      <c r="E212" t="s">
        <v>133</v>
      </c>
      <c r="F212">
        <v>204</v>
      </c>
      <c r="G212">
        <v>0</v>
      </c>
      <c r="W212">
        <v>0.14099999999999996</v>
      </c>
      <c r="X212">
        <v>1.5625E-2</v>
      </c>
      <c r="Y212">
        <v>4.6875E-2</v>
      </c>
      <c r="Z212">
        <v>6.25E-2</v>
      </c>
      <c r="AA212">
        <v>0.23400000000000004</v>
      </c>
      <c r="AB212">
        <v>0</v>
      </c>
      <c r="AC212">
        <v>0</v>
      </c>
      <c r="AD212">
        <v>0</v>
      </c>
      <c r="AE212">
        <v>16623</v>
      </c>
      <c r="AF212">
        <v>391</v>
      </c>
      <c r="AG212">
        <v>16624</v>
      </c>
      <c r="AH212">
        <v>341</v>
      </c>
      <c r="AI212" s="1">
        <v>2.0198958333333333E-2</v>
      </c>
      <c r="AJ212" s="1">
        <v>2.0204282407407407E-2</v>
      </c>
    </row>
    <row r="213" spans="1:36" x14ac:dyDescent="0.25">
      <c r="A213" t="s">
        <v>117</v>
      </c>
      <c r="B213">
        <v>2</v>
      </c>
      <c r="C213" t="s">
        <v>104</v>
      </c>
      <c r="D213" t="s">
        <v>104</v>
      </c>
      <c r="E213" t="s">
        <v>133</v>
      </c>
      <c r="F213">
        <v>204</v>
      </c>
      <c r="G213">
        <v>0</v>
      </c>
      <c r="W213">
        <v>0.17199999999999999</v>
      </c>
      <c r="X213">
        <v>4.6875E-2</v>
      </c>
      <c r="Y213">
        <v>3.125E-2</v>
      </c>
      <c r="Z213">
        <v>7.8125E-2</v>
      </c>
      <c r="AA213">
        <v>4.7E-2</v>
      </c>
      <c r="AB213">
        <v>3.125E-2</v>
      </c>
      <c r="AC213">
        <v>1.5625E-2</v>
      </c>
      <c r="AD213">
        <v>4.6875E-2</v>
      </c>
      <c r="AE213">
        <v>16623</v>
      </c>
      <c r="AF213">
        <v>391</v>
      </c>
      <c r="AG213">
        <v>16624</v>
      </c>
      <c r="AH213">
        <v>341</v>
      </c>
      <c r="AI213" s="1">
        <v>2.020613425925926E-2</v>
      </c>
      <c r="AJ213" s="1">
        <v>2.0209953703703702E-2</v>
      </c>
    </row>
    <row r="214" spans="1:36" x14ac:dyDescent="0.25">
      <c r="A214" t="s">
        <v>117</v>
      </c>
      <c r="B214">
        <v>3</v>
      </c>
      <c r="C214" t="s">
        <v>104</v>
      </c>
      <c r="D214" t="s">
        <v>104</v>
      </c>
      <c r="E214" t="s">
        <v>133</v>
      </c>
      <c r="F214">
        <v>204</v>
      </c>
      <c r="G214">
        <v>0</v>
      </c>
      <c r="W214">
        <v>0.17300000000000001</v>
      </c>
      <c r="X214">
        <v>4.6875E-2</v>
      </c>
      <c r="Y214">
        <v>3.125E-2</v>
      </c>
      <c r="Z214">
        <v>7.8125E-2</v>
      </c>
      <c r="AA214">
        <v>6.2E-2</v>
      </c>
      <c r="AB214">
        <v>4.6875E-2</v>
      </c>
      <c r="AC214">
        <v>3.125E-2</v>
      </c>
      <c r="AD214">
        <v>7.8125E-2</v>
      </c>
      <c r="AE214">
        <v>16623</v>
      </c>
      <c r="AF214">
        <v>391</v>
      </c>
      <c r="AG214">
        <v>16624</v>
      </c>
      <c r="AH214">
        <v>341</v>
      </c>
      <c r="AI214" s="1">
        <v>2.0212037037037035E-2</v>
      </c>
      <c r="AJ214" s="1">
        <v>2.021585648148148E-2</v>
      </c>
    </row>
    <row r="215" spans="1:36" x14ac:dyDescent="0.25">
      <c r="A215" t="s">
        <v>117</v>
      </c>
      <c r="B215">
        <v>4</v>
      </c>
      <c r="C215" t="s">
        <v>104</v>
      </c>
      <c r="D215" t="s">
        <v>104</v>
      </c>
      <c r="E215" t="s">
        <v>133</v>
      </c>
      <c r="F215">
        <v>204</v>
      </c>
      <c r="G215">
        <v>0</v>
      </c>
      <c r="W215">
        <v>0.187</v>
      </c>
      <c r="X215">
        <v>0</v>
      </c>
      <c r="Y215">
        <v>6.25E-2</v>
      </c>
      <c r="Z215">
        <v>6.25E-2</v>
      </c>
      <c r="AA215">
        <v>4.7E-2</v>
      </c>
      <c r="AB215">
        <v>1.5625E-2</v>
      </c>
      <c r="AC215">
        <v>1.5625E-2</v>
      </c>
      <c r="AD215">
        <v>3.125E-2</v>
      </c>
      <c r="AE215">
        <v>16623</v>
      </c>
      <c r="AF215">
        <v>391</v>
      </c>
      <c r="AG215">
        <v>16624</v>
      </c>
      <c r="AH215">
        <v>341</v>
      </c>
      <c r="AI215" s="1">
        <v>2.0218518518518518E-2</v>
      </c>
      <c r="AJ215" s="1">
        <v>2.0222337962962963E-2</v>
      </c>
    </row>
    <row r="216" spans="1:36" x14ac:dyDescent="0.25">
      <c r="A216" t="s">
        <v>117</v>
      </c>
      <c r="B216">
        <v>5</v>
      </c>
      <c r="C216" t="s">
        <v>104</v>
      </c>
      <c r="D216" t="s">
        <v>104</v>
      </c>
      <c r="E216" t="s">
        <v>133</v>
      </c>
      <c r="F216">
        <v>204</v>
      </c>
      <c r="G216">
        <v>0</v>
      </c>
      <c r="W216">
        <v>0.157</v>
      </c>
      <c r="X216">
        <v>6.25E-2</v>
      </c>
      <c r="Y216">
        <v>4.6875E-2</v>
      </c>
      <c r="Z216">
        <v>0.109375</v>
      </c>
      <c r="AA216">
        <v>6.2E-2</v>
      </c>
      <c r="AB216">
        <v>0</v>
      </c>
      <c r="AC216">
        <v>0</v>
      </c>
      <c r="AD216">
        <v>0</v>
      </c>
      <c r="AE216">
        <v>16623</v>
      </c>
      <c r="AF216">
        <v>391</v>
      </c>
      <c r="AG216">
        <v>16624</v>
      </c>
      <c r="AH216">
        <v>341</v>
      </c>
      <c r="AI216" s="1">
        <v>2.0224652777777779E-2</v>
      </c>
      <c r="AJ216" s="1">
        <v>2.0228009259259258E-2</v>
      </c>
    </row>
    <row r="217" spans="1:36" x14ac:dyDescent="0.25">
      <c r="A217" t="s">
        <v>117</v>
      </c>
      <c r="B217">
        <v>6</v>
      </c>
      <c r="C217" t="s">
        <v>104</v>
      </c>
      <c r="D217" t="s">
        <v>104</v>
      </c>
      <c r="E217" t="s">
        <v>133</v>
      </c>
      <c r="F217">
        <v>204</v>
      </c>
      <c r="G217">
        <v>0</v>
      </c>
      <c r="W217">
        <v>0.15600000000000003</v>
      </c>
      <c r="X217">
        <v>4.6875E-2</v>
      </c>
      <c r="Y217">
        <v>4.6875E-2</v>
      </c>
      <c r="Z217">
        <v>9.375E-2</v>
      </c>
      <c r="AA217">
        <v>7.8E-2</v>
      </c>
      <c r="AB217">
        <v>1.5625E-2</v>
      </c>
      <c r="AC217">
        <v>0</v>
      </c>
      <c r="AD217">
        <v>1.5625E-2</v>
      </c>
      <c r="AE217">
        <v>16623</v>
      </c>
      <c r="AF217">
        <v>391</v>
      </c>
      <c r="AG217">
        <v>16624</v>
      </c>
      <c r="AH217">
        <v>341</v>
      </c>
      <c r="AI217" s="1">
        <v>2.0230208333333333E-2</v>
      </c>
      <c r="AJ217" s="1">
        <v>2.023449074074074E-2</v>
      </c>
    </row>
    <row r="218" spans="1:36" x14ac:dyDescent="0.25">
      <c r="A218" t="s">
        <v>117</v>
      </c>
      <c r="B218">
        <v>7</v>
      </c>
      <c r="C218" t="s">
        <v>104</v>
      </c>
      <c r="D218" t="s">
        <v>104</v>
      </c>
      <c r="E218" t="s">
        <v>133</v>
      </c>
      <c r="F218">
        <v>204</v>
      </c>
      <c r="G218">
        <v>0</v>
      </c>
      <c r="W218">
        <v>0.15699999999999997</v>
      </c>
      <c r="X218">
        <v>1.5625E-2</v>
      </c>
      <c r="Y218">
        <v>3.125E-2</v>
      </c>
      <c r="Z218">
        <v>4.6875E-2</v>
      </c>
      <c r="AA218">
        <v>9.3000000000000013E-2</v>
      </c>
      <c r="AB218">
        <v>0</v>
      </c>
      <c r="AC218">
        <v>1.5625E-2</v>
      </c>
      <c r="AD218">
        <v>1.5625E-2</v>
      </c>
      <c r="AE218">
        <v>16623</v>
      </c>
      <c r="AF218">
        <v>391</v>
      </c>
      <c r="AG218">
        <v>16624</v>
      </c>
      <c r="AH218">
        <v>341</v>
      </c>
      <c r="AI218" s="1">
        <v>2.0236342592592594E-2</v>
      </c>
      <c r="AJ218" s="1">
        <v>2.0240393518518519E-2</v>
      </c>
    </row>
    <row r="219" spans="1:36" x14ac:dyDescent="0.25">
      <c r="A219" t="s">
        <v>117</v>
      </c>
      <c r="B219">
        <v>8</v>
      </c>
      <c r="C219" t="s">
        <v>104</v>
      </c>
      <c r="D219" t="s">
        <v>104</v>
      </c>
      <c r="E219" t="s">
        <v>133</v>
      </c>
      <c r="F219">
        <v>204</v>
      </c>
      <c r="G219">
        <v>0</v>
      </c>
      <c r="W219">
        <v>0.15600000000000003</v>
      </c>
      <c r="X219">
        <v>3.125E-2</v>
      </c>
      <c r="Y219">
        <v>3.125E-2</v>
      </c>
      <c r="Z219">
        <v>6.25E-2</v>
      </c>
      <c r="AA219">
        <v>6.3E-2</v>
      </c>
      <c r="AB219">
        <v>0</v>
      </c>
      <c r="AC219">
        <v>3.125E-2</v>
      </c>
      <c r="AD219">
        <v>3.125E-2</v>
      </c>
      <c r="AE219">
        <v>16623</v>
      </c>
      <c r="AF219">
        <v>391</v>
      </c>
      <c r="AG219">
        <v>16624</v>
      </c>
      <c r="AH219">
        <v>341</v>
      </c>
      <c r="AI219" s="1">
        <v>2.0242708333333335E-2</v>
      </c>
      <c r="AJ219" s="1">
        <v>2.0246643518518518E-2</v>
      </c>
    </row>
    <row r="220" spans="1:36" x14ac:dyDescent="0.25">
      <c r="A220" t="s">
        <v>117</v>
      </c>
      <c r="B220">
        <v>9</v>
      </c>
      <c r="C220" t="s">
        <v>104</v>
      </c>
      <c r="D220" t="s">
        <v>104</v>
      </c>
      <c r="E220" t="s">
        <v>133</v>
      </c>
      <c r="F220">
        <v>204</v>
      </c>
      <c r="G220">
        <v>0</v>
      </c>
      <c r="W220">
        <v>0.17199999999999999</v>
      </c>
      <c r="X220">
        <v>3.125E-2</v>
      </c>
      <c r="Y220">
        <v>4.6875E-2</v>
      </c>
      <c r="Z220">
        <v>7.8125E-2</v>
      </c>
      <c r="AA220">
        <v>4.7E-2</v>
      </c>
      <c r="AB220">
        <v>0</v>
      </c>
      <c r="AC220">
        <v>0</v>
      </c>
      <c r="AD220">
        <v>0</v>
      </c>
      <c r="AE220">
        <v>16623</v>
      </c>
      <c r="AF220">
        <v>391</v>
      </c>
      <c r="AG220">
        <v>16624</v>
      </c>
      <c r="AH220">
        <v>341</v>
      </c>
      <c r="AI220" s="1">
        <v>2.024861111111111E-2</v>
      </c>
      <c r="AJ220" s="1">
        <v>2.0252314814814813E-2</v>
      </c>
    </row>
    <row r="221" spans="1:36" x14ac:dyDescent="0.25">
      <c r="A221" t="s">
        <v>117</v>
      </c>
      <c r="B221">
        <v>10</v>
      </c>
      <c r="C221" t="s">
        <v>104</v>
      </c>
      <c r="D221" t="s">
        <v>104</v>
      </c>
      <c r="E221" t="s">
        <v>133</v>
      </c>
      <c r="F221">
        <v>204</v>
      </c>
      <c r="G221">
        <v>0</v>
      </c>
      <c r="W221">
        <v>0.188</v>
      </c>
      <c r="X221">
        <v>0</v>
      </c>
      <c r="Y221">
        <v>4.6875E-2</v>
      </c>
      <c r="Z221">
        <v>4.6875E-2</v>
      </c>
      <c r="AA221">
        <v>6.2E-2</v>
      </c>
      <c r="AB221">
        <v>1.5625E-2</v>
      </c>
      <c r="AC221">
        <v>1.5625E-2</v>
      </c>
      <c r="AD221">
        <v>3.125E-2</v>
      </c>
      <c r="AE221">
        <v>16623</v>
      </c>
      <c r="AF221">
        <v>391</v>
      </c>
      <c r="AG221">
        <v>16624</v>
      </c>
      <c r="AH221">
        <v>341</v>
      </c>
      <c r="AI221" s="1">
        <v>2.0254745370370371E-2</v>
      </c>
      <c r="AJ221" s="1">
        <v>2.0258680555555554E-2</v>
      </c>
    </row>
    <row r="222" spans="1:36" x14ac:dyDescent="0.25">
      <c r="A222" t="s">
        <v>44</v>
      </c>
      <c r="B222">
        <v>1</v>
      </c>
      <c r="C222" t="s">
        <v>34</v>
      </c>
      <c r="D222" t="s">
        <v>35</v>
      </c>
      <c r="E222" t="s">
        <v>128</v>
      </c>
      <c r="F222">
        <v>0</v>
      </c>
      <c r="G222">
        <v>12.055857637172499</v>
      </c>
      <c r="I222">
        <v>7</v>
      </c>
      <c r="J222">
        <v>8</v>
      </c>
      <c r="K222">
        <v>8</v>
      </c>
      <c r="L222">
        <v>8</v>
      </c>
      <c r="M222">
        <v>0</v>
      </c>
      <c r="N222">
        <v>8</v>
      </c>
      <c r="O222">
        <v>0</v>
      </c>
      <c r="P222">
        <v>7</v>
      </c>
      <c r="Q222">
        <v>1.8735013540549517E-16</v>
      </c>
      <c r="R222">
        <v>4.0000000000000001E-3</v>
      </c>
      <c r="S222">
        <v>0</v>
      </c>
      <c r="T222">
        <v>116</v>
      </c>
      <c r="U222">
        <v>88</v>
      </c>
      <c r="V222">
        <v>0</v>
      </c>
      <c r="W222">
        <v>0.14000000000000001</v>
      </c>
      <c r="X222">
        <v>0</v>
      </c>
      <c r="Y222">
        <v>1.5625E-2</v>
      </c>
      <c r="Z222">
        <v>1.5625E-2</v>
      </c>
      <c r="AA222">
        <v>3.1E-2</v>
      </c>
      <c r="AB222">
        <v>0</v>
      </c>
      <c r="AC222">
        <v>0</v>
      </c>
      <c r="AD222">
        <v>0</v>
      </c>
      <c r="AE222">
        <v>6689</v>
      </c>
      <c r="AF222">
        <v>116</v>
      </c>
      <c r="AG222">
        <v>6722</v>
      </c>
      <c r="AH222">
        <v>88</v>
      </c>
      <c r="AI222" s="1">
        <v>2.0260648148148149E-2</v>
      </c>
      <c r="AJ222" s="1">
        <v>2.0263773148148149E-2</v>
      </c>
    </row>
    <row r="223" spans="1:36" x14ac:dyDescent="0.25">
      <c r="A223" t="s">
        <v>44</v>
      </c>
      <c r="B223">
        <v>2</v>
      </c>
      <c r="C223" t="s">
        <v>34</v>
      </c>
      <c r="D223" t="s">
        <v>35</v>
      </c>
      <c r="E223" t="s">
        <v>128</v>
      </c>
      <c r="F223">
        <v>0</v>
      </c>
      <c r="G223">
        <v>12.055857637172499</v>
      </c>
      <c r="I223">
        <v>7</v>
      </c>
      <c r="J223">
        <v>8</v>
      </c>
      <c r="K223">
        <v>8</v>
      </c>
      <c r="L223">
        <v>8</v>
      </c>
      <c r="M223">
        <v>0</v>
      </c>
      <c r="N223">
        <v>8</v>
      </c>
      <c r="O223">
        <v>0</v>
      </c>
      <c r="P223">
        <v>7</v>
      </c>
      <c r="Q223">
        <v>1.8735013540549517E-16</v>
      </c>
      <c r="R223">
        <v>4.0000000000000001E-3</v>
      </c>
      <c r="S223">
        <v>0</v>
      </c>
      <c r="T223">
        <v>116</v>
      </c>
      <c r="U223">
        <v>88</v>
      </c>
      <c r="V223">
        <v>0</v>
      </c>
      <c r="W223">
        <v>0.14100000000000001</v>
      </c>
      <c r="X223">
        <v>1.5625E-2</v>
      </c>
      <c r="Y223">
        <v>1.5625E-2</v>
      </c>
      <c r="Z223">
        <v>3.125E-2</v>
      </c>
      <c r="AA223">
        <v>1.6E-2</v>
      </c>
      <c r="AB223">
        <v>1.5625E-2</v>
      </c>
      <c r="AC223">
        <v>0</v>
      </c>
      <c r="AD223">
        <v>1.5625E-2</v>
      </c>
      <c r="AE223">
        <v>6689</v>
      </c>
      <c r="AF223">
        <v>116</v>
      </c>
      <c r="AG223">
        <v>6722</v>
      </c>
      <c r="AH223">
        <v>88</v>
      </c>
      <c r="AI223" s="1">
        <v>2.0266087962962961E-2</v>
      </c>
      <c r="AJ223" s="1">
        <v>2.0269097222222223E-2</v>
      </c>
    </row>
    <row r="224" spans="1:36" x14ac:dyDescent="0.25">
      <c r="A224" t="s">
        <v>44</v>
      </c>
      <c r="B224">
        <v>3</v>
      </c>
      <c r="C224" t="s">
        <v>34</v>
      </c>
      <c r="D224" t="s">
        <v>35</v>
      </c>
      <c r="E224" t="s">
        <v>128</v>
      </c>
      <c r="F224">
        <v>0</v>
      </c>
      <c r="G224">
        <v>12.055857637172499</v>
      </c>
      <c r="I224">
        <v>7</v>
      </c>
      <c r="J224">
        <v>8</v>
      </c>
      <c r="K224">
        <v>8</v>
      </c>
      <c r="L224">
        <v>8</v>
      </c>
      <c r="M224">
        <v>0</v>
      </c>
      <c r="N224">
        <v>8</v>
      </c>
      <c r="O224">
        <v>0</v>
      </c>
      <c r="P224">
        <v>7</v>
      </c>
      <c r="Q224">
        <v>1.8735013540549517E-16</v>
      </c>
      <c r="R224">
        <v>3.0000000000000001E-3</v>
      </c>
      <c r="S224">
        <v>0</v>
      </c>
      <c r="T224">
        <v>116</v>
      </c>
      <c r="U224">
        <v>88</v>
      </c>
      <c r="V224">
        <v>0</v>
      </c>
      <c r="W224">
        <v>0.17199999999999999</v>
      </c>
      <c r="X224">
        <v>1.5625E-2</v>
      </c>
      <c r="Y224">
        <v>0</v>
      </c>
      <c r="Z224">
        <v>1.5625E-2</v>
      </c>
      <c r="AA224">
        <v>1.6E-2</v>
      </c>
      <c r="AB224">
        <v>3.125E-2</v>
      </c>
      <c r="AC224">
        <v>0</v>
      </c>
      <c r="AD224">
        <v>3.125E-2</v>
      </c>
      <c r="AE224">
        <v>6689</v>
      </c>
      <c r="AF224">
        <v>116</v>
      </c>
      <c r="AG224">
        <v>6722</v>
      </c>
      <c r="AH224">
        <v>88</v>
      </c>
      <c r="AI224" s="1">
        <v>2.027175925925926E-2</v>
      </c>
      <c r="AJ224" s="1">
        <v>2.0275115740740739E-2</v>
      </c>
    </row>
    <row r="225" spans="1:36" x14ac:dyDescent="0.25">
      <c r="A225" t="s">
        <v>44</v>
      </c>
      <c r="B225">
        <v>4</v>
      </c>
      <c r="C225" t="s">
        <v>34</v>
      </c>
      <c r="D225" t="s">
        <v>35</v>
      </c>
      <c r="E225" t="s">
        <v>128</v>
      </c>
      <c r="F225">
        <v>0</v>
      </c>
      <c r="G225">
        <v>12.055857637172499</v>
      </c>
      <c r="I225">
        <v>7</v>
      </c>
      <c r="J225">
        <v>8</v>
      </c>
      <c r="K225">
        <v>8</v>
      </c>
      <c r="L225">
        <v>8</v>
      </c>
      <c r="M225">
        <v>0</v>
      </c>
      <c r="N225">
        <v>8</v>
      </c>
      <c r="O225">
        <v>0</v>
      </c>
      <c r="P225">
        <v>7</v>
      </c>
      <c r="Q225">
        <v>1.8735013540549517E-16</v>
      </c>
      <c r="R225">
        <v>4.0000000000000001E-3</v>
      </c>
      <c r="S225">
        <v>0</v>
      </c>
      <c r="T225">
        <v>116</v>
      </c>
      <c r="U225">
        <v>88</v>
      </c>
      <c r="V225">
        <v>0</v>
      </c>
      <c r="W225">
        <v>0.15600000000000003</v>
      </c>
      <c r="X225">
        <v>1.5625E-2</v>
      </c>
      <c r="Y225">
        <v>0</v>
      </c>
      <c r="Z225">
        <v>1.5625E-2</v>
      </c>
      <c r="AA225">
        <v>1.6E-2</v>
      </c>
      <c r="AB225">
        <v>3.125E-2</v>
      </c>
      <c r="AC225">
        <v>0</v>
      </c>
      <c r="AD225">
        <v>3.125E-2</v>
      </c>
      <c r="AE225">
        <v>6689</v>
      </c>
      <c r="AF225">
        <v>116</v>
      </c>
      <c r="AG225">
        <v>6722</v>
      </c>
      <c r="AH225">
        <v>88</v>
      </c>
      <c r="AI225" s="1">
        <v>2.0277662037037038E-2</v>
      </c>
      <c r="AJ225" s="1">
        <v>2.0280902777777776E-2</v>
      </c>
    </row>
    <row r="226" spans="1:36" x14ac:dyDescent="0.25">
      <c r="A226" t="s">
        <v>44</v>
      </c>
      <c r="B226">
        <v>5</v>
      </c>
      <c r="C226" t="s">
        <v>34</v>
      </c>
      <c r="D226" t="s">
        <v>35</v>
      </c>
      <c r="E226" t="s">
        <v>128</v>
      </c>
      <c r="F226">
        <v>0</v>
      </c>
      <c r="G226">
        <v>12.055857637172499</v>
      </c>
      <c r="I226">
        <v>7</v>
      </c>
      <c r="J226">
        <v>8</v>
      </c>
      <c r="K226">
        <v>8</v>
      </c>
      <c r="L226">
        <v>8</v>
      </c>
      <c r="M226">
        <v>0</v>
      </c>
      <c r="N226">
        <v>8</v>
      </c>
      <c r="O226">
        <v>0</v>
      </c>
      <c r="P226">
        <v>7</v>
      </c>
      <c r="Q226">
        <v>1.8735013540549517E-16</v>
      </c>
      <c r="R226">
        <v>4.0000000000000001E-3</v>
      </c>
      <c r="S226">
        <v>0</v>
      </c>
      <c r="T226">
        <v>116</v>
      </c>
      <c r="U226">
        <v>88</v>
      </c>
      <c r="V226">
        <v>0</v>
      </c>
      <c r="W226">
        <v>0.188</v>
      </c>
      <c r="X226">
        <v>0</v>
      </c>
      <c r="Y226">
        <v>3.125E-2</v>
      </c>
      <c r="Z226">
        <v>3.125E-2</v>
      </c>
      <c r="AA226">
        <v>1.4999999999999999E-2</v>
      </c>
      <c r="AB226">
        <v>1.5625E-2</v>
      </c>
      <c r="AC226">
        <v>0</v>
      </c>
      <c r="AD226">
        <v>1.5625E-2</v>
      </c>
      <c r="AE226">
        <v>6689</v>
      </c>
      <c r="AF226">
        <v>116</v>
      </c>
      <c r="AG226">
        <v>6722</v>
      </c>
      <c r="AH226">
        <v>88</v>
      </c>
      <c r="AI226" s="1">
        <v>2.0282986111111113E-2</v>
      </c>
      <c r="AJ226" s="1">
        <v>2.0286458333333333E-2</v>
      </c>
    </row>
    <row r="227" spans="1:36" x14ac:dyDescent="0.25">
      <c r="A227" t="s">
        <v>44</v>
      </c>
      <c r="B227">
        <v>6</v>
      </c>
      <c r="C227" t="s">
        <v>34</v>
      </c>
      <c r="D227" t="s">
        <v>35</v>
      </c>
      <c r="E227" t="s">
        <v>128</v>
      </c>
      <c r="F227">
        <v>0</v>
      </c>
      <c r="G227">
        <v>12.055857637172499</v>
      </c>
      <c r="I227">
        <v>7</v>
      </c>
      <c r="J227">
        <v>8</v>
      </c>
      <c r="K227">
        <v>8</v>
      </c>
      <c r="L227">
        <v>8</v>
      </c>
      <c r="M227">
        <v>0</v>
      </c>
      <c r="N227">
        <v>8</v>
      </c>
      <c r="O227">
        <v>0</v>
      </c>
      <c r="P227">
        <v>7</v>
      </c>
      <c r="Q227">
        <v>1.8735013540549517E-16</v>
      </c>
      <c r="R227">
        <v>3.0000000000000001E-3</v>
      </c>
      <c r="S227">
        <v>0</v>
      </c>
      <c r="T227">
        <v>116</v>
      </c>
      <c r="U227">
        <v>88</v>
      </c>
      <c r="V227">
        <v>0</v>
      </c>
      <c r="W227">
        <v>0.17099999999999999</v>
      </c>
      <c r="X227">
        <v>1.5625E-2</v>
      </c>
      <c r="Y227">
        <v>0</v>
      </c>
      <c r="Z227">
        <v>1.5625E-2</v>
      </c>
      <c r="AA227">
        <v>1.6E-2</v>
      </c>
      <c r="AB227">
        <v>0</v>
      </c>
      <c r="AC227">
        <v>0</v>
      </c>
      <c r="AD227">
        <v>0</v>
      </c>
      <c r="AE227">
        <v>6689</v>
      </c>
      <c r="AF227">
        <v>116</v>
      </c>
      <c r="AG227">
        <v>6722</v>
      </c>
      <c r="AH227">
        <v>88</v>
      </c>
      <c r="AI227" s="1">
        <v>2.0289004629629629E-2</v>
      </c>
      <c r="AJ227" s="1">
        <v>2.0292361111111112E-2</v>
      </c>
    </row>
    <row r="228" spans="1:36" x14ac:dyDescent="0.25">
      <c r="A228" t="s">
        <v>44</v>
      </c>
      <c r="B228">
        <v>7</v>
      </c>
      <c r="C228" t="s">
        <v>34</v>
      </c>
      <c r="D228" t="s">
        <v>35</v>
      </c>
      <c r="E228" t="s">
        <v>128</v>
      </c>
      <c r="F228">
        <v>0</v>
      </c>
      <c r="G228">
        <v>12.055857637172499</v>
      </c>
      <c r="I228">
        <v>7</v>
      </c>
      <c r="J228">
        <v>8</v>
      </c>
      <c r="K228">
        <v>8</v>
      </c>
      <c r="L228">
        <v>8</v>
      </c>
      <c r="M228">
        <v>0</v>
      </c>
      <c r="N228">
        <v>8</v>
      </c>
      <c r="O228">
        <v>0</v>
      </c>
      <c r="P228">
        <v>7</v>
      </c>
      <c r="Q228">
        <v>1.8735013540549517E-16</v>
      </c>
      <c r="R228">
        <v>3.0000000000000001E-3</v>
      </c>
      <c r="S228">
        <v>0</v>
      </c>
      <c r="T228">
        <v>116</v>
      </c>
      <c r="U228">
        <v>88</v>
      </c>
      <c r="V228">
        <v>0</v>
      </c>
      <c r="W228">
        <v>0.125</v>
      </c>
      <c r="X228">
        <v>1.5625E-2</v>
      </c>
      <c r="Y228">
        <v>1.5625E-2</v>
      </c>
      <c r="Z228">
        <v>3.125E-2</v>
      </c>
      <c r="AA228">
        <v>3.1E-2</v>
      </c>
      <c r="AB228">
        <v>1.5625E-2</v>
      </c>
      <c r="AC228">
        <v>1.5625E-2</v>
      </c>
      <c r="AD228">
        <v>3.125E-2</v>
      </c>
      <c r="AE228">
        <v>6689</v>
      </c>
      <c r="AF228">
        <v>116</v>
      </c>
      <c r="AG228">
        <v>6722</v>
      </c>
      <c r="AH228">
        <v>88</v>
      </c>
      <c r="AI228" s="1">
        <v>2.0294560185185186E-2</v>
      </c>
      <c r="AJ228" s="1">
        <v>2.0297685185185186E-2</v>
      </c>
    </row>
    <row r="229" spans="1:36" x14ac:dyDescent="0.25">
      <c r="A229" t="s">
        <v>44</v>
      </c>
      <c r="B229">
        <v>8</v>
      </c>
      <c r="C229" t="s">
        <v>34</v>
      </c>
      <c r="D229" t="s">
        <v>35</v>
      </c>
      <c r="E229" t="s">
        <v>128</v>
      </c>
      <c r="F229">
        <v>0</v>
      </c>
      <c r="G229">
        <v>12.055857637172499</v>
      </c>
      <c r="I229">
        <v>7</v>
      </c>
      <c r="J229">
        <v>8</v>
      </c>
      <c r="K229">
        <v>8</v>
      </c>
      <c r="L229">
        <v>8</v>
      </c>
      <c r="M229">
        <v>0</v>
      </c>
      <c r="N229">
        <v>8</v>
      </c>
      <c r="O229">
        <v>0</v>
      </c>
      <c r="P229">
        <v>7</v>
      </c>
      <c r="Q229">
        <v>1.8735013540549517E-16</v>
      </c>
      <c r="R229">
        <v>4.0000000000000001E-3</v>
      </c>
      <c r="S229">
        <v>0</v>
      </c>
      <c r="T229">
        <v>116</v>
      </c>
      <c r="U229">
        <v>88</v>
      </c>
      <c r="V229">
        <v>0</v>
      </c>
      <c r="W229">
        <v>0.17299999999999999</v>
      </c>
      <c r="X229">
        <v>1.5625E-2</v>
      </c>
      <c r="Y229">
        <v>0</v>
      </c>
      <c r="Z229">
        <v>1.5625E-2</v>
      </c>
      <c r="AA229">
        <v>1.4999999999999999E-2</v>
      </c>
      <c r="AB229">
        <v>1.5625E-2</v>
      </c>
      <c r="AC229">
        <v>0</v>
      </c>
      <c r="AD229">
        <v>1.5625E-2</v>
      </c>
      <c r="AE229">
        <v>6689</v>
      </c>
      <c r="AF229">
        <v>116</v>
      </c>
      <c r="AG229">
        <v>6722</v>
      </c>
      <c r="AH229">
        <v>88</v>
      </c>
      <c r="AI229" s="1">
        <v>2.0300462962962965E-2</v>
      </c>
      <c r="AJ229" s="1">
        <v>2.0303703703703702E-2</v>
      </c>
    </row>
    <row r="230" spans="1:36" x14ac:dyDescent="0.25">
      <c r="A230" t="s">
        <v>44</v>
      </c>
      <c r="B230">
        <v>9</v>
      </c>
      <c r="C230" t="s">
        <v>34</v>
      </c>
      <c r="D230" t="s">
        <v>35</v>
      </c>
      <c r="E230" t="s">
        <v>128</v>
      </c>
      <c r="F230">
        <v>0</v>
      </c>
      <c r="G230">
        <v>12.055857637172499</v>
      </c>
      <c r="I230">
        <v>7</v>
      </c>
      <c r="J230">
        <v>8</v>
      </c>
      <c r="K230">
        <v>8</v>
      </c>
      <c r="L230">
        <v>8</v>
      </c>
      <c r="M230">
        <v>0</v>
      </c>
      <c r="N230">
        <v>8</v>
      </c>
      <c r="O230">
        <v>0</v>
      </c>
      <c r="P230">
        <v>7</v>
      </c>
      <c r="Q230">
        <v>1.8735013540549517E-16</v>
      </c>
      <c r="R230">
        <v>4.0000000000000001E-3</v>
      </c>
      <c r="S230">
        <v>0</v>
      </c>
      <c r="T230">
        <v>116</v>
      </c>
      <c r="U230">
        <v>88</v>
      </c>
      <c r="V230">
        <v>0</v>
      </c>
      <c r="W230">
        <v>0.17199999999999999</v>
      </c>
      <c r="X230">
        <v>1.5625E-2</v>
      </c>
      <c r="Y230">
        <v>1.5625E-2</v>
      </c>
      <c r="Z230">
        <v>3.125E-2</v>
      </c>
      <c r="AA230">
        <v>1.4999999999999999E-2</v>
      </c>
      <c r="AB230">
        <v>0</v>
      </c>
      <c r="AC230">
        <v>0</v>
      </c>
      <c r="AD230">
        <v>0</v>
      </c>
      <c r="AE230">
        <v>6689</v>
      </c>
      <c r="AF230">
        <v>116</v>
      </c>
      <c r="AG230">
        <v>6722</v>
      </c>
      <c r="AH230">
        <v>88</v>
      </c>
      <c r="AI230" s="1">
        <v>2.0305787037037035E-2</v>
      </c>
      <c r="AJ230" s="1">
        <v>2.030925925925926E-2</v>
      </c>
    </row>
    <row r="231" spans="1:36" x14ac:dyDescent="0.25">
      <c r="A231" t="s">
        <v>44</v>
      </c>
      <c r="B231">
        <v>10</v>
      </c>
      <c r="C231" t="s">
        <v>34</v>
      </c>
      <c r="D231" t="s">
        <v>35</v>
      </c>
      <c r="E231" t="s">
        <v>128</v>
      </c>
      <c r="F231">
        <v>0</v>
      </c>
      <c r="G231">
        <v>12.055857637172499</v>
      </c>
      <c r="I231">
        <v>7</v>
      </c>
      <c r="J231">
        <v>8</v>
      </c>
      <c r="K231">
        <v>8</v>
      </c>
      <c r="L231">
        <v>8</v>
      </c>
      <c r="M231">
        <v>0</v>
      </c>
      <c r="N231">
        <v>8</v>
      </c>
      <c r="O231">
        <v>0</v>
      </c>
      <c r="P231">
        <v>7</v>
      </c>
      <c r="Q231">
        <v>1.8735013540549517E-16</v>
      </c>
      <c r="R231">
        <v>3.0000000000000001E-3</v>
      </c>
      <c r="S231">
        <v>0</v>
      </c>
      <c r="T231">
        <v>116</v>
      </c>
      <c r="U231">
        <v>88</v>
      </c>
      <c r="V231">
        <v>0</v>
      </c>
      <c r="W231">
        <v>0.15600000000000003</v>
      </c>
      <c r="X231">
        <v>0</v>
      </c>
      <c r="Y231">
        <v>3.125E-2</v>
      </c>
      <c r="Z231">
        <v>3.125E-2</v>
      </c>
      <c r="AA231">
        <v>1.6E-2</v>
      </c>
      <c r="AB231">
        <v>0</v>
      </c>
      <c r="AC231">
        <v>1.5625E-2</v>
      </c>
      <c r="AD231">
        <v>1.5625E-2</v>
      </c>
      <c r="AE231">
        <v>6689</v>
      </c>
      <c r="AF231">
        <v>116</v>
      </c>
      <c r="AG231">
        <v>6722</v>
      </c>
      <c r="AH231">
        <v>88</v>
      </c>
      <c r="AI231" s="1">
        <v>2.0311574074074076E-2</v>
      </c>
      <c r="AJ231" s="1">
        <v>2.0314699074074075E-2</v>
      </c>
    </row>
    <row r="232" spans="1:36" x14ac:dyDescent="0.25">
      <c r="A232" t="s">
        <v>45</v>
      </c>
      <c r="B232">
        <v>1</v>
      </c>
      <c r="C232" t="s">
        <v>34</v>
      </c>
      <c r="D232" t="s">
        <v>35</v>
      </c>
      <c r="E232" t="s">
        <v>128</v>
      </c>
      <c r="F232">
        <v>0</v>
      </c>
      <c r="G232">
        <v>52328.58047445619</v>
      </c>
      <c r="H232">
        <v>13250.852894543201</v>
      </c>
      <c r="I232">
        <v>172</v>
      </c>
      <c r="J232">
        <v>187</v>
      </c>
      <c r="K232">
        <v>171</v>
      </c>
      <c r="L232">
        <v>187</v>
      </c>
      <c r="M232">
        <v>187</v>
      </c>
      <c r="N232">
        <v>175</v>
      </c>
      <c r="O232">
        <v>175</v>
      </c>
      <c r="P232">
        <v>172</v>
      </c>
      <c r="Q232">
        <v>4.2721381987576024E-11</v>
      </c>
      <c r="R232">
        <v>34.235999999999997</v>
      </c>
      <c r="S232">
        <v>153.38999999999999</v>
      </c>
      <c r="T232">
        <v>14854</v>
      </c>
      <c r="U232">
        <v>14228</v>
      </c>
      <c r="V232">
        <v>480</v>
      </c>
      <c r="W232">
        <v>13.937999999999988</v>
      </c>
      <c r="X232">
        <v>2.265625</v>
      </c>
      <c r="Y232">
        <v>10.828125</v>
      </c>
      <c r="Z232">
        <v>13.09375</v>
      </c>
      <c r="AA232">
        <v>188.76500000000001</v>
      </c>
      <c r="AB232">
        <v>2.46875</v>
      </c>
      <c r="AC232">
        <v>185.359375</v>
      </c>
      <c r="AD232">
        <v>187.828125</v>
      </c>
      <c r="AE232">
        <v>2460541</v>
      </c>
      <c r="AF232">
        <v>14854</v>
      </c>
      <c r="AG232">
        <v>2467453</v>
      </c>
      <c r="AH232">
        <v>14708</v>
      </c>
      <c r="AI232" s="1">
        <v>2.0316666666666667E-2</v>
      </c>
      <c r="AJ232" s="1">
        <v>2.2668865740740739E-2</v>
      </c>
    </row>
    <row r="233" spans="1:36" x14ac:dyDescent="0.25">
      <c r="A233" t="s">
        <v>45</v>
      </c>
      <c r="B233">
        <v>2</v>
      </c>
      <c r="C233" t="s">
        <v>34</v>
      </c>
      <c r="D233" t="s">
        <v>35</v>
      </c>
      <c r="E233" t="s">
        <v>128</v>
      </c>
      <c r="F233">
        <v>0</v>
      </c>
      <c r="G233">
        <v>52328.58047445619</v>
      </c>
      <c r="H233">
        <v>13250.852894543201</v>
      </c>
      <c r="I233">
        <v>172</v>
      </c>
      <c r="J233">
        <v>187</v>
      </c>
      <c r="K233">
        <v>171</v>
      </c>
      <c r="L233">
        <v>187</v>
      </c>
      <c r="M233">
        <v>187</v>
      </c>
      <c r="N233">
        <v>175</v>
      </c>
      <c r="O233">
        <v>175</v>
      </c>
      <c r="P233">
        <v>172</v>
      </c>
      <c r="Q233">
        <v>4.2721381987576024E-11</v>
      </c>
      <c r="R233">
        <v>33.640999999999998</v>
      </c>
      <c r="S233">
        <v>151.876</v>
      </c>
      <c r="T233">
        <v>14854</v>
      </c>
      <c r="U233">
        <v>14228</v>
      </c>
      <c r="V233">
        <v>480</v>
      </c>
      <c r="W233">
        <v>13.390999999999991</v>
      </c>
      <c r="X233">
        <v>1.78125</v>
      </c>
      <c r="Y233">
        <v>11.4375</v>
      </c>
      <c r="Z233">
        <v>13.21875</v>
      </c>
      <c r="AA233">
        <v>186.46800000000002</v>
      </c>
      <c r="AB233">
        <v>1.796875</v>
      </c>
      <c r="AC233">
        <v>184.0625</v>
      </c>
      <c r="AD233">
        <v>185.859375</v>
      </c>
      <c r="AE233">
        <v>2460541</v>
      </c>
      <c r="AF233">
        <v>14854</v>
      </c>
      <c r="AG233">
        <v>2467453</v>
      </c>
      <c r="AH233">
        <v>14708</v>
      </c>
      <c r="AI233" s="1">
        <v>2.2671180555555556E-2</v>
      </c>
      <c r="AJ233" s="1">
        <v>2.4989930555555557E-2</v>
      </c>
    </row>
    <row r="234" spans="1:36" x14ac:dyDescent="0.25">
      <c r="A234" t="s">
        <v>45</v>
      </c>
      <c r="B234">
        <v>3</v>
      </c>
      <c r="C234" t="s">
        <v>34</v>
      </c>
      <c r="D234" t="s">
        <v>35</v>
      </c>
      <c r="E234" t="s">
        <v>128</v>
      </c>
      <c r="F234">
        <v>0</v>
      </c>
      <c r="G234">
        <v>52328.58047445619</v>
      </c>
      <c r="H234">
        <v>13250.852894543201</v>
      </c>
      <c r="I234">
        <v>172</v>
      </c>
      <c r="J234">
        <v>187</v>
      </c>
      <c r="K234">
        <v>171</v>
      </c>
      <c r="L234">
        <v>187</v>
      </c>
      <c r="M234">
        <v>187</v>
      </c>
      <c r="N234">
        <v>175</v>
      </c>
      <c r="O234">
        <v>175</v>
      </c>
      <c r="P234">
        <v>172</v>
      </c>
      <c r="Q234">
        <v>4.2721381987576024E-11</v>
      </c>
      <c r="R234">
        <v>33.545000000000002</v>
      </c>
      <c r="S234">
        <v>151.36799999999999</v>
      </c>
      <c r="T234">
        <v>14854</v>
      </c>
      <c r="U234">
        <v>14228</v>
      </c>
      <c r="V234">
        <v>480</v>
      </c>
      <c r="W234">
        <v>13.578000000000003</v>
      </c>
      <c r="X234">
        <v>1.828125</v>
      </c>
      <c r="Y234">
        <v>11.140625</v>
      </c>
      <c r="Z234">
        <v>12.96875</v>
      </c>
      <c r="AA234">
        <v>185.90600000000001</v>
      </c>
      <c r="AB234">
        <v>1.421875</v>
      </c>
      <c r="AC234">
        <v>183.75</v>
      </c>
      <c r="AD234">
        <v>185.171875</v>
      </c>
      <c r="AE234">
        <v>2460541</v>
      </c>
      <c r="AF234">
        <v>14854</v>
      </c>
      <c r="AG234">
        <v>2467453</v>
      </c>
      <c r="AH234">
        <v>14708</v>
      </c>
      <c r="AI234" s="1">
        <v>2.499224537037037E-2</v>
      </c>
      <c r="AJ234" s="1">
        <v>2.7306712962962963E-2</v>
      </c>
    </row>
    <row r="235" spans="1:36" x14ac:dyDescent="0.25">
      <c r="A235" t="s">
        <v>45</v>
      </c>
      <c r="B235">
        <v>4</v>
      </c>
      <c r="C235" t="s">
        <v>34</v>
      </c>
      <c r="D235" t="s">
        <v>35</v>
      </c>
      <c r="E235" t="s">
        <v>128</v>
      </c>
      <c r="F235">
        <v>0</v>
      </c>
      <c r="G235">
        <v>52328.58047445619</v>
      </c>
      <c r="H235">
        <v>13250.852894543201</v>
      </c>
      <c r="I235">
        <v>172</v>
      </c>
      <c r="J235">
        <v>187</v>
      </c>
      <c r="K235">
        <v>171</v>
      </c>
      <c r="L235">
        <v>187</v>
      </c>
      <c r="M235">
        <v>187</v>
      </c>
      <c r="N235">
        <v>175</v>
      </c>
      <c r="O235">
        <v>175</v>
      </c>
      <c r="P235">
        <v>172</v>
      </c>
      <c r="Q235">
        <v>4.2721381987576024E-11</v>
      </c>
      <c r="R235">
        <v>33.594999999999999</v>
      </c>
      <c r="S235">
        <v>151.92400000000001</v>
      </c>
      <c r="T235">
        <v>14854</v>
      </c>
      <c r="U235">
        <v>14228</v>
      </c>
      <c r="V235">
        <v>480</v>
      </c>
      <c r="W235">
        <v>11.859000000000009</v>
      </c>
      <c r="X235">
        <v>1.703125</v>
      </c>
      <c r="Y235">
        <v>9.953125</v>
      </c>
      <c r="Z235">
        <v>11.65625</v>
      </c>
      <c r="AA235">
        <v>186.51599999999999</v>
      </c>
      <c r="AB235">
        <v>1.546875</v>
      </c>
      <c r="AC235">
        <v>184.40625</v>
      </c>
      <c r="AD235">
        <v>185.953125</v>
      </c>
      <c r="AE235">
        <v>2460541</v>
      </c>
      <c r="AF235">
        <v>14854</v>
      </c>
      <c r="AG235">
        <v>2467453</v>
      </c>
      <c r="AH235">
        <v>14708</v>
      </c>
      <c r="AI235" s="1">
        <v>2.7309027777777779E-2</v>
      </c>
      <c r="AJ235" s="1">
        <v>2.9610763888888888E-2</v>
      </c>
    </row>
    <row r="236" spans="1:36" x14ac:dyDescent="0.25">
      <c r="A236" t="s">
        <v>45</v>
      </c>
      <c r="B236">
        <v>5</v>
      </c>
      <c r="C236" t="s">
        <v>34</v>
      </c>
      <c r="D236" t="s">
        <v>35</v>
      </c>
      <c r="E236" t="s">
        <v>128</v>
      </c>
      <c r="F236">
        <v>0</v>
      </c>
      <c r="G236">
        <v>52328.58047445619</v>
      </c>
      <c r="H236">
        <v>13250.852894543201</v>
      </c>
      <c r="I236">
        <v>172</v>
      </c>
      <c r="J236">
        <v>187</v>
      </c>
      <c r="K236">
        <v>171</v>
      </c>
      <c r="L236">
        <v>187</v>
      </c>
      <c r="M236">
        <v>187</v>
      </c>
      <c r="N236">
        <v>175</v>
      </c>
      <c r="O236">
        <v>175</v>
      </c>
      <c r="P236">
        <v>172</v>
      </c>
      <c r="Q236">
        <v>4.2721381987576024E-11</v>
      </c>
      <c r="R236">
        <v>33.987000000000002</v>
      </c>
      <c r="S236">
        <v>154.44300000000001</v>
      </c>
      <c r="T236">
        <v>14854</v>
      </c>
      <c r="U236">
        <v>14228</v>
      </c>
      <c r="V236">
        <v>480</v>
      </c>
      <c r="W236">
        <v>14.219000000000023</v>
      </c>
      <c r="X236">
        <v>1.890625</v>
      </c>
      <c r="Y236">
        <v>11.796875</v>
      </c>
      <c r="Z236">
        <v>13.6875</v>
      </c>
      <c r="AA236">
        <v>189.34399999999999</v>
      </c>
      <c r="AB236">
        <v>1.828125</v>
      </c>
      <c r="AC236">
        <v>186.84375</v>
      </c>
      <c r="AD236">
        <v>188.671875</v>
      </c>
      <c r="AE236">
        <v>2460541</v>
      </c>
      <c r="AF236">
        <v>14854</v>
      </c>
      <c r="AG236">
        <v>2467453</v>
      </c>
      <c r="AH236">
        <v>14708</v>
      </c>
      <c r="AI236" s="1">
        <v>2.9612615740740741E-2</v>
      </c>
      <c r="AJ236" s="1">
        <v>3.197395833333333E-2</v>
      </c>
    </row>
    <row r="237" spans="1:36" x14ac:dyDescent="0.25">
      <c r="A237" t="s">
        <v>45</v>
      </c>
      <c r="B237">
        <v>6</v>
      </c>
      <c r="C237" t="s">
        <v>34</v>
      </c>
      <c r="D237" t="s">
        <v>35</v>
      </c>
      <c r="E237" t="s">
        <v>128</v>
      </c>
      <c r="F237">
        <v>0</v>
      </c>
      <c r="G237">
        <v>52328.58047445619</v>
      </c>
      <c r="H237">
        <v>13250.852894543201</v>
      </c>
      <c r="I237">
        <v>172</v>
      </c>
      <c r="J237">
        <v>187</v>
      </c>
      <c r="K237">
        <v>171</v>
      </c>
      <c r="L237">
        <v>187</v>
      </c>
      <c r="M237">
        <v>187</v>
      </c>
      <c r="N237">
        <v>175</v>
      </c>
      <c r="O237">
        <v>175</v>
      </c>
      <c r="P237">
        <v>172</v>
      </c>
      <c r="Q237">
        <v>4.2721381987576024E-11</v>
      </c>
      <c r="R237">
        <v>33.872</v>
      </c>
      <c r="S237">
        <v>152.43899999999999</v>
      </c>
      <c r="T237">
        <v>14854</v>
      </c>
      <c r="U237">
        <v>14228</v>
      </c>
      <c r="V237">
        <v>480</v>
      </c>
      <c r="W237">
        <v>12.843999999999994</v>
      </c>
      <c r="X237">
        <v>2.0625</v>
      </c>
      <c r="Y237">
        <v>10.59375</v>
      </c>
      <c r="Z237">
        <v>12.65625</v>
      </c>
      <c r="AA237">
        <v>187.40600000000001</v>
      </c>
      <c r="AB237">
        <v>1.625</v>
      </c>
      <c r="AC237">
        <v>185.1875</v>
      </c>
      <c r="AD237">
        <v>186.8125</v>
      </c>
      <c r="AE237">
        <v>2460541</v>
      </c>
      <c r="AF237">
        <v>14854</v>
      </c>
      <c r="AG237">
        <v>2467453</v>
      </c>
      <c r="AH237">
        <v>14708</v>
      </c>
      <c r="AI237" s="1">
        <v>3.1975925925925928E-2</v>
      </c>
      <c r="AJ237" s="1">
        <v>3.4299074074074072E-2</v>
      </c>
    </row>
    <row r="238" spans="1:36" x14ac:dyDescent="0.25">
      <c r="A238" t="s">
        <v>45</v>
      </c>
      <c r="B238">
        <v>7</v>
      </c>
      <c r="C238" t="s">
        <v>34</v>
      </c>
      <c r="D238" t="s">
        <v>35</v>
      </c>
      <c r="E238" t="s">
        <v>128</v>
      </c>
      <c r="F238">
        <v>0</v>
      </c>
      <c r="G238">
        <v>52328.58047445619</v>
      </c>
      <c r="H238">
        <v>13250.852894543201</v>
      </c>
      <c r="I238">
        <v>172</v>
      </c>
      <c r="J238">
        <v>187</v>
      </c>
      <c r="K238">
        <v>171</v>
      </c>
      <c r="L238">
        <v>187</v>
      </c>
      <c r="M238">
        <v>187</v>
      </c>
      <c r="N238">
        <v>175</v>
      </c>
      <c r="O238">
        <v>175</v>
      </c>
      <c r="P238">
        <v>172</v>
      </c>
      <c r="Q238">
        <v>4.2721381987576024E-11</v>
      </c>
      <c r="R238">
        <v>33.384999999999998</v>
      </c>
      <c r="S238">
        <v>151.209</v>
      </c>
      <c r="T238">
        <v>14854</v>
      </c>
      <c r="U238">
        <v>14228</v>
      </c>
      <c r="V238">
        <v>480</v>
      </c>
      <c r="W238">
        <v>13.625000000000028</v>
      </c>
      <c r="X238">
        <v>2.015625</v>
      </c>
      <c r="Y238">
        <v>10.9375</v>
      </c>
      <c r="Z238">
        <v>12.953125</v>
      </c>
      <c r="AA238">
        <v>185.56299999999999</v>
      </c>
      <c r="AB238">
        <v>2.484375</v>
      </c>
      <c r="AC238">
        <v>182.03125</v>
      </c>
      <c r="AD238">
        <v>184.515625</v>
      </c>
      <c r="AE238">
        <v>2460541</v>
      </c>
      <c r="AF238">
        <v>14854</v>
      </c>
      <c r="AG238">
        <v>2467453</v>
      </c>
      <c r="AH238">
        <v>14708</v>
      </c>
      <c r="AI238" s="1">
        <v>3.430150462962963E-2</v>
      </c>
      <c r="AJ238" s="1">
        <v>3.6612268518518516E-2</v>
      </c>
    </row>
    <row r="239" spans="1:36" x14ac:dyDescent="0.25">
      <c r="A239" t="s">
        <v>45</v>
      </c>
      <c r="B239">
        <v>8</v>
      </c>
      <c r="C239" t="s">
        <v>34</v>
      </c>
      <c r="D239" t="s">
        <v>35</v>
      </c>
      <c r="E239" t="s">
        <v>128</v>
      </c>
      <c r="F239">
        <v>0</v>
      </c>
      <c r="G239">
        <v>52328.58047445619</v>
      </c>
      <c r="H239">
        <v>13250.852894543201</v>
      </c>
      <c r="I239">
        <v>172</v>
      </c>
      <c r="J239">
        <v>187</v>
      </c>
      <c r="K239">
        <v>171</v>
      </c>
      <c r="L239">
        <v>187</v>
      </c>
      <c r="M239">
        <v>187</v>
      </c>
      <c r="N239">
        <v>175</v>
      </c>
      <c r="O239">
        <v>175</v>
      </c>
      <c r="P239">
        <v>172</v>
      </c>
      <c r="Q239">
        <v>4.2721381987576024E-11</v>
      </c>
      <c r="R239">
        <v>33.085999999999999</v>
      </c>
      <c r="S239">
        <v>151.017</v>
      </c>
      <c r="T239">
        <v>14854</v>
      </c>
      <c r="U239">
        <v>14228</v>
      </c>
      <c r="V239">
        <v>480</v>
      </c>
      <c r="W239">
        <v>12.828000000000003</v>
      </c>
      <c r="X239">
        <v>1.75</v>
      </c>
      <c r="Y239">
        <v>10.859375</v>
      </c>
      <c r="Z239">
        <v>12.609375</v>
      </c>
      <c r="AA239">
        <v>185.047</v>
      </c>
      <c r="AB239">
        <v>2.15625</v>
      </c>
      <c r="AC239">
        <v>181.90625</v>
      </c>
      <c r="AD239">
        <v>184.0625</v>
      </c>
      <c r="AE239">
        <v>2460541</v>
      </c>
      <c r="AF239">
        <v>14854</v>
      </c>
      <c r="AG239">
        <v>2467453</v>
      </c>
      <c r="AH239">
        <v>14708</v>
      </c>
      <c r="AI239" s="1">
        <v>3.6615046296296298E-2</v>
      </c>
      <c r="AJ239" s="1">
        <v>3.8911458333333336E-2</v>
      </c>
    </row>
    <row r="240" spans="1:36" x14ac:dyDescent="0.25">
      <c r="A240" t="s">
        <v>45</v>
      </c>
      <c r="B240">
        <v>9</v>
      </c>
      <c r="C240" t="s">
        <v>34</v>
      </c>
      <c r="D240" t="s">
        <v>35</v>
      </c>
      <c r="E240" t="s">
        <v>128</v>
      </c>
      <c r="F240">
        <v>0</v>
      </c>
      <c r="G240">
        <v>52328.58047445619</v>
      </c>
      <c r="H240">
        <v>13250.852894543201</v>
      </c>
      <c r="I240">
        <v>172</v>
      </c>
      <c r="J240">
        <v>187</v>
      </c>
      <c r="K240">
        <v>171</v>
      </c>
      <c r="L240">
        <v>187</v>
      </c>
      <c r="M240">
        <v>187</v>
      </c>
      <c r="N240">
        <v>175</v>
      </c>
      <c r="O240">
        <v>175</v>
      </c>
      <c r="P240">
        <v>172</v>
      </c>
      <c r="Q240">
        <v>4.2721381987576024E-11</v>
      </c>
      <c r="R240">
        <v>33.067999999999998</v>
      </c>
      <c r="S240">
        <v>152.15299999999999</v>
      </c>
      <c r="T240">
        <v>14854</v>
      </c>
      <c r="U240">
        <v>14228</v>
      </c>
      <c r="V240">
        <v>480</v>
      </c>
      <c r="W240">
        <v>13.421999999999997</v>
      </c>
      <c r="X240">
        <v>2.078125</v>
      </c>
      <c r="Y240">
        <v>10.703125</v>
      </c>
      <c r="Z240">
        <v>12.78125</v>
      </c>
      <c r="AA240">
        <v>186.18700000000001</v>
      </c>
      <c r="AB240">
        <v>2.5625</v>
      </c>
      <c r="AC240">
        <v>182.53125</v>
      </c>
      <c r="AD240">
        <v>185.09375</v>
      </c>
      <c r="AE240">
        <v>2460541</v>
      </c>
      <c r="AF240">
        <v>14854</v>
      </c>
      <c r="AG240">
        <v>2467453</v>
      </c>
      <c r="AH240">
        <v>14708</v>
      </c>
      <c r="AI240" s="1">
        <v>3.8913541666666669E-2</v>
      </c>
      <c r="AJ240" s="1">
        <v>4.1229745370370371E-2</v>
      </c>
    </row>
    <row r="241" spans="1:36" x14ac:dyDescent="0.25">
      <c r="A241" t="s">
        <v>45</v>
      </c>
      <c r="B241">
        <v>10</v>
      </c>
      <c r="C241" t="s">
        <v>34</v>
      </c>
      <c r="D241" t="s">
        <v>35</v>
      </c>
      <c r="E241" t="s">
        <v>128</v>
      </c>
      <c r="F241">
        <v>0</v>
      </c>
      <c r="G241">
        <v>52328.58047445619</v>
      </c>
      <c r="H241">
        <v>13250.852894543201</v>
      </c>
      <c r="I241">
        <v>172</v>
      </c>
      <c r="J241">
        <v>187</v>
      </c>
      <c r="K241">
        <v>171</v>
      </c>
      <c r="L241">
        <v>187</v>
      </c>
      <c r="M241">
        <v>187</v>
      </c>
      <c r="N241">
        <v>175</v>
      </c>
      <c r="O241">
        <v>175</v>
      </c>
      <c r="P241">
        <v>172</v>
      </c>
      <c r="Q241">
        <v>4.2721381987576024E-11</v>
      </c>
      <c r="R241">
        <v>33.164999999999999</v>
      </c>
      <c r="S241">
        <v>150.34</v>
      </c>
      <c r="T241">
        <v>14854</v>
      </c>
      <c r="U241">
        <v>14228</v>
      </c>
      <c r="V241">
        <v>480</v>
      </c>
      <c r="W241">
        <v>11.999000000000024</v>
      </c>
      <c r="X241">
        <v>1.78125</v>
      </c>
      <c r="Y241">
        <v>10.03125</v>
      </c>
      <c r="Z241">
        <v>11.8125</v>
      </c>
      <c r="AA241">
        <v>184.48499999999999</v>
      </c>
      <c r="AB241">
        <v>2.359375</v>
      </c>
      <c r="AC241">
        <v>181.078125</v>
      </c>
      <c r="AD241">
        <v>183.4375</v>
      </c>
      <c r="AE241">
        <v>2460541</v>
      </c>
      <c r="AF241">
        <v>14854</v>
      </c>
      <c r="AG241">
        <v>2467453</v>
      </c>
      <c r="AH241">
        <v>14708</v>
      </c>
      <c r="AI241" s="1">
        <v>4.1231944444444446E-2</v>
      </c>
      <c r="AJ241" s="1">
        <v>4.3511226851851853E-2</v>
      </c>
    </row>
    <row r="242" spans="1:36" x14ac:dyDescent="0.25">
      <c r="A242" t="s">
        <v>46</v>
      </c>
      <c r="B242">
        <v>1</v>
      </c>
      <c r="C242" t="s">
        <v>34</v>
      </c>
      <c r="D242" t="s">
        <v>35</v>
      </c>
      <c r="E242" t="s">
        <v>128</v>
      </c>
      <c r="F242">
        <v>0</v>
      </c>
      <c r="G242">
        <v>13329.318929267814</v>
      </c>
      <c r="H242">
        <v>13087.318929267833</v>
      </c>
      <c r="I242">
        <v>201</v>
      </c>
      <c r="J242">
        <v>228</v>
      </c>
      <c r="K242">
        <v>199</v>
      </c>
      <c r="L242">
        <v>228</v>
      </c>
      <c r="M242">
        <v>228</v>
      </c>
      <c r="N242">
        <v>209</v>
      </c>
      <c r="O242">
        <v>209</v>
      </c>
      <c r="P242">
        <v>201</v>
      </c>
      <c r="Q242">
        <v>2.9597518880208895E-11</v>
      </c>
      <c r="R242">
        <v>43.13</v>
      </c>
      <c r="S242">
        <v>165.077</v>
      </c>
      <c r="T242">
        <v>3706</v>
      </c>
      <c r="U242">
        <v>3080</v>
      </c>
      <c r="V242">
        <v>480</v>
      </c>
      <c r="W242">
        <v>3.328000000000003</v>
      </c>
      <c r="X242">
        <v>0.5</v>
      </c>
      <c r="Y242">
        <v>2.234375</v>
      </c>
      <c r="Z242">
        <v>2.734375</v>
      </c>
      <c r="AA242">
        <v>209.14099999999999</v>
      </c>
      <c r="AB242">
        <v>3.125</v>
      </c>
      <c r="AC242">
        <v>204.703125</v>
      </c>
      <c r="AD242">
        <v>207.828125</v>
      </c>
      <c r="AE242">
        <v>624391</v>
      </c>
      <c r="AF242">
        <v>3706</v>
      </c>
      <c r="AG242">
        <v>627703</v>
      </c>
      <c r="AH242">
        <v>3560</v>
      </c>
      <c r="AI242" s="1">
        <v>4.3513078703703703E-2</v>
      </c>
      <c r="AJ242" s="1">
        <v>4.597488425925926E-2</v>
      </c>
    </row>
    <row r="243" spans="1:36" x14ac:dyDescent="0.25">
      <c r="A243" t="s">
        <v>46</v>
      </c>
      <c r="B243">
        <v>2</v>
      </c>
      <c r="C243" t="s">
        <v>34</v>
      </c>
      <c r="D243" t="s">
        <v>35</v>
      </c>
      <c r="E243" t="s">
        <v>128</v>
      </c>
      <c r="F243">
        <v>0</v>
      </c>
      <c r="G243">
        <v>13329.318929267814</v>
      </c>
      <c r="H243">
        <v>13087.318929267833</v>
      </c>
      <c r="I243">
        <v>201</v>
      </c>
      <c r="J243">
        <v>228</v>
      </c>
      <c r="K243">
        <v>199</v>
      </c>
      <c r="L243">
        <v>228</v>
      </c>
      <c r="M243">
        <v>228</v>
      </c>
      <c r="N243">
        <v>209</v>
      </c>
      <c r="O243">
        <v>209</v>
      </c>
      <c r="P243">
        <v>201</v>
      </c>
      <c r="Q243">
        <v>2.9597518880208895E-11</v>
      </c>
      <c r="R243">
        <v>44.136000000000003</v>
      </c>
      <c r="S243">
        <v>168.59700000000001</v>
      </c>
      <c r="T243">
        <v>3706</v>
      </c>
      <c r="U243">
        <v>3080</v>
      </c>
      <c r="V243">
        <v>480</v>
      </c>
      <c r="W243">
        <v>3.0789999999999793</v>
      </c>
      <c r="X243">
        <v>0.546875</v>
      </c>
      <c r="Y243">
        <v>2.421875</v>
      </c>
      <c r="Z243">
        <v>2.96875</v>
      </c>
      <c r="AA243">
        <v>213.76500000000001</v>
      </c>
      <c r="AB243">
        <v>2.171875</v>
      </c>
      <c r="AC243">
        <v>210.484375</v>
      </c>
      <c r="AD243">
        <v>212.65625</v>
      </c>
      <c r="AE243">
        <v>624391</v>
      </c>
      <c r="AF243">
        <v>3706</v>
      </c>
      <c r="AG243">
        <v>627703</v>
      </c>
      <c r="AH243">
        <v>3560</v>
      </c>
      <c r="AI243" s="1">
        <v>4.5977083333333335E-2</v>
      </c>
      <c r="AJ243" s="1">
        <v>4.8489004629629628E-2</v>
      </c>
    </row>
    <row r="244" spans="1:36" x14ac:dyDescent="0.25">
      <c r="A244" t="s">
        <v>46</v>
      </c>
      <c r="B244">
        <v>3</v>
      </c>
      <c r="C244" t="s">
        <v>34</v>
      </c>
      <c r="D244" t="s">
        <v>35</v>
      </c>
      <c r="E244" t="s">
        <v>128</v>
      </c>
      <c r="F244">
        <v>0</v>
      </c>
      <c r="G244">
        <v>13329.318929267814</v>
      </c>
      <c r="H244">
        <v>13087.318929267833</v>
      </c>
      <c r="I244">
        <v>201</v>
      </c>
      <c r="J244">
        <v>228</v>
      </c>
      <c r="K244">
        <v>199</v>
      </c>
      <c r="L244">
        <v>228</v>
      </c>
      <c r="M244">
        <v>228</v>
      </c>
      <c r="N244">
        <v>209</v>
      </c>
      <c r="O244">
        <v>209</v>
      </c>
      <c r="P244">
        <v>201</v>
      </c>
      <c r="Q244">
        <v>2.9597518880208895E-11</v>
      </c>
      <c r="R244">
        <v>44.405999999999999</v>
      </c>
      <c r="S244">
        <v>165.95500000000001</v>
      </c>
      <c r="T244">
        <v>3706</v>
      </c>
      <c r="U244">
        <v>3080</v>
      </c>
      <c r="V244">
        <v>480</v>
      </c>
      <c r="W244">
        <v>3.3129999999999882</v>
      </c>
      <c r="X244">
        <v>0.4375</v>
      </c>
      <c r="Y244">
        <v>2.3125</v>
      </c>
      <c r="Z244">
        <v>2.75</v>
      </c>
      <c r="AA244">
        <v>211.34400000000002</v>
      </c>
      <c r="AB244">
        <v>1.75</v>
      </c>
      <c r="AC244">
        <v>208.59375</v>
      </c>
      <c r="AD244">
        <v>210.34375</v>
      </c>
      <c r="AE244">
        <v>624391</v>
      </c>
      <c r="AF244">
        <v>3706</v>
      </c>
      <c r="AG244">
        <v>627703</v>
      </c>
      <c r="AH244">
        <v>3560</v>
      </c>
      <c r="AI244" s="1">
        <v>4.8491087962962962E-2</v>
      </c>
      <c r="AJ244" s="1">
        <v>5.0977546296296299E-2</v>
      </c>
    </row>
    <row r="245" spans="1:36" x14ac:dyDescent="0.25">
      <c r="A245" t="s">
        <v>46</v>
      </c>
      <c r="B245">
        <v>4</v>
      </c>
      <c r="C245" t="s">
        <v>34</v>
      </c>
      <c r="D245" t="s">
        <v>35</v>
      </c>
      <c r="E245" t="s">
        <v>128</v>
      </c>
      <c r="F245">
        <v>0</v>
      </c>
      <c r="G245">
        <v>13329.318929267814</v>
      </c>
      <c r="H245">
        <v>13087.318929267833</v>
      </c>
      <c r="I245">
        <v>201</v>
      </c>
      <c r="J245">
        <v>228</v>
      </c>
      <c r="K245">
        <v>199</v>
      </c>
      <c r="L245">
        <v>228</v>
      </c>
      <c r="M245">
        <v>228</v>
      </c>
      <c r="N245">
        <v>209</v>
      </c>
      <c r="O245">
        <v>209</v>
      </c>
      <c r="P245">
        <v>201</v>
      </c>
      <c r="Q245">
        <v>2.9597518880208895E-11</v>
      </c>
      <c r="R245">
        <v>43.768999999999998</v>
      </c>
      <c r="S245">
        <v>165.446</v>
      </c>
      <c r="T245">
        <v>3706</v>
      </c>
      <c r="U245">
        <v>3080</v>
      </c>
      <c r="V245">
        <v>480</v>
      </c>
      <c r="W245">
        <v>2.9840000000000089</v>
      </c>
      <c r="X245">
        <v>0.5</v>
      </c>
      <c r="Y245">
        <v>2.359375</v>
      </c>
      <c r="Z245">
        <v>2.859375</v>
      </c>
      <c r="AA245">
        <v>210.172</v>
      </c>
      <c r="AB245">
        <v>2.265625</v>
      </c>
      <c r="AC245">
        <v>206.984375</v>
      </c>
      <c r="AD245">
        <v>209.25</v>
      </c>
      <c r="AE245">
        <v>624391</v>
      </c>
      <c r="AF245">
        <v>3706</v>
      </c>
      <c r="AG245">
        <v>627703</v>
      </c>
      <c r="AH245">
        <v>3560</v>
      </c>
      <c r="AI245" s="1">
        <v>5.0979629629629632E-2</v>
      </c>
      <c r="AJ245" s="1">
        <v>5.3448726851851855E-2</v>
      </c>
    </row>
    <row r="246" spans="1:36" x14ac:dyDescent="0.25">
      <c r="A246" t="s">
        <v>46</v>
      </c>
      <c r="B246">
        <v>5</v>
      </c>
      <c r="C246" t="s">
        <v>34</v>
      </c>
      <c r="D246" t="s">
        <v>35</v>
      </c>
      <c r="E246" t="s">
        <v>128</v>
      </c>
      <c r="F246">
        <v>0</v>
      </c>
      <c r="G246">
        <v>13329.318929267814</v>
      </c>
      <c r="H246">
        <v>13087.318929267833</v>
      </c>
      <c r="I246">
        <v>201</v>
      </c>
      <c r="J246">
        <v>228</v>
      </c>
      <c r="K246">
        <v>199</v>
      </c>
      <c r="L246">
        <v>228</v>
      </c>
      <c r="M246">
        <v>228</v>
      </c>
      <c r="N246">
        <v>209</v>
      </c>
      <c r="O246">
        <v>209</v>
      </c>
      <c r="P246">
        <v>201</v>
      </c>
      <c r="Q246">
        <v>2.9597518880208895E-11</v>
      </c>
      <c r="R246">
        <v>45.518999999999998</v>
      </c>
      <c r="S246">
        <v>170.346</v>
      </c>
      <c r="T246">
        <v>3706</v>
      </c>
      <c r="U246">
        <v>3080</v>
      </c>
      <c r="V246">
        <v>480</v>
      </c>
      <c r="W246">
        <v>3.8899999999999864</v>
      </c>
      <c r="X246">
        <v>0.578125</v>
      </c>
      <c r="Y246">
        <v>2.359375</v>
      </c>
      <c r="Z246">
        <v>2.9375</v>
      </c>
      <c r="AA246">
        <v>216.86</v>
      </c>
      <c r="AB246">
        <v>1.9375</v>
      </c>
      <c r="AC246">
        <v>214.125</v>
      </c>
      <c r="AD246">
        <v>216.0625</v>
      </c>
      <c r="AE246">
        <v>624391</v>
      </c>
      <c r="AF246">
        <v>3706</v>
      </c>
      <c r="AG246">
        <v>627703</v>
      </c>
      <c r="AH246">
        <v>3560</v>
      </c>
      <c r="AI246" s="1">
        <v>5.3450810185185188E-2</v>
      </c>
      <c r="AJ246" s="1">
        <v>5.6008101851851851E-2</v>
      </c>
    </row>
    <row r="247" spans="1:36" x14ac:dyDescent="0.25">
      <c r="A247" t="s">
        <v>46</v>
      </c>
      <c r="B247">
        <v>6</v>
      </c>
      <c r="C247" t="s">
        <v>34</v>
      </c>
      <c r="D247" t="s">
        <v>35</v>
      </c>
      <c r="E247" t="s">
        <v>128</v>
      </c>
      <c r="F247">
        <v>0</v>
      </c>
      <c r="G247">
        <v>13329.318929267814</v>
      </c>
      <c r="H247">
        <v>13087.318929267833</v>
      </c>
      <c r="I247">
        <v>201</v>
      </c>
      <c r="J247">
        <v>228</v>
      </c>
      <c r="K247">
        <v>199</v>
      </c>
      <c r="L247">
        <v>228</v>
      </c>
      <c r="M247">
        <v>228</v>
      </c>
      <c r="N247">
        <v>209</v>
      </c>
      <c r="O247">
        <v>209</v>
      </c>
      <c r="P247">
        <v>201</v>
      </c>
      <c r="Q247">
        <v>2.9597518880208895E-11</v>
      </c>
      <c r="R247">
        <v>44.481999999999999</v>
      </c>
      <c r="S247">
        <v>168.072</v>
      </c>
      <c r="T247">
        <v>3706</v>
      </c>
      <c r="U247">
        <v>3080</v>
      </c>
      <c r="V247">
        <v>480</v>
      </c>
      <c r="W247">
        <v>3.0480000000000302</v>
      </c>
      <c r="X247">
        <v>0.453125</v>
      </c>
      <c r="Y247">
        <v>2.375</v>
      </c>
      <c r="Z247">
        <v>2.828125</v>
      </c>
      <c r="AA247">
        <v>214.06199999999998</v>
      </c>
      <c r="AB247">
        <v>1.578125</v>
      </c>
      <c r="AC247">
        <v>210.984375</v>
      </c>
      <c r="AD247">
        <v>212.5625</v>
      </c>
      <c r="AE247">
        <v>624391</v>
      </c>
      <c r="AF247">
        <v>3706</v>
      </c>
      <c r="AG247">
        <v>627703</v>
      </c>
      <c r="AH247">
        <v>3560</v>
      </c>
      <c r="AI247" s="1">
        <v>5.6009953703703701E-2</v>
      </c>
      <c r="AJ247" s="1">
        <v>5.8527662037037034E-2</v>
      </c>
    </row>
    <row r="248" spans="1:36" x14ac:dyDescent="0.25">
      <c r="A248" t="s">
        <v>46</v>
      </c>
      <c r="B248">
        <v>7</v>
      </c>
      <c r="C248" t="s">
        <v>34</v>
      </c>
      <c r="D248" t="s">
        <v>35</v>
      </c>
      <c r="E248" t="s">
        <v>128</v>
      </c>
      <c r="F248">
        <v>0</v>
      </c>
      <c r="G248">
        <v>13329.318929267814</v>
      </c>
      <c r="H248">
        <v>13087.318929267833</v>
      </c>
      <c r="I248">
        <v>201</v>
      </c>
      <c r="J248">
        <v>228</v>
      </c>
      <c r="K248">
        <v>199</v>
      </c>
      <c r="L248">
        <v>228</v>
      </c>
      <c r="M248">
        <v>228</v>
      </c>
      <c r="N248">
        <v>209</v>
      </c>
      <c r="O248">
        <v>209</v>
      </c>
      <c r="P248">
        <v>201</v>
      </c>
      <c r="Q248">
        <v>2.9597518880208895E-11</v>
      </c>
      <c r="R248">
        <v>43.743000000000002</v>
      </c>
      <c r="S248">
        <v>166.893</v>
      </c>
      <c r="T248">
        <v>3706</v>
      </c>
      <c r="U248">
        <v>3080</v>
      </c>
      <c r="V248">
        <v>480</v>
      </c>
      <c r="W248">
        <v>3.3120000000000118</v>
      </c>
      <c r="X248">
        <v>0.59375</v>
      </c>
      <c r="Y248">
        <v>2.25</v>
      </c>
      <c r="Z248">
        <v>2.84375</v>
      </c>
      <c r="AA248">
        <v>211.59399999999999</v>
      </c>
      <c r="AB248">
        <v>2.09375</v>
      </c>
      <c r="AC248">
        <v>208.5625</v>
      </c>
      <c r="AD248">
        <v>210.65625</v>
      </c>
      <c r="AE248">
        <v>624391</v>
      </c>
      <c r="AF248">
        <v>3706</v>
      </c>
      <c r="AG248">
        <v>627703</v>
      </c>
      <c r="AH248">
        <v>3560</v>
      </c>
      <c r="AI248" s="1">
        <v>5.8529745370370367E-2</v>
      </c>
      <c r="AJ248" s="1">
        <v>6.1019444444444446E-2</v>
      </c>
    </row>
    <row r="249" spans="1:36" x14ac:dyDescent="0.25">
      <c r="A249" t="s">
        <v>46</v>
      </c>
      <c r="B249">
        <v>8</v>
      </c>
      <c r="C249" t="s">
        <v>34</v>
      </c>
      <c r="D249" t="s">
        <v>35</v>
      </c>
      <c r="E249" t="s">
        <v>128</v>
      </c>
      <c r="F249">
        <v>0</v>
      </c>
      <c r="G249">
        <v>13329.318929267814</v>
      </c>
      <c r="H249">
        <v>13087.318929267833</v>
      </c>
      <c r="I249">
        <v>201</v>
      </c>
      <c r="J249">
        <v>228</v>
      </c>
      <c r="K249">
        <v>199</v>
      </c>
      <c r="L249">
        <v>228</v>
      </c>
      <c r="M249">
        <v>228</v>
      </c>
      <c r="N249">
        <v>209</v>
      </c>
      <c r="O249">
        <v>209</v>
      </c>
      <c r="P249">
        <v>201</v>
      </c>
      <c r="Q249">
        <v>2.9597518880208895E-11</v>
      </c>
      <c r="R249">
        <v>44.331000000000003</v>
      </c>
      <c r="S249">
        <v>169.30500000000001</v>
      </c>
      <c r="T249">
        <v>3706</v>
      </c>
      <c r="U249">
        <v>3080</v>
      </c>
      <c r="V249">
        <v>480</v>
      </c>
      <c r="W249">
        <v>2.953000000000003</v>
      </c>
      <c r="X249">
        <v>0.5</v>
      </c>
      <c r="Y249">
        <v>2.265625</v>
      </c>
      <c r="Z249">
        <v>2.765625</v>
      </c>
      <c r="AA249">
        <v>214.56200000000001</v>
      </c>
      <c r="AB249">
        <v>2.421875</v>
      </c>
      <c r="AC249">
        <v>211.46875</v>
      </c>
      <c r="AD249">
        <v>213.890625</v>
      </c>
      <c r="AE249">
        <v>624391</v>
      </c>
      <c r="AF249">
        <v>3706</v>
      </c>
      <c r="AG249">
        <v>627703</v>
      </c>
      <c r="AH249">
        <v>3560</v>
      </c>
      <c r="AI249" s="1">
        <v>6.102164351851852E-2</v>
      </c>
      <c r="AJ249" s="1">
        <v>6.3541319444444438E-2</v>
      </c>
    </row>
    <row r="250" spans="1:36" x14ac:dyDescent="0.25">
      <c r="A250" t="s">
        <v>46</v>
      </c>
      <c r="B250">
        <v>9</v>
      </c>
      <c r="C250" t="s">
        <v>34</v>
      </c>
      <c r="D250" t="s">
        <v>35</v>
      </c>
      <c r="E250" t="s">
        <v>128</v>
      </c>
      <c r="F250">
        <v>0</v>
      </c>
      <c r="G250">
        <v>13329.318929267814</v>
      </c>
      <c r="H250">
        <v>13087.318929267833</v>
      </c>
      <c r="I250">
        <v>201</v>
      </c>
      <c r="J250">
        <v>228</v>
      </c>
      <c r="K250">
        <v>199</v>
      </c>
      <c r="L250">
        <v>228</v>
      </c>
      <c r="M250">
        <v>228</v>
      </c>
      <c r="N250">
        <v>209</v>
      </c>
      <c r="O250">
        <v>209</v>
      </c>
      <c r="P250">
        <v>201</v>
      </c>
      <c r="Q250">
        <v>2.9597518880208895E-11</v>
      </c>
      <c r="R250">
        <v>44.667000000000002</v>
      </c>
      <c r="S250">
        <v>172.24299999999999</v>
      </c>
      <c r="T250">
        <v>3706</v>
      </c>
      <c r="U250">
        <v>3080</v>
      </c>
      <c r="V250">
        <v>480</v>
      </c>
      <c r="W250">
        <v>3.2810000000000059</v>
      </c>
      <c r="X250">
        <v>0.453125</v>
      </c>
      <c r="Y250">
        <v>2.265625</v>
      </c>
      <c r="Z250">
        <v>2.71875</v>
      </c>
      <c r="AA250">
        <v>218</v>
      </c>
      <c r="AB250">
        <v>2.125</v>
      </c>
      <c r="AC250">
        <v>214.984375</v>
      </c>
      <c r="AD250">
        <v>217.109375</v>
      </c>
      <c r="AE250">
        <v>624391</v>
      </c>
      <c r="AF250">
        <v>3706</v>
      </c>
      <c r="AG250">
        <v>627703</v>
      </c>
      <c r="AH250">
        <v>3560</v>
      </c>
      <c r="AI250" s="1">
        <v>6.3543171296296302E-2</v>
      </c>
      <c r="AJ250" s="1">
        <v>6.6106712962962957E-2</v>
      </c>
    </row>
    <row r="251" spans="1:36" x14ac:dyDescent="0.25">
      <c r="A251" t="s">
        <v>46</v>
      </c>
      <c r="B251">
        <v>10</v>
      </c>
      <c r="C251" t="s">
        <v>34</v>
      </c>
      <c r="D251" t="s">
        <v>35</v>
      </c>
      <c r="E251" t="s">
        <v>128</v>
      </c>
      <c r="F251">
        <v>0</v>
      </c>
      <c r="G251">
        <v>13329.318929267814</v>
      </c>
      <c r="H251">
        <v>13087.318929267833</v>
      </c>
      <c r="I251">
        <v>201</v>
      </c>
      <c r="J251">
        <v>228</v>
      </c>
      <c r="K251">
        <v>199</v>
      </c>
      <c r="L251">
        <v>228</v>
      </c>
      <c r="M251">
        <v>228</v>
      </c>
      <c r="N251">
        <v>209</v>
      </c>
      <c r="O251">
        <v>209</v>
      </c>
      <c r="P251">
        <v>201</v>
      </c>
      <c r="Q251">
        <v>2.9597518880208895E-11</v>
      </c>
      <c r="R251">
        <v>44.978999999999999</v>
      </c>
      <c r="S251">
        <v>177.81200000000001</v>
      </c>
      <c r="T251">
        <v>3706</v>
      </c>
      <c r="U251">
        <v>3080</v>
      </c>
      <c r="V251">
        <v>480</v>
      </c>
      <c r="W251">
        <v>3.1560000000000059</v>
      </c>
      <c r="X251">
        <v>0.515625</v>
      </c>
      <c r="Y251">
        <v>2.546875</v>
      </c>
      <c r="Z251">
        <v>3.0625</v>
      </c>
      <c r="AA251">
        <v>223.797</v>
      </c>
      <c r="AB251">
        <v>2.4375</v>
      </c>
      <c r="AC251">
        <v>220.59375</v>
      </c>
      <c r="AD251">
        <v>223.03125</v>
      </c>
      <c r="AE251">
        <v>624391</v>
      </c>
      <c r="AF251">
        <v>3706</v>
      </c>
      <c r="AG251">
        <v>627703</v>
      </c>
      <c r="AH251">
        <v>3560</v>
      </c>
      <c r="AI251" s="1">
        <v>6.6108564814814821E-2</v>
      </c>
      <c r="AJ251" s="1">
        <v>6.8738194444444442E-2</v>
      </c>
    </row>
    <row r="252" spans="1:36" x14ac:dyDescent="0.25">
      <c r="A252" t="s">
        <v>47</v>
      </c>
      <c r="B252">
        <v>1</v>
      </c>
      <c r="C252" t="s">
        <v>34</v>
      </c>
      <c r="D252" t="s">
        <v>35</v>
      </c>
      <c r="E252" t="s">
        <v>128</v>
      </c>
      <c r="F252">
        <v>0</v>
      </c>
      <c r="G252">
        <v>52580.53872600742</v>
      </c>
      <c r="H252">
        <v>13343.081305464602</v>
      </c>
      <c r="I252">
        <v>136</v>
      </c>
      <c r="J252">
        <v>149</v>
      </c>
      <c r="K252">
        <v>135</v>
      </c>
      <c r="L252">
        <v>149</v>
      </c>
      <c r="M252">
        <v>149</v>
      </c>
      <c r="N252">
        <v>139</v>
      </c>
      <c r="O252">
        <v>139</v>
      </c>
      <c r="P252">
        <v>136</v>
      </c>
      <c r="Q252">
        <v>1.4488517731479217E-10</v>
      </c>
      <c r="R252">
        <v>27.137</v>
      </c>
      <c r="S252">
        <v>124.925</v>
      </c>
      <c r="T252">
        <v>14836</v>
      </c>
      <c r="U252">
        <v>14210</v>
      </c>
      <c r="V252">
        <v>480</v>
      </c>
      <c r="W252">
        <v>14.312000000000012</v>
      </c>
      <c r="X252">
        <v>2.078125</v>
      </c>
      <c r="Y252">
        <v>11.140625</v>
      </c>
      <c r="Z252">
        <v>13.21875</v>
      </c>
      <c r="AA252">
        <v>153.03200000000001</v>
      </c>
      <c r="AB252">
        <v>1.765625</v>
      </c>
      <c r="AC252">
        <v>150.609375</v>
      </c>
      <c r="AD252">
        <v>152.375</v>
      </c>
      <c r="AE252">
        <v>2460541</v>
      </c>
      <c r="AF252">
        <v>14836</v>
      </c>
      <c r="AG252">
        <v>2467453</v>
      </c>
      <c r="AH252">
        <v>14690</v>
      </c>
      <c r="AI252" s="1">
        <v>6.8740393518518517E-2</v>
      </c>
      <c r="AJ252" s="1">
        <v>7.0684027777777783E-2</v>
      </c>
    </row>
    <row r="253" spans="1:36" x14ac:dyDescent="0.25">
      <c r="A253" t="s">
        <v>47</v>
      </c>
      <c r="B253">
        <v>2</v>
      </c>
      <c r="C253" t="s">
        <v>34</v>
      </c>
      <c r="D253" t="s">
        <v>35</v>
      </c>
      <c r="E253" t="s">
        <v>128</v>
      </c>
      <c r="F253">
        <v>0</v>
      </c>
      <c r="G253">
        <v>52580.53872600742</v>
      </c>
      <c r="H253">
        <v>13343.081305464602</v>
      </c>
      <c r="I253">
        <v>136</v>
      </c>
      <c r="J253">
        <v>149</v>
      </c>
      <c r="K253">
        <v>135</v>
      </c>
      <c r="L253">
        <v>149</v>
      </c>
      <c r="M253">
        <v>149</v>
      </c>
      <c r="N253">
        <v>139</v>
      </c>
      <c r="O253">
        <v>139</v>
      </c>
      <c r="P253">
        <v>136</v>
      </c>
      <c r="Q253">
        <v>1.4488517731479217E-10</v>
      </c>
      <c r="R253">
        <v>25.777000000000001</v>
      </c>
      <c r="S253">
        <v>115.982</v>
      </c>
      <c r="T253">
        <v>14836</v>
      </c>
      <c r="U253">
        <v>14210</v>
      </c>
      <c r="V253">
        <v>480</v>
      </c>
      <c r="W253">
        <v>14.985000000000014</v>
      </c>
      <c r="X253">
        <v>1.71875</v>
      </c>
      <c r="Y253">
        <v>11.609375</v>
      </c>
      <c r="Z253">
        <v>13.328125</v>
      </c>
      <c r="AA253">
        <v>142.81200000000001</v>
      </c>
      <c r="AB253">
        <v>2.1875</v>
      </c>
      <c r="AC253">
        <v>140.015625</v>
      </c>
      <c r="AD253">
        <v>142.203125</v>
      </c>
      <c r="AE253">
        <v>2460541</v>
      </c>
      <c r="AF253">
        <v>14836</v>
      </c>
      <c r="AG253">
        <v>2467453</v>
      </c>
      <c r="AH253">
        <v>14690</v>
      </c>
      <c r="AI253" s="1">
        <v>7.0687152777777776E-2</v>
      </c>
      <c r="AJ253" s="1">
        <v>7.2520254629629632E-2</v>
      </c>
    </row>
    <row r="254" spans="1:36" x14ac:dyDescent="0.25">
      <c r="A254" t="s">
        <v>47</v>
      </c>
      <c r="B254">
        <v>3</v>
      </c>
      <c r="C254" t="s">
        <v>34</v>
      </c>
      <c r="D254" t="s">
        <v>35</v>
      </c>
      <c r="E254" t="s">
        <v>128</v>
      </c>
      <c r="F254">
        <v>0</v>
      </c>
      <c r="G254">
        <v>52580.53872600742</v>
      </c>
      <c r="H254">
        <v>13343.081305464602</v>
      </c>
      <c r="I254">
        <v>136</v>
      </c>
      <c r="J254">
        <v>149</v>
      </c>
      <c r="K254">
        <v>135</v>
      </c>
      <c r="L254">
        <v>149</v>
      </c>
      <c r="M254">
        <v>149</v>
      </c>
      <c r="N254">
        <v>139</v>
      </c>
      <c r="O254">
        <v>139</v>
      </c>
      <c r="P254">
        <v>136</v>
      </c>
      <c r="Q254">
        <v>1.4488517731479217E-10</v>
      </c>
      <c r="R254">
        <v>26.498000000000001</v>
      </c>
      <c r="S254">
        <v>122.014</v>
      </c>
      <c r="T254">
        <v>14836</v>
      </c>
      <c r="U254">
        <v>14210</v>
      </c>
      <c r="V254">
        <v>480</v>
      </c>
      <c r="W254">
        <v>12.546000000000021</v>
      </c>
      <c r="X254">
        <v>1.75</v>
      </c>
      <c r="Y254">
        <v>10.625</v>
      </c>
      <c r="Z254">
        <v>12.375</v>
      </c>
      <c r="AA254">
        <v>149.45400000000001</v>
      </c>
      <c r="AB254">
        <v>1.484375</v>
      </c>
      <c r="AC254">
        <v>147.46875</v>
      </c>
      <c r="AD254">
        <v>148.953125</v>
      </c>
      <c r="AE254">
        <v>2460541</v>
      </c>
      <c r="AF254">
        <v>14836</v>
      </c>
      <c r="AG254">
        <v>2467453</v>
      </c>
      <c r="AH254">
        <v>14690</v>
      </c>
      <c r="AI254" s="1">
        <v>7.2522337962962966E-2</v>
      </c>
      <c r="AJ254" s="1">
        <v>7.4403125000000001E-2</v>
      </c>
    </row>
    <row r="255" spans="1:36" x14ac:dyDescent="0.25">
      <c r="A255" t="s">
        <v>47</v>
      </c>
      <c r="B255">
        <v>4</v>
      </c>
      <c r="C255" t="s">
        <v>34</v>
      </c>
      <c r="D255" t="s">
        <v>35</v>
      </c>
      <c r="E255" t="s">
        <v>128</v>
      </c>
      <c r="F255">
        <v>0</v>
      </c>
      <c r="G255">
        <v>52580.53872600742</v>
      </c>
      <c r="H255">
        <v>13343.081305464602</v>
      </c>
      <c r="I255">
        <v>136</v>
      </c>
      <c r="J255">
        <v>149</v>
      </c>
      <c r="K255">
        <v>135</v>
      </c>
      <c r="L255">
        <v>149</v>
      </c>
      <c r="M255">
        <v>149</v>
      </c>
      <c r="N255">
        <v>139</v>
      </c>
      <c r="O255">
        <v>139</v>
      </c>
      <c r="P255">
        <v>136</v>
      </c>
      <c r="Q255">
        <v>1.4488517731479217E-10</v>
      </c>
      <c r="R255">
        <v>25.847000000000001</v>
      </c>
      <c r="S255">
        <v>119.08199999999999</v>
      </c>
      <c r="T255">
        <v>14836</v>
      </c>
      <c r="U255">
        <v>14210</v>
      </c>
      <c r="V255">
        <v>480</v>
      </c>
      <c r="W255">
        <v>13.578000000000031</v>
      </c>
      <c r="X255">
        <v>1.78125</v>
      </c>
      <c r="Y255">
        <v>11.0625</v>
      </c>
      <c r="Z255">
        <v>12.84375</v>
      </c>
      <c r="AA255">
        <v>145.96899999999999</v>
      </c>
      <c r="AB255">
        <v>1.859375</v>
      </c>
      <c r="AC255">
        <v>143.546875</v>
      </c>
      <c r="AD255">
        <v>145.40625</v>
      </c>
      <c r="AE255">
        <v>2460541</v>
      </c>
      <c r="AF255">
        <v>14836</v>
      </c>
      <c r="AG255">
        <v>2467453</v>
      </c>
      <c r="AH255">
        <v>14690</v>
      </c>
      <c r="AI255" s="1">
        <v>7.4404629629629626E-2</v>
      </c>
      <c r="AJ255" s="1">
        <v>7.6256712962962964E-2</v>
      </c>
    </row>
    <row r="256" spans="1:36" x14ac:dyDescent="0.25">
      <c r="A256" t="s">
        <v>47</v>
      </c>
      <c r="B256">
        <v>5</v>
      </c>
      <c r="C256" t="s">
        <v>34</v>
      </c>
      <c r="D256" t="s">
        <v>35</v>
      </c>
      <c r="E256" t="s">
        <v>128</v>
      </c>
      <c r="F256">
        <v>0</v>
      </c>
      <c r="G256">
        <v>52580.53872600742</v>
      </c>
      <c r="H256">
        <v>13343.081305464602</v>
      </c>
      <c r="I256">
        <v>136</v>
      </c>
      <c r="J256">
        <v>149</v>
      </c>
      <c r="K256">
        <v>135</v>
      </c>
      <c r="L256">
        <v>149</v>
      </c>
      <c r="M256">
        <v>149</v>
      </c>
      <c r="N256">
        <v>139</v>
      </c>
      <c r="O256">
        <v>139</v>
      </c>
      <c r="P256">
        <v>136</v>
      </c>
      <c r="Q256">
        <v>1.4488517731479217E-10</v>
      </c>
      <c r="R256">
        <v>25.971</v>
      </c>
      <c r="S256">
        <v>120.05200000000001</v>
      </c>
      <c r="T256">
        <v>14836</v>
      </c>
      <c r="U256">
        <v>14210</v>
      </c>
      <c r="V256">
        <v>480</v>
      </c>
      <c r="W256">
        <v>13.001000000000005</v>
      </c>
      <c r="X256">
        <v>1.78125</v>
      </c>
      <c r="Y256">
        <v>10.84375</v>
      </c>
      <c r="Z256">
        <v>12.625</v>
      </c>
      <c r="AA256">
        <v>146.953</v>
      </c>
      <c r="AB256">
        <v>2.203125</v>
      </c>
      <c r="AC256">
        <v>144.09375</v>
      </c>
      <c r="AD256">
        <v>146.296875</v>
      </c>
      <c r="AE256">
        <v>2460541</v>
      </c>
      <c r="AF256">
        <v>14836</v>
      </c>
      <c r="AG256">
        <v>2467453</v>
      </c>
      <c r="AH256">
        <v>14690</v>
      </c>
      <c r="AI256" s="1">
        <v>7.6258101851851848E-2</v>
      </c>
      <c r="AJ256" s="1">
        <v>7.8114814814814817E-2</v>
      </c>
    </row>
    <row r="257" spans="1:36" x14ac:dyDescent="0.25">
      <c r="A257" t="s">
        <v>47</v>
      </c>
      <c r="B257">
        <v>6</v>
      </c>
      <c r="C257" t="s">
        <v>34</v>
      </c>
      <c r="D257" t="s">
        <v>35</v>
      </c>
      <c r="E257" t="s">
        <v>128</v>
      </c>
      <c r="F257">
        <v>0</v>
      </c>
      <c r="G257">
        <v>52580.53872600742</v>
      </c>
      <c r="H257">
        <v>13343.081305464602</v>
      </c>
      <c r="I257">
        <v>136</v>
      </c>
      <c r="J257">
        <v>149</v>
      </c>
      <c r="K257">
        <v>135</v>
      </c>
      <c r="L257">
        <v>149</v>
      </c>
      <c r="M257">
        <v>149</v>
      </c>
      <c r="N257">
        <v>139</v>
      </c>
      <c r="O257">
        <v>139</v>
      </c>
      <c r="P257">
        <v>136</v>
      </c>
      <c r="Q257">
        <v>1.4488517731479217E-10</v>
      </c>
      <c r="R257">
        <v>25.773</v>
      </c>
      <c r="S257">
        <v>118.363</v>
      </c>
      <c r="T257">
        <v>14836</v>
      </c>
      <c r="U257">
        <v>14210</v>
      </c>
      <c r="V257">
        <v>480</v>
      </c>
      <c r="W257">
        <v>13.048000000000002</v>
      </c>
      <c r="X257">
        <v>1.875</v>
      </c>
      <c r="Y257">
        <v>10.703125</v>
      </c>
      <c r="Z257">
        <v>12.578125</v>
      </c>
      <c r="AA257">
        <v>145.03100000000001</v>
      </c>
      <c r="AB257">
        <v>1.6875</v>
      </c>
      <c r="AC257">
        <v>142.578125</v>
      </c>
      <c r="AD257">
        <v>144.265625</v>
      </c>
      <c r="AE257">
        <v>2460541</v>
      </c>
      <c r="AF257">
        <v>14836</v>
      </c>
      <c r="AG257">
        <v>2467453</v>
      </c>
      <c r="AH257">
        <v>14690</v>
      </c>
      <c r="AI257" s="1">
        <v>7.8117013888888892E-2</v>
      </c>
      <c r="AJ257" s="1">
        <v>7.9952199074074068E-2</v>
      </c>
    </row>
    <row r="258" spans="1:36" x14ac:dyDescent="0.25">
      <c r="A258" t="s">
        <v>47</v>
      </c>
      <c r="B258">
        <v>7</v>
      </c>
      <c r="C258" t="s">
        <v>34</v>
      </c>
      <c r="D258" t="s">
        <v>35</v>
      </c>
      <c r="E258" t="s">
        <v>128</v>
      </c>
      <c r="F258">
        <v>0</v>
      </c>
      <c r="G258">
        <v>52580.53872600742</v>
      </c>
      <c r="H258">
        <v>13343.081305464602</v>
      </c>
      <c r="I258">
        <v>136</v>
      </c>
      <c r="J258">
        <v>149</v>
      </c>
      <c r="K258">
        <v>135</v>
      </c>
      <c r="L258">
        <v>149</v>
      </c>
      <c r="M258">
        <v>149</v>
      </c>
      <c r="N258">
        <v>139</v>
      </c>
      <c r="O258">
        <v>139</v>
      </c>
      <c r="P258">
        <v>136</v>
      </c>
      <c r="Q258">
        <v>1.4488517731479217E-10</v>
      </c>
      <c r="R258">
        <v>25.864999999999998</v>
      </c>
      <c r="S258">
        <v>119.211</v>
      </c>
      <c r="T258">
        <v>14836</v>
      </c>
      <c r="U258">
        <v>14210</v>
      </c>
      <c r="V258">
        <v>480</v>
      </c>
      <c r="W258">
        <v>12.859000000000009</v>
      </c>
      <c r="X258">
        <v>1.8125</v>
      </c>
      <c r="Y258">
        <v>10.828125</v>
      </c>
      <c r="Z258">
        <v>12.640625</v>
      </c>
      <c r="AA258">
        <v>146</v>
      </c>
      <c r="AB258">
        <v>1.5625</v>
      </c>
      <c r="AC258">
        <v>144.015625</v>
      </c>
      <c r="AD258">
        <v>145.578125</v>
      </c>
      <c r="AE258">
        <v>2460541</v>
      </c>
      <c r="AF258">
        <v>14836</v>
      </c>
      <c r="AG258">
        <v>2467453</v>
      </c>
      <c r="AH258">
        <v>14690</v>
      </c>
      <c r="AI258" s="1">
        <v>7.9953819444444449E-2</v>
      </c>
      <c r="AJ258" s="1">
        <v>8.1798148148148148E-2</v>
      </c>
    </row>
    <row r="259" spans="1:36" x14ac:dyDescent="0.25">
      <c r="A259" t="s">
        <v>47</v>
      </c>
      <c r="B259">
        <v>8</v>
      </c>
      <c r="C259" t="s">
        <v>34</v>
      </c>
      <c r="D259" t="s">
        <v>35</v>
      </c>
      <c r="E259" t="s">
        <v>128</v>
      </c>
      <c r="F259">
        <v>0</v>
      </c>
      <c r="G259">
        <v>52580.53872600742</v>
      </c>
      <c r="H259">
        <v>13343.081305464602</v>
      </c>
      <c r="I259">
        <v>136</v>
      </c>
      <c r="J259">
        <v>149</v>
      </c>
      <c r="K259">
        <v>135</v>
      </c>
      <c r="L259">
        <v>149</v>
      </c>
      <c r="M259">
        <v>149</v>
      </c>
      <c r="N259">
        <v>139</v>
      </c>
      <c r="O259">
        <v>139</v>
      </c>
      <c r="P259">
        <v>136</v>
      </c>
      <c r="Q259">
        <v>1.4488517731479217E-10</v>
      </c>
      <c r="R259">
        <v>25.706</v>
      </c>
      <c r="S259">
        <v>118.803</v>
      </c>
      <c r="T259">
        <v>14836</v>
      </c>
      <c r="U259">
        <v>14210</v>
      </c>
      <c r="V259">
        <v>480</v>
      </c>
      <c r="W259">
        <v>13.312999999999988</v>
      </c>
      <c r="X259">
        <v>1.5625</v>
      </c>
      <c r="Y259">
        <v>11.015625</v>
      </c>
      <c r="Z259">
        <v>12.578125</v>
      </c>
      <c r="AA259">
        <v>145.453</v>
      </c>
      <c r="AB259">
        <v>2.125</v>
      </c>
      <c r="AC259">
        <v>142.71875</v>
      </c>
      <c r="AD259">
        <v>144.84375</v>
      </c>
      <c r="AE259">
        <v>2460541</v>
      </c>
      <c r="AF259">
        <v>14836</v>
      </c>
      <c r="AG259">
        <v>2467453</v>
      </c>
      <c r="AH259">
        <v>14690</v>
      </c>
      <c r="AI259" s="1">
        <v>8.1800462962962964E-2</v>
      </c>
      <c r="AJ259" s="1">
        <v>8.3643287037037037E-2</v>
      </c>
    </row>
    <row r="260" spans="1:36" x14ac:dyDescent="0.25">
      <c r="A260" t="s">
        <v>47</v>
      </c>
      <c r="B260">
        <v>9</v>
      </c>
      <c r="C260" t="s">
        <v>34</v>
      </c>
      <c r="D260" t="s">
        <v>35</v>
      </c>
      <c r="E260" t="s">
        <v>128</v>
      </c>
      <c r="F260">
        <v>0</v>
      </c>
      <c r="G260">
        <v>52580.53872600742</v>
      </c>
      <c r="H260">
        <v>13343.081305464602</v>
      </c>
      <c r="I260">
        <v>136</v>
      </c>
      <c r="J260">
        <v>149</v>
      </c>
      <c r="K260">
        <v>135</v>
      </c>
      <c r="L260">
        <v>149</v>
      </c>
      <c r="M260">
        <v>149</v>
      </c>
      <c r="N260">
        <v>139</v>
      </c>
      <c r="O260">
        <v>139</v>
      </c>
      <c r="P260">
        <v>136</v>
      </c>
      <c r="Q260">
        <v>1.4488517731479217E-10</v>
      </c>
      <c r="R260">
        <v>25.727</v>
      </c>
      <c r="S260">
        <v>120.148</v>
      </c>
      <c r="T260">
        <v>14836</v>
      </c>
      <c r="U260">
        <v>14210</v>
      </c>
      <c r="V260">
        <v>480</v>
      </c>
      <c r="W260">
        <v>11.765000000000015</v>
      </c>
      <c r="X260">
        <v>1.734375</v>
      </c>
      <c r="Y260">
        <v>9.84375</v>
      </c>
      <c r="Z260">
        <v>11.578125</v>
      </c>
      <c r="AA260">
        <v>146.84399999999999</v>
      </c>
      <c r="AB260">
        <v>2.09375</v>
      </c>
      <c r="AC260">
        <v>143.96875</v>
      </c>
      <c r="AD260">
        <v>146.0625</v>
      </c>
      <c r="AE260">
        <v>2460541</v>
      </c>
      <c r="AF260">
        <v>14836</v>
      </c>
      <c r="AG260">
        <v>2467453</v>
      </c>
      <c r="AH260">
        <v>14690</v>
      </c>
      <c r="AI260" s="1">
        <v>8.3645601851851853E-2</v>
      </c>
      <c r="AJ260" s="1">
        <v>8.5487384259259253E-2</v>
      </c>
    </row>
    <row r="261" spans="1:36" x14ac:dyDescent="0.25">
      <c r="A261" t="s">
        <v>47</v>
      </c>
      <c r="B261">
        <v>10</v>
      </c>
      <c r="C261" t="s">
        <v>34</v>
      </c>
      <c r="D261" t="s">
        <v>35</v>
      </c>
      <c r="E261" t="s">
        <v>128</v>
      </c>
      <c r="F261">
        <v>0</v>
      </c>
      <c r="G261">
        <v>52580.53872600742</v>
      </c>
      <c r="H261">
        <v>13343.081305464602</v>
      </c>
      <c r="I261">
        <v>136</v>
      </c>
      <c r="J261">
        <v>149</v>
      </c>
      <c r="K261">
        <v>135</v>
      </c>
      <c r="L261">
        <v>149</v>
      </c>
      <c r="M261">
        <v>149</v>
      </c>
      <c r="N261">
        <v>139</v>
      </c>
      <c r="O261">
        <v>139</v>
      </c>
      <c r="P261">
        <v>136</v>
      </c>
      <c r="Q261">
        <v>1.4488517731479217E-10</v>
      </c>
      <c r="R261">
        <v>25.751000000000001</v>
      </c>
      <c r="S261">
        <v>117.56399999999999</v>
      </c>
      <c r="T261">
        <v>14836</v>
      </c>
      <c r="U261">
        <v>14210</v>
      </c>
      <c r="V261">
        <v>480</v>
      </c>
      <c r="W261">
        <v>13.124999999999972</v>
      </c>
      <c r="X261">
        <v>1.765625</v>
      </c>
      <c r="Y261">
        <v>10.734375</v>
      </c>
      <c r="Z261">
        <v>12.5</v>
      </c>
      <c r="AA261">
        <v>144.21900000000002</v>
      </c>
      <c r="AB261">
        <v>1.65625</v>
      </c>
      <c r="AC261">
        <v>141.796875</v>
      </c>
      <c r="AD261">
        <v>143.453125</v>
      </c>
      <c r="AE261">
        <v>2460541</v>
      </c>
      <c r="AF261">
        <v>14836</v>
      </c>
      <c r="AG261">
        <v>2467453</v>
      </c>
      <c r="AH261">
        <v>14690</v>
      </c>
      <c r="AI261" s="1">
        <v>8.5489467592592586E-2</v>
      </c>
      <c r="AJ261" s="1">
        <v>8.7316203703703701E-2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F9EB-72E0-423F-AA95-02F73C89AC4B}">
  <dimension ref="A1:AS27"/>
  <sheetViews>
    <sheetView zoomScale="130" zoomScaleNormal="130" workbookViewId="0">
      <pane xSplit="1" topLeftCell="AB1" activePane="topRight" state="frozen"/>
      <selection pane="topRight" activeCell="AF2" sqref="AF2"/>
    </sheetView>
  </sheetViews>
  <sheetFormatPr defaultRowHeight="15" x14ac:dyDescent="0.25"/>
  <cols>
    <col min="1" max="1" width="21.5703125" bestFit="1" customWidth="1"/>
    <col min="2" max="2" width="4" bestFit="1" customWidth="1"/>
    <col min="3" max="3" width="8" bestFit="1" customWidth="1"/>
    <col min="4" max="4" width="7.5703125" bestFit="1" customWidth="1"/>
    <col min="5" max="5" width="10.28515625" bestFit="1" customWidth="1"/>
    <col min="6" max="6" width="9.140625" bestFit="1" customWidth="1"/>
    <col min="7" max="8" width="13.140625" bestFit="1" customWidth="1"/>
    <col min="9" max="9" width="9.42578125" bestFit="1" customWidth="1"/>
    <col min="10" max="10" width="8.28515625" bestFit="1" customWidth="1"/>
    <col min="11" max="11" width="9.42578125" bestFit="1" customWidth="1"/>
    <col min="12" max="12" width="7.5703125" bestFit="1" customWidth="1"/>
    <col min="13" max="13" width="9.28515625" bestFit="1" customWidth="1"/>
    <col min="14" max="14" width="6.7109375" bestFit="1" customWidth="1"/>
    <col min="15" max="15" width="8.42578125" bestFit="1" customWidth="1"/>
    <col min="16" max="16" width="9.5703125" bestFit="1" customWidth="1"/>
    <col min="17" max="17" width="28.140625" bestFit="1" customWidth="1"/>
    <col min="18" max="18" width="9.7109375" bestFit="1" customWidth="1"/>
    <col min="19" max="19" width="9.85546875" bestFit="1" customWidth="1"/>
    <col min="20" max="20" width="9.5703125" bestFit="1" customWidth="1"/>
    <col min="21" max="21" width="8" bestFit="1" customWidth="1"/>
    <col min="22" max="22" width="9.7109375" bestFit="1" customWidth="1"/>
    <col min="23" max="23" width="18.42578125" bestFit="1" customWidth="1"/>
    <col min="24" max="24" width="17.5703125" bestFit="1" customWidth="1"/>
    <col min="25" max="25" width="15.140625" bestFit="1" customWidth="1"/>
    <col min="26" max="26" width="10.85546875" bestFit="1" customWidth="1"/>
    <col min="27" max="27" width="18.42578125" bestFit="1" customWidth="1"/>
    <col min="28" max="28" width="17.5703125" bestFit="1" customWidth="1"/>
    <col min="29" max="29" width="15.140625" bestFit="1" customWidth="1"/>
    <col min="30" max="30" width="13.140625" bestFit="1" customWidth="1"/>
    <col min="31" max="31" width="8.7109375" bestFit="1" customWidth="1"/>
    <col min="32" max="32" width="6.85546875" bestFit="1" customWidth="1"/>
    <col min="33" max="33" width="8.7109375" bestFit="1" customWidth="1"/>
    <col min="34" max="34" width="7.42578125" bestFit="1" customWidth="1"/>
    <col min="35" max="36" width="13.140625" bestFit="1" customWidth="1"/>
    <col min="37" max="37" width="13.28515625" bestFit="1" customWidth="1"/>
    <col min="38" max="38" width="13.5703125" bestFit="1" customWidth="1"/>
    <col min="39" max="39" width="13.42578125" bestFit="1" customWidth="1"/>
    <col min="40" max="40" width="10.85546875" bestFit="1" customWidth="1"/>
    <col min="41" max="41" width="10.7109375" bestFit="1" customWidth="1"/>
    <col min="42" max="42" width="11" bestFit="1" customWidth="1"/>
    <col min="43" max="43" width="10.140625" bestFit="1" customWidth="1"/>
    <col min="44" max="44" width="14.140625" bestFit="1" customWidth="1"/>
    <col min="45" max="45" width="14.42578125" bestFit="1" customWidth="1"/>
  </cols>
  <sheetData>
    <row r="1" spans="1:45" x14ac:dyDescent="0.25">
      <c r="A1" t="str">
        <f>benchmark!A1</f>
        <v>model</v>
      </c>
      <c r="B1" t="str">
        <f>benchmark!B1</f>
        <v>run</v>
      </c>
      <c r="C1" t="str">
        <f>benchmark!C1</f>
        <v>solver</v>
      </c>
      <c r="D1" t="str">
        <f>benchmark!D1</f>
        <v>version</v>
      </c>
      <c r="E1" t="str">
        <f>benchmark!E1</f>
        <v>exit_status</v>
      </c>
      <c r="F1" t="str">
        <f>benchmark!F1</f>
        <v>exit_code</v>
      </c>
      <c r="G1" t="str">
        <f>benchmark!G1</f>
        <v>obj1</v>
      </c>
      <c r="H1" t="str">
        <f>benchmark!H1</f>
        <v>obj2</v>
      </c>
      <c r="I1" t="str">
        <f>benchmark!I1</f>
        <v>iterations</v>
      </c>
      <c r="J1" t="str">
        <f>benchmark!J1</f>
        <v>obj_eval</v>
      </c>
      <c r="K1" t="str">
        <f>benchmark!K1</f>
        <v>grad_eval</v>
      </c>
      <c r="L1" t="str">
        <f>benchmark!L1</f>
        <v>eq_eval</v>
      </c>
      <c r="M1" t="str">
        <f>benchmark!M1</f>
        <v>ineq_eval</v>
      </c>
      <c r="N1" t="str">
        <f>benchmark!N1</f>
        <v>eq_jac</v>
      </c>
      <c r="O1" t="str">
        <f>benchmark!O1</f>
        <v>ineq_jac</v>
      </c>
      <c r="P1" t="str">
        <f>benchmark!P1</f>
        <v>hess_eval</v>
      </c>
      <c r="Q1" t="str">
        <f>benchmark!Q1</f>
        <v>constraint_violation_unscaled</v>
      </c>
      <c r="R1" t="str">
        <f>benchmark!R1</f>
        <v>cpu_ipopt</v>
      </c>
      <c r="S1" t="str">
        <f>benchmark!S1</f>
        <v>cpu_nlp</v>
      </c>
      <c r="T1" t="str">
        <f>benchmark!T1</f>
        <v>total_vars</v>
      </c>
      <c r="U1" t="str">
        <f>benchmark!U1</f>
        <v>total_eq</v>
      </c>
      <c r="V1" t="str">
        <f>benchmark!V1</f>
        <v>total_ineq</v>
      </c>
      <c r="W1" t="str">
        <f>benchmark!W1</f>
        <v>ampl_elapsed_time</v>
      </c>
      <c r="X1" t="str">
        <f>benchmark!X1</f>
        <v>ampl_system_time</v>
      </c>
      <c r="Y1" t="str">
        <f>benchmark!Y1</f>
        <v>ampl_user_time</v>
      </c>
      <c r="Z1" t="str">
        <f>benchmark!Z1</f>
        <v>ampl_time</v>
      </c>
      <c r="AA1" t="str">
        <f>benchmark!AA1</f>
        <v>solve_elapsed_time</v>
      </c>
      <c r="AB1" t="str">
        <f>benchmark!AB1</f>
        <v>solve_system_time</v>
      </c>
      <c r="AC1" t="str">
        <f>benchmark!AC1</f>
        <v>solve_user_time</v>
      </c>
      <c r="AD1" t="str">
        <f>benchmark!AD1</f>
        <v>solve_time</v>
      </c>
      <c r="AE1" t="str">
        <f>benchmark!AE1</f>
        <v>nvars</v>
      </c>
      <c r="AF1" t="str">
        <f>benchmark!AF1</f>
        <v>snvars</v>
      </c>
      <c r="AG1" t="str">
        <f>benchmark!AG1</f>
        <v>ncons</v>
      </c>
      <c r="AH1" t="str">
        <f>benchmark!AH1</f>
        <v>sncons</v>
      </c>
      <c r="AI1" t="str">
        <f>benchmark!AI1</f>
        <v>tic</v>
      </c>
      <c r="AJ1" t="str">
        <f>benchmark!AJ1</f>
        <v>toc</v>
      </c>
      <c r="AK1" s="2" t="s">
        <v>141</v>
      </c>
      <c r="AL1" s="2" t="s">
        <v>142</v>
      </c>
      <c r="AM1" s="2" t="s">
        <v>143</v>
      </c>
      <c r="AN1" s="2" t="s">
        <v>50</v>
      </c>
      <c r="AO1" s="2" t="s">
        <v>51</v>
      </c>
      <c r="AP1" s="2" t="s">
        <v>52</v>
      </c>
      <c r="AQ1" s="2" t="s">
        <v>81</v>
      </c>
      <c r="AR1" s="2" t="s">
        <v>82</v>
      </c>
      <c r="AS1" s="2" t="s">
        <v>83</v>
      </c>
    </row>
    <row r="2" spans="1:45" x14ac:dyDescent="0.25">
      <c r="A2" t="str" cm="1">
        <f t="array" ref="A2">INDEX(benchmark!A:A, (ROW()-2)*$B2+2)</f>
        <v>acrobot</v>
      </c>
      <c r="B2">
        <f>COUNTIF(benchmark!A:A, benchmark!A2)</f>
        <v>10</v>
      </c>
      <c r="C2" t="str" cm="1">
        <f t="array" ref="C2">INDEX(benchmark!C:C, (ROW()-2)*$B2+2)</f>
        <v>Ipopt</v>
      </c>
      <c r="D2" t="str" cm="1">
        <f t="array" ref="D2">INDEX(benchmark!D:D, (ROW()-2)*$B2+2)</f>
        <v>3.12.13</v>
      </c>
      <c r="E2" t="str" cm="1">
        <f t="array" ref="E2">INDEX(benchmark!E:E, (ROW()-2)*$B2+2)</f>
        <v>solved</v>
      </c>
      <c r="F2">
        <f>IFERROR(AVERAGE(INDEX(benchmark!F:F, (ROW()-2)*$B2+2):INDEX(benchmark!F:F, (ROW()-2)*$B2 + $B2+1)), "")</f>
        <v>0</v>
      </c>
      <c r="G2">
        <f>IFERROR(AVERAGE(INDEX(benchmark!G:G, (ROW()-2)*$B2+2):INDEX(benchmark!G:G, (ROW()-2)*$B2 + $B2+1)), "")</f>
        <v>69.877641620638045</v>
      </c>
      <c r="H2" t="str">
        <f>IFERROR(AVERAGE(INDEX(benchmark!H:H, (ROW()-2)*$B2+2):INDEX(benchmark!H:H, (ROW()-2)*$B2 + $B2+1)), "")</f>
        <v/>
      </c>
      <c r="I2">
        <f>IFERROR(AVERAGE(INDEX(benchmark!I:I, (ROW()-2)*$B2+2):INDEX(benchmark!I:I, (ROW()-2)*$B2 + $B2+1)), "")</f>
        <v>14</v>
      </c>
      <c r="J2">
        <f>IFERROR(AVERAGE(INDEX(benchmark!J:J, (ROW()-2)*$B2+2):INDEX(benchmark!J:J, (ROW()-2)*$B2 + $B2+1)), "")</f>
        <v>26</v>
      </c>
      <c r="K2">
        <f>IFERROR(AVERAGE(INDEX(benchmark!K:K, (ROW()-2)*$B2+2):INDEX(benchmark!K:K, (ROW()-2)*$B2 + $B2+1)), "")</f>
        <v>15</v>
      </c>
      <c r="L2">
        <f>IFERROR(AVERAGE(INDEX(benchmark!L:L, (ROW()-2)*$B2+2):INDEX(benchmark!L:L, (ROW()-2)*$B2 + $B2+1)), "")</f>
        <v>26</v>
      </c>
      <c r="M2">
        <f>IFERROR(AVERAGE(INDEX(benchmark!M:M, (ROW()-2)*$B2+2):INDEX(benchmark!M:M, (ROW()-2)*$B2 + $B2+1)), "")</f>
        <v>26</v>
      </c>
      <c r="N2">
        <f>IFERROR(AVERAGE(INDEX(benchmark!N:N, (ROW()-2)*$B2+2):INDEX(benchmark!N:N, (ROW()-2)*$B2 + $B2+1)), "")</f>
        <v>15</v>
      </c>
      <c r="O2">
        <f>IFERROR(AVERAGE(INDEX(benchmark!O:O, (ROW()-2)*$B2+2):INDEX(benchmark!O:O, (ROW()-2)*$B2 + $B2+1)), "")</f>
        <v>15</v>
      </c>
      <c r="P2">
        <f>IFERROR(AVERAGE(INDEX(benchmark!P:P, (ROW()-2)*$B2+2):INDEX(benchmark!P:P, (ROW()-2)*$B2 + $B2+1)), "")</f>
        <v>14</v>
      </c>
      <c r="Q2">
        <f>IFERROR(AVERAGE(INDEX(benchmark!Q:Q, (ROW()-2)*$B2+2):INDEX(benchmark!Q:Q, (ROW()-2)*$B2 + $B2+1)), "")</f>
        <v>2.8421709430404007E-14</v>
      </c>
      <c r="R2">
        <f>IFERROR(AVERAGE(INDEX(benchmark!R:R, (ROW()-2)*$B2+2):INDEX(benchmark!R:R, (ROW()-2)*$B2 + $B2+1)), "")</f>
        <v>1.2500000000000001E-2</v>
      </c>
      <c r="S2">
        <f>IFERROR(AVERAGE(INDEX(benchmark!S:S, (ROW()-2)*$B2+2):INDEX(benchmark!S:S, (ROW()-2)*$B2 + $B2+1)), "")</f>
        <v>2.3E-3</v>
      </c>
      <c r="T2">
        <f>IFERROR(AVERAGE(INDEX(benchmark!T:T, (ROW()-2)*$B2+2):INDEX(benchmark!T:T, (ROW()-2)*$B2 + $B2+1)), "")</f>
        <v>132</v>
      </c>
      <c r="U2">
        <f>IFERROR(AVERAGE(INDEX(benchmark!U:U, (ROW()-2)*$B2+2):INDEX(benchmark!U:U, (ROW()-2)*$B2 + $B2+1)), "")</f>
        <v>116</v>
      </c>
      <c r="V2">
        <f>IFERROR(AVERAGE(INDEX(benchmark!V:V, (ROW()-2)*$B2+2):INDEX(benchmark!V:V, (ROW()-2)*$B2 + $B2+1)), "")</f>
        <v>18</v>
      </c>
      <c r="W2">
        <f>IFERROR(AVERAGE(INDEX(benchmark!W:W, (ROW()-2)*$B2+2):INDEX(benchmark!W:W, (ROW()-2)*$B2 + $B2+1)), "")</f>
        <v>0.19070000000000004</v>
      </c>
      <c r="X2">
        <f>IFERROR(AVERAGE(INDEX(benchmark!X:X, (ROW()-2)*$B2+2):INDEX(benchmark!X:X, (ROW()-2)*$B2 + $B2+1)), "")</f>
        <v>1.5625E-2</v>
      </c>
      <c r="Y2">
        <f>IFERROR(AVERAGE(INDEX(benchmark!Y:Y, (ROW()-2)*$B2+2):INDEX(benchmark!Y:Y, (ROW()-2)*$B2 + $B2+1)), "")</f>
        <v>2.9687499999999999E-2</v>
      </c>
      <c r="Z2">
        <f>IFERROR(AVERAGE(INDEX(benchmark!Z:Z, (ROW()-2)*$B2+2):INDEX(benchmark!Z:Z, (ROW()-2)*$B2 + $B2+1)), "")</f>
        <v>4.5312499999999999E-2</v>
      </c>
      <c r="AA2">
        <f>IFERROR(AVERAGE(INDEX(benchmark!AA:AA, (ROW()-2)*$B2+2):INDEX(benchmark!AA:AA, (ROW()-2)*$B2 + $B2+1)), "")</f>
        <v>4.2100000000000005E-2</v>
      </c>
      <c r="AB2">
        <f>IFERROR(AVERAGE(INDEX(benchmark!AB:AB, (ROW()-2)*$B2+2):INDEX(benchmark!AB:AB, (ROW()-2)*$B2 + $B2+1)), "")</f>
        <v>1.2500000000000001E-2</v>
      </c>
      <c r="AC2">
        <f>IFERROR(AVERAGE(INDEX(benchmark!AC:AC, (ROW()-2)*$B2+2):INDEX(benchmark!AC:AC, (ROW()-2)*$B2 + $B2+1)), "")</f>
        <v>7.8125E-3</v>
      </c>
      <c r="AD2">
        <f>IFERROR(AVERAGE(INDEX(benchmark!AD:AD, (ROW()-2)*$B2+2):INDEX(benchmark!AD:AD, (ROW()-2)*$B2 + $B2+1)), "")</f>
        <v>2.0312500000000001E-2</v>
      </c>
      <c r="AE2">
        <f>IFERROR(AVERAGE(INDEX(benchmark!AE:AE, (ROW()-2)*$B2+2):INDEX(benchmark!AE:AE, (ROW()-2)*$B2 + $B2+1)), "")</f>
        <v>8779</v>
      </c>
      <c r="AF2">
        <f>IFERROR(AVERAGE(INDEX(benchmark!AF:AF, (ROW()-2)*$B2+2):INDEX(benchmark!AF:AF, (ROW()-2)*$B2 + $B2+1)), "")</f>
        <v>132</v>
      </c>
      <c r="AG2">
        <f>IFERROR(AVERAGE(INDEX(benchmark!AG:AG, (ROW()-2)*$B2+2):INDEX(benchmark!AG:AG, (ROW()-2)*$B2 + $B2+1)), "")</f>
        <v>8824</v>
      </c>
      <c r="AH2">
        <f>IFERROR(AVERAGE(INDEX(benchmark!AH:AH, (ROW()-2)*$B2+2):INDEX(benchmark!AH:AH, (ROW()-2)*$B2 + $B2+1)), "")</f>
        <v>134</v>
      </c>
      <c r="AI2">
        <f>IFERROR(AVERAGE(INDEX(benchmark!AI:AI, (ROW()-2)*$B2+2):INDEX(benchmark!AI:AI, (ROW()-2)*$B2 + $B2+1)), "")</f>
        <v>9.7351851851851853E-3</v>
      </c>
      <c r="AJ2">
        <f>IFERROR(AVERAGE(INDEX(benchmark!AJ:AJ, (ROW()-2)*$B2+2):INDEX(benchmark!AJ:AJ, (ROW()-2)*$B2 + $B2+1)), "")</f>
        <v>9.7392708333333324E-3</v>
      </c>
      <c r="AK2" cm="1">
        <f t="array" ref="AK2">IFERROR(AVERAGE(INDEX(benchmark!W:W, (ROW()-2)*$B2+2):INDEX(benchmark!W:W, (ROW()-2)*$B2 + $B2+1) + INDEX(benchmark!AA:AA, (ROW()-2)*$B2+2):INDEX(benchmark!AA:AA, (ROW()-2)*$B2 + $B2+1)), "")</f>
        <v>0.23279999999999995</v>
      </c>
      <c r="AL2" cm="1">
        <f t="array" ref="AL2">IFERROR(MIN(INDEX(benchmark!W:W, (ROW()-2)*$B2+2):INDEX(benchmark!W:W, (ROW()-2)*$B2 + $B2+1) + INDEX(benchmark!AA:AA, (ROW()-2)*$B2+2):INDEX(benchmark!AA:AA, (ROW()-2)*$B2 + $B2+1)), "")</f>
        <v>0.20300000000000001</v>
      </c>
      <c r="AM2" cm="1">
        <f t="array" ref="AM2">IFERROR(MAX(INDEX(benchmark!W:W, (ROW()-2)*$B2+2):INDEX(benchmark!W:W, (ROW()-2)*$B2 + $B2+1) + INDEX(benchmark!AA:AA, (ROW()-2)*$B2+2):INDEX(benchmark!AA:AA, (ROW()-2)*$B2 + $B2+1)), "")</f>
        <v>0.29699999999999999</v>
      </c>
      <c r="AN2" cm="1">
        <f t="array" ref="AN2">IFERROR(AVERAGE(MOD(VALUE(INDEX(benchmark!AJ:AJ, (ROW()-2)*$B2+2):INDEX(benchmark!AJ:AJ, (ROW()-2)*$B2 + $B2+1)) - VALUE(INDEX(benchmark!AI:AI, (ROW()-2)*$B2+2):INDEX(benchmark!AI:AI, (ROW()-2)*$B2 + $B2+1)), 1) * 86400), "")</f>
        <v>0.35300000000001941</v>
      </c>
      <c r="AO2" cm="1">
        <f t="array" ref="AO2">IFERROR(MIN(MOD(VALUE(INDEX(benchmark!AJ:AJ, (ROW()-2)*$B2+2):INDEX(benchmark!AJ:AJ, (ROW()-2)*$B2 + $B2+1)) - VALUE(INDEX(benchmark!AI:AI, (ROW()-2)*$B2+2):INDEX(benchmark!AI:AI, (ROW()-2)*$B2 + $B2+1)), 1) * 86400), "")</f>
        <v>0.31999999999999806</v>
      </c>
      <c r="AP2" cm="1">
        <f t="array" ref="AP2">IFERROR(MAX(MOD(VALUE(INDEX(benchmark!AJ:AJ, (ROW()-2)*$B2+2):INDEX(benchmark!AJ:AJ, (ROW()-2)*$B2 + $B2+1)) - VALUE(INDEX(benchmark!AI:AI, (ROW()-2)*$B2+2):INDEX(benchmark!AI:AI, (ROW()-2)*$B2 + $B2+1)), 1) * 86400), "")</f>
        <v>0.42000000000005366</v>
      </c>
      <c r="AQ2">
        <f>IFERROR(AVERAGE(INDEX(benchmark!S:S, (ROW()-2)*$B2+2):INDEX(benchmark!S:S, (ROW()-2)*$B2 + $B2+1)), "")</f>
        <v>2.3E-3</v>
      </c>
      <c r="AR2">
        <f>IFERROR(MIN(INDEX(benchmark!S:S, (ROW()-2)*$B2+2):INDEX(benchmark!S:S, (ROW()-2)*$B2 + $B2+1)), "")</f>
        <v>0</v>
      </c>
      <c r="AS2">
        <f>IFERROR(MAX(INDEX(benchmark!S:S, (ROW()-2)*$B2+2):INDEX(benchmark!S:S, (ROW()-2)*$B2 + $B2+1)), "")</f>
        <v>6.0000000000000001E-3</v>
      </c>
    </row>
    <row r="3" spans="1:45" x14ac:dyDescent="0.25">
      <c r="A3" t="str" cm="1">
        <f t="array" ref="A3">INDEX(benchmark!A:A, (ROW()-2)*$B3+2)</f>
        <v>cart-pendulum-time</v>
      </c>
      <c r="B3">
        <f>COUNTIF(benchmark!A:A, benchmark!A3)</f>
        <v>10</v>
      </c>
      <c r="C3" t="str" cm="1">
        <f t="array" ref="C3">INDEX(benchmark!C:C, (ROW()-2)*$B3+2)</f>
        <v>Ipopt</v>
      </c>
      <c r="D3" t="str" cm="1">
        <f t="array" ref="D3">INDEX(benchmark!D:D, (ROW()-2)*$B3+2)</f>
        <v>3.12.13</v>
      </c>
      <c r="E3" t="str" cm="1">
        <f t="array" ref="E3">INDEX(benchmark!E:E, (ROW()-2)*$B3+2)</f>
        <v>solved</v>
      </c>
      <c r="F3">
        <f>IFERROR(AVERAGE(INDEX(benchmark!F:F, (ROW()-2)*$B3+2):INDEX(benchmark!F:F, (ROW()-2)*$B3 + $B3+1)), "")</f>
        <v>0</v>
      </c>
      <c r="G3">
        <f>IFERROR(AVERAGE(INDEX(benchmark!G:G, (ROW()-2)*$B3+2):INDEX(benchmark!G:G, (ROW()-2)*$B3 + $B3+1)), "")</f>
        <v>1.1459372561375376</v>
      </c>
      <c r="H3" t="str">
        <f>IFERROR(AVERAGE(INDEX(benchmark!H:H, (ROW()-2)*$B3+2):INDEX(benchmark!H:H, (ROW()-2)*$B3 + $B3+1)), "")</f>
        <v/>
      </c>
      <c r="I3">
        <f>IFERROR(AVERAGE(INDEX(benchmark!I:I, (ROW()-2)*$B3+2):INDEX(benchmark!I:I, (ROW()-2)*$B3 + $B3+1)), "")</f>
        <v>30</v>
      </c>
      <c r="J3">
        <f>IFERROR(AVERAGE(INDEX(benchmark!J:J, (ROW()-2)*$B3+2):INDEX(benchmark!J:J, (ROW()-2)*$B3 + $B3+1)), "")</f>
        <v>50</v>
      </c>
      <c r="K3">
        <f>IFERROR(AVERAGE(INDEX(benchmark!K:K, (ROW()-2)*$B3+2):INDEX(benchmark!K:K, (ROW()-2)*$B3 + $B3+1)), "")</f>
        <v>31</v>
      </c>
      <c r="L3">
        <f>IFERROR(AVERAGE(INDEX(benchmark!L:L, (ROW()-2)*$B3+2):INDEX(benchmark!L:L, (ROW()-2)*$B3 + $B3+1)), "")</f>
        <v>50</v>
      </c>
      <c r="M3">
        <f>IFERROR(AVERAGE(INDEX(benchmark!M:M, (ROW()-2)*$B3+2):INDEX(benchmark!M:M, (ROW()-2)*$B3 + $B3+1)), "")</f>
        <v>0</v>
      </c>
      <c r="N3">
        <f>IFERROR(AVERAGE(INDEX(benchmark!N:N, (ROW()-2)*$B3+2):INDEX(benchmark!N:N, (ROW()-2)*$B3 + $B3+1)), "")</f>
        <v>31</v>
      </c>
      <c r="O3">
        <f>IFERROR(AVERAGE(INDEX(benchmark!O:O, (ROW()-2)*$B3+2):INDEX(benchmark!O:O, (ROW()-2)*$B3 + $B3+1)), "")</f>
        <v>0</v>
      </c>
      <c r="P3">
        <f>IFERROR(AVERAGE(INDEX(benchmark!P:P, (ROW()-2)*$B3+2):INDEX(benchmark!P:P, (ROW()-2)*$B3 + $B3+1)), "")</f>
        <v>30</v>
      </c>
      <c r="Q3">
        <f>IFERROR(AVERAGE(INDEX(benchmark!Q:Q, (ROW()-2)*$B3+2):INDEX(benchmark!Q:Q, (ROW()-2)*$B3 + $B3+1)), "")</f>
        <v>6.2101435105432756E-12</v>
      </c>
      <c r="R3">
        <f>IFERROR(AVERAGE(INDEX(benchmark!R:R, (ROW()-2)*$B3+2):INDEX(benchmark!R:R, (ROW()-2)*$B3 + $B3+1)), "")</f>
        <v>1.5900000000000004E-2</v>
      </c>
      <c r="S3">
        <f>IFERROR(AVERAGE(INDEX(benchmark!S:S, (ROW()-2)*$B3+2):INDEX(benchmark!S:S, (ROW()-2)*$B3 + $B3+1)), "")</f>
        <v>1.1000000000000001E-3</v>
      </c>
      <c r="T3">
        <f>IFERROR(AVERAGE(INDEX(benchmark!T:T, (ROW()-2)*$B3+2):INDEX(benchmark!T:T, (ROW()-2)*$B3 + $B3+1)), "")</f>
        <v>80</v>
      </c>
      <c r="U3">
        <f>IFERROR(AVERAGE(INDEX(benchmark!U:U, (ROW()-2)*$B3+2):INDEX(benchmark!U:U, (ROW()-2)*$B3 + $B3+1)), "")</f>
        <v>74</v>
      </c>
      <c r="V3">
        <f>IFERROR(AVERAGE(INDEX(benchmark!V:V, (ROW()-2)*$B3+2):INDEX(benchmark!V:V, (ROW()-2)*$B3 + $B3+1)), "")</f>
        <v>0</v>
      </c>
      <c r="W3">
        <f>IFERROR(AVERAGE(INDEX(benchmark!W:W, (ROW()-2)*$B3+2):INDEX(benchmark!W:W, (ROW()-2)*$B3 + $B3+1)), "")</f>
        <v>0.17969999999999997</v>
      </c>
      <c r="X3">
        <f>IFERROR(AVERAGE(INDEX(benchmark!X:X, (ROW()-2)*$B3+2):INDEX(benchmark!X:X, (ROW()-2)*$B3 + $B3+1)), "")</f>
        <v>1.0937499999999999E-2</v>
      </c>
      <c r="Y3">
        <f>IFERROR(AVERAGE(INDEX(benchmark!Y:Y, (ROW()-2)*$B3+2):INDEX(benchmark!Y:Y, (ROW()-2)*$B3 + $B3+1)), "")</f>
        <v>1.5625E-2</v>
      </c>
      <c r="Z3">
        <f>IFERROR(AVERAGE(INDEX(benchmark!Z:Z, (ROW()-2)*$B3+2):INDEX(benchmark!Z:Z, (ROW()-2)*$B3 + $B3+1)), "")</f>
        <v>2.6562499999999999E-2</v>
      </c>
      <c r="AA3">
        <f>IFERROR(AVERAGE(INDEX(benchmark!AA:AA, (ROW()-2)*$B3+2):INDEX(benchmark!AA:AA, (ROW()-2)*$B3 + $B3+1)), "")</f>
        <v>3.8999999999999993E-2</v>
      </c>
      <c r="AB3">
        <f>IFERROR(AVERAGE(INDEX(benchmark!AB:AB, (ROW()-2)*$B3+2):INDEX(benchmark!AB:AB, (ROW()-2)*$B3 + $B3+1)), "")</f>
        <v>1.0937499999999999E-2</v>
      </c>
      <c r="AC3">
        <f>IFERROR(AVERAGE(INDEX(benchmark!AC:AC, (ROW()-2)*$B3+2):INDEX(benchmark!AC:AC, (ROW()-2)*$B3 + $B3+1)), "")</f>
        <v>1.5625E-2</v>
      </c>
      <c r="AD3">
        <f>IFERROR(AVERAGE(INDEX(benchmark!AD:AD, (ROW()-2)*$B3+2):INDEX(benchmark!AD:AD, (ROW()-2)*$B3 + $B3+1)), "")</f>
        <v>2.6562499999999999E-2</v>
      </c>
      <c r="AE3">
        <f>IFERROR(AVERAGE(INDEX(benchmark!AE:AE, (ROW()-2)*$B3+2):INDEX(benchmark!AE:AE, (ROW()-2)*$B3 + $B3+1)), "")</f>
        <v>4388</v>
      </c>
      <c r="AF3">
        <f>IFERROR(AVERAGE(INDEX(benchmark!AF:AF, (ROW()-2)*$B3+2):INDEX(benchmark!AF:AF, (ROW()-2)*$B3 + $B3+1)), "")</f>
        <v>80</v>
      </c>
      <c r="AG3">
        <f>IFERROR(AVERAGE(INDEX(benchmark!AG:AG, (ROW()-2)*$B3+2):INDEX(benchmark!AG:AG, (ROW()-2)*$B3 + $B3+1)), "")</f>
        <v>4413</v>
      </c>
      <c r="AH3">
        <f>IFERROR(AVERAGE(INDEX(benchmark!AH:AH, (ROW()-2)*$B3+2):INDEX(benchmark!AH:AH, (ROW()-2)*$B3 + $B3+1)), "")</f>
        <v>74</v>
      </c>
      <c r="AI3">
        <f>IFERROR(AVERAGE(INDEX(benchmark!AI:AI, (ROW()-2)*$B3+2):INDEX(benchmark!AI:AI, (ROW()-2)*$B3 + $B3+1)), "")</f>
        <v>9.7938657407407419E-3</v>
      </c>
      <c r="AJ3">
        <f>IFERROR(AVERAGE(INDEX(benchmark!AJ:AJ, (ROW()-2)*$B3+2):INDEX(benchmark!AJ:AJ, (ROW()-2)*$B3 + $B3+1)), "")</f>
        <v>9.7976504629629629E-3</v>
      </c>
      <c r="AK3" cm="1">
        <f t="array" ref="AK3">IFERROR(AVERAGE(INDEX(benchmark!W:W, (ROW()-2)*$B3+2):INDEX(benchmark!W:W, (ROW()-2)*$B3 + $B3+1) + INDEX(benchmark!AA:AA, (ROW()-2)*$B3+2):INDEX(benchmark!AA:AA, (ROW()-2)*$B3 + $B3+1)), "")</f>
        <v>0.21870000000000003</v>
      </c>
      <c r="AL3" cm="1">
        <f t="array" ref="AL3">IFERROR(MIN(INDEX(benchmark!W:W, (ROW()-2)*$B3+2):INDEX(benchmark!W:W, (ROW()-2)*$B3 + $B3+1) + INDEX(benchmark!AA:AA, (ROW()-2)*$B3+2):INDEX(benchmark!AA:AA, (ROW()-2)*$B3 + $B3+1)), "")</f>
        <v>0.20300000000000001</v>
      </c>
      <c r="AM3" cm="1">
        <f t="array" ref="AM3">IFERROR(MAX(INDEX(benchmark!W:W, (ROW()-2)*$B3+2):INDEX(benchmark!W:W, (ROW()-2)*$B3 + $B3+1) + INDEX(benchmark!AA:AA, (ROW()-2)*$B3+2):INDEX(benchmark!AA:AA, (ROW()-2)*$B3 + $B3+1)), "")</f>
        <v>0.25</v>
      </c>
      <c r="AN3" cm="1">
        <f t="array" ref="AN3">IFERROR(AVERAGE(MOD(VALUE(INDEX(benchmark!AJ:AJ, (ROW()-2)*$B3+2):INDEX(benchmark!AJ:AJ, (ROW()-2)*$B3 + $B3+1)) - VALUE(INDEX(benchmark!AI:AI, (ROW()-2)*$B3+2):INDEX(benchmark!AI:AI, (ROW()-2)*$B3 + $B3+1)), 1) * 86400), "")</f>
        <v>0.32700000000002893</v>
      </c>
      <c r="AO3" cm="1">
        <f t="array" ref="AO3">IFERROR(MIN(MOD(VALUE(INDEX(benchmark!AJ:AJ, (ROW()-2)*$B3+2):INDEX(benchmark!AJ:AJ, (ROW()-2)*$B3 + $B3+1)) - VALUE(INDEX(benchmark!AI:AI, (ROW()-2)*$B3+2):INDEX(benchmark!AI:AI, (ROW()-2)*$B3 + $B3+1)), 1) * 86400), "")</f>
        <v>0.30000000000001692</v>
      </c>
      <c r="AP3" cm="1">
        <f t="array" ref="AP3">IFERROR(MAX(MOD(VALUE(INDEX(benchmark!AJ:AJ, (ROW()-2)*$B3+2):INDEX(benchmark!AJ:AJ, (ROW()-2)*$B3 + $B3+1)) - VALUE(INDEX(benchmark!AI:AI, (ROW()-2)*$B3+2):INDEX(benchmark!AI:AI, (ROW()-2)*$B3 + $B3+1)), 1) * 86400), "")</f>
        <v>0.36000000000011023</v>
      </c>
      <c r="AQ3">
        <f>IFERROR(AVERAGE(INDEX(benchmark!S:S, (ROW()-2)*$B3+2):INDEX(benchmark!S:S, (ROW()-2)*$B3 + $B3+1)), "")</f>
        <v>1.1000000000000001E-3</v>
      </c>
      <c r="AR3">
        <f>IFERROR(MIN(INDEX(benchmark!S:S, (ROW()-2)*$B3+2):INDEX(benchmark!S:S, (ROW()-2)*$B3 + $B3+1)), "")</f>
        <v>0</v>
      </c>
      <c r="AS3">
        <f>IFERROR(MAX(INDEX(benchmark!S:S, (ROW()-2)*$B3+2):INDEX(benchmark!S:S, (ROW()-2)*$B3 + $B3+1)), "")</f>
        <v>3.0000000000000001E-3</v>
      </c>
    </row>
    <row r="4" spans="1:45" x14ac:dyDescent="0.25">
      <c r="A4" t="str" cm="1">
        <f t="array" ref="A4">INDEX(benchmark!A:A, (ROW()-2)*$B4+2)</f>
        <v>cart-pendulum-utot</v>
      </c>
      <c r="B4">
        <f>COUNTIF(benchmark!A:A, benchmark!A4)</f>
        <v>10</v>
      </c>
      <c r="C4" t="str" cm="1">
        <f t="array" ref="C4">INDEX(benchmark!C:C, (ROW()-2)*$B4+2)</f>
        <v>Ipopt</v>
      </c>
      <c r="D4" t="str" cm="1">
        <f t="array" ref="D4">INDEX(benchmark!D:D, (ROW()-2)*$B4+2)</f>
        <v>3.12.13</v>
      </c>
      <c r="E4" t="str" cm="1">
        <f t="array" ref="E4">INDEX(benchmark!E:E, (ROW()-2)*$B4+2)</f>
        <v>solved</v>
      </c>
      <c r="F4">
        <f>IFERROR(AVERAGE(INDEX(benchmark!F:F, (ROW()-2)*$B4+2):INDEX(benchmark!F:F, (ROW()-2)*$B4 + $B4+1)), "")</f>
        <v>0</v>
      </c>
      <c r="G4">
        <f>IFERROR(AVERAGE(INDEX(benchmark!G:G, (ROW()-2)*$B4+2):INDEX(benchmark!G:G, (ROW()-2)*$B4 + $B4+1)), "")</f>
        <v>229.29128070613939</v>
      </c>
      <c r="H4" t="str">
        <f>IFERROR(AVERAGE(INDEX(benchmark!H:H, (ROW()-2)*$B4+2):INDEX(benchmark!H:H, (ROW()-2)*$B4 + $B4+1)), "")</f>
        <v/>
      </c>
      <c r="I4">
        <f>IFERROR(AVERAGE(INDEX(benchmark!I:I, (ROW()-2)*$B4+2):INDEX(benchmark!I:I, (ROW()-2)*$B4 + $B4+1)), "")</f>
        <v>12</v>
      </c>
      <c r="J4">
        <f>IFERROR(AVERAGE(INDEX(benchmark!J:J, (ROW()-2)*$B4+2):INDEX(benchmark!J:J, (ROW()-2)*$B4 + $B4+1)), "")</f>
        <v>15</v>
      </c>
      <c r="K4">
        <f>IFERROR(AVERAGE(INDEX(benchmark!K:K, (ROW()-2)*$B4+2):INDEX(benchmark!K:K, (ROW()-2)*$B4 + $B4+1)), "")</f>
        <v>13</v>
      </c>
      <c r="L4">
        <f>IFERROR(AVERAGE(INDEX(benchmark!L:L, (ROW()-2)*$B4+2):INDEX(benchmark!L:L, (ROW()-2)*$B4 + $B4+1)), "")</f>
        <v>15</v>
      </c>
      <c r="M4">
        <f>IFERROR(AVERAGE(INDEX(benchmark!M:M, (ROW()-2)*$B4+2):INDEX(benchmark!M:M, (ROW()-2)*$B4 + $B4+1)), "")</f>
        <v>0</v>
      </c>
      <c r="N4">
        <f>IFERROR(AVERAGE(INDEX(benchmark!N:N, (ROW()-2)*$B4+2):INDEX(benchmark!N:N, (ROW()-2)*$B4 + $B4+1)), "")</f>
        <v>13</v>
      </c>
      <c r="O4">
        <f>IFERROR(AVERAGE(INDEX(benchmark!O:O, (ROW()-2)*$B4+2):INDEX(benchmark!O:O, (ROW()-2)*$B4 + $B4+1)), "")</f>
        <v>0</v>
      </c>
      <c r="P4">
        <f>IFERROR(AVERAGE(INDEX(benchmark!P:P, (ROW()-2)*$B4+2):INDEX(benchmark!P:P, (ROW()-2)*$B4 + $B4+1)), "")</f>
        <v>12</v>
      </c>
      <c r="Q4">
        <f>IFERROR(AVERAGE(INDEX(benchmark!Q:Q, (ROW()-2)*$B4+2):INDEX(benchmark!Q:Q, (ROW()-2)*$B4 + $B4+1)), "")</f>
        <v>2.8421709430404007E-14</v>
      </c>
      <c r="R4">
        <f>IFERROR(AVERAGE(INDEX(benchmark!R:R, (ROW()-2)*$B4+2):INDEX(benchmark!R:R, (ROW()-2)*$B4 + $B4+1)), "")</f>
        <v>9.5999999999999992E-3</v>
      </c>
      <c r="S4">
        <f>IFERROR(AVERAGE(INDEX(benchmark!S:S, (ROW()-2)*$B4+2):INDEX(benchmark!S:S, (ROW()-2)*$B4 + $B4+1)), "")</f>
        <v>1.0000000000000002E-3</v>
      </c>
      <c r="T4">
        <f>IFERROR(AVERAGE(INDEX(benchmark!T:T, (ROW()-2)*$B4+2):INDEX(benchmark!T:T, (ROW()-2)*$B4 + $B4+1)), "")</f>
        <v>202</v>
      </c>
      <c r="U4">
        <f>IFERROR(AVERAGE(INDEX(benchmark!U:U, (ROW()-2)*$B4+2):INDEX(benchmark!U:U, (ROW()-2)*$B4 + $B4+1)), "")</f>
        <v>176</v>
      </c>
      <c r="V4">
        <f>IFERROR(AVERAGE(INDEX(benchmark!V:V, (ROW()-2)*$B4+2):INDEX(benchmark!V:V, (ROW()-2)*$B4 + $B4+1)), "")</f>
        <v>0</v>
      </c>
      <c r="W4">
        <f>IFERROR(AVERAGE(INDEX(benchmark!W:W, (ROW()-2)*$B4+2):INDEX(benchmark!W:W, (ROW()-2)*$B4 + $B4+1)), "")</f>
        <v>0.19830000000000006</v>
      </c>
      <c r="X4">
        <f>IFERROR(AVERAGE(INDEX(benchmark!X:X, (ROW()-2)*$B4+2):INDEX(benchmark!X:X, (ROW()-2)*$B4 + $B4+1)), "")</f>
        <v>2.5000000000000001E-2</v>
      </c>
      <c r="Y4">
        <f>IFERROR(AVERAGE(INDEX(benchmark!Y:Y, (ROW()-2)*$B4+2):INDEX(benchmark!Y:Y, (ROW()-2)*$B4 + $B4+1)), "")</f>
        <v>2.6562499999999999E-2</v>
      </c>
      <c r="Z4">
        <f>IFERROR(AVERAGE(INDEX(benchmark!Z:Z, (ROW()-2)*$B4+2):INDEX(benchmark!Z:Z, (ROW()-2)*$B4 + $B4+1)), "")</f>
        <v>5.1562499999999997E-2</v>
      </c>
      <c r="AA4">
        <f>IFERROR(AVERAGE(INDEX(benchmark!AA:AA, (ROW()-2)*$B4+2):INDEX(benchmark!AA:AA, (ROW()-2)*$B4 + $B4+1)), "")</f>
        <v>3.0000000000000006E-2</v>
      </c>
      <c r="AB4">
        <f>IFERROR(AVERAGE(INDEX(benchmark!AB:AB, (ROW()-2)*$B4+2):INDEX(benchmark!AB:AB, (ROW()-2)*$B4 + $B4+1)), "")</f>
        <v>7.8125E-3</v>
      </c>
      <c r="AC4">
        <f>IFERROR(AVERAGE(INDEX(benchmark!AC:AC, (ROW()-2)*$B4+2):INDEX(benchmark!AC:AC, (ROW()-2)*$B4 + $B4+1)), "")</f>
        <v>9.3749999999999997E-3</v>
      </c>
      <c r="AD4">
        <f>IFERROR(AVERAGE(INDEX(benchmark!AD:AD, (ROW()-2)*$B4+2):INDEX(benchmark!AD:AD, (ROW()-2)*$B4 + $B4+1)), "")</f>
        <v>1.7187500000000001E-2</v>
      </c>
      <c r="AE4">
        <f>IFERROR(AVERAGE(INDEX(benchmark!AE:AE, (ROW()-2)*$B4+2):INDEX(benchmark!AE:AE, (ROW()-2)*$B4 + $B4+1)), "")</f>
        <v>13169</v>
      </c>
      <c r="AF4">
        <f>IFERROR(AVERAGE(INDEX(benchmark!AF:AF, (ROW()-2)*$B4+2):INDEX(benchmark!AF:AF, (ROW()-2)*$B4 + $B4+1)), "")</f>
        <v>202</v>
      </c>
      <c r="AG4">
        <f>IFERROR(AVERAGE(INDEX(benchmark!AG:AG, (ROW()-2)*$B4+2):INDEX(benchmark!AG:AG, (ROW()-2)*$B4 + $B4+1)), "")</f>
        <v>13234</v>
      </c>
      <c r="AH4">
        <f>IFERROR(AVERAGE(INDEX(benchmark!AH:AH, (ROW()-2)*$B4+2):INDEX(benchmark!AH:AH, (ROW()-2)*$B4 + $B4+1)), "")</f>
        <v>176</v>
      </c>
      <c r="AI4">
        <f>IFERROR(AVERAGE(INDEX(benchmark!AI:AI, (ROW()-2)*$B4+2):INDEX(benchmark!AI:AI, (ROW()-2)*$B4 + $B4+1)), "")</f>
        <v>9.8532291666666681E-3</v>
      </c>
      <c r="AJ4">
        <f>IFERROR(AVERAGE(INDEX(benchmark!AJ:AJ, (ROW()-2)*$B4+2):INDEX(benchmark!AJ:AJ, (ROW()-2)*$B4 + $B4+1)), "")</f>
        <v>9.8571180555555565E-3</v>
      </c>
      <c r="AK4" cm="1">
        <f t="array" ref="AK4">IFERROR(AVERAGE(INDEX(benchmark!W:W, (ROW()-2)*$B4+2):INDEX(benchmark!W:W, (ROW()-2)*$B4 + $B4+1) + INDEX(benchmark!AA:AA, (ROW()-2)*$B4+2):INDEX(benchmark!AA:AA, (ROW()-2)*$B4 + $B4+1)), "")</f>
        <v>0.2283</v>
      </c>
      <c r="AL4" cm="1">
        <f t="array" ref="AL4">IFERROR(MIN(INDEX(benchmark!W:W, (ROW()-2)*$B4+2):INDEX(benchmark!W:W, (ROW()-2)*$B4 + $B4+1) + INDEX(benchmark!AA:AA, (ROW()-2)*$B4+2):INDEX(benchmark!AA:AA, (ROW()-2)*$B4 + $B4+1)), "")</f>
        <v>0.20300000000000001</v>
      </c>
      <c r="AM4" cm="1">
        <f t="array" ref="AM4">IFERROR(MAX(INDEX(benchmark!W:W, (ROW()-2)*$B4+2):INDEX(benchmark!W:W, (ROW()-2)*$B4 + $B4+1) + INDEX(benchmark!AA:AA, (ROW()-2)*$B4+2):INDEX(benchmark!AA:AA, (ROW()-2)*$B4 + $B4+1)), "")</f>
        <v>0.26600000000000001</v>
      </c>
      <c r="AN4" cm="1">
        <f t="array" ref="AN4">IFERROR(AVERAGE(MOD(VALUE(INDEX(benchmark!AJ:AJ, (ROW()-2)*$B4+2):INDEX(benchmark!AJ:AJ, (ROW()-2)*$B4 + $B4+1)) - VALUE(INDEX(benchmark!AI:AI, (ROW()-2)*$B4+2):INDEX(benchmark!AI:AI, (ROW()-2)*$B4 + $B4+1)), 1) * 86400), "")</f>
        <v>0.33599999999999797</v>
      </c>
      <c r="AO4" cm="1">
        <f t="array" ref="AO4">IFERROR(MIN(MOD(VALUE(INDEX(benchmark!AJ:AJ, (ROW()-2)*$B4+2):INDEX(benchmark!AJ:AJ, (ROW()-2)*$B4 + $B4+1)) - VALUE(INDEX(benchmark!AI:AI, (ROW()-2)*$B4+2):INDEX(benchmark!AI:AI, (ROW()-2)*$B4 + $B4+1)), 1) * 86400), "")</f>
        <v>0.30000000000001692</v>
      </c>
      <c r="AP4" cm="1">
        <f t="array" ref="AP4">IFERROR(MAX(MOD(VALUE(INDEX(benchmark!AJ:AJ, (ROW()-2)*$B4+2):INDEX(benchmark!AJ:AJ, (ROW()-2)*$B4 + $B4+1)) - VALUE(INDEX(benchmark!AI:AI, (ROW()-2)*$B4+2):INDEX(benchmark!AI:AI, (ROW()-2)*$B4 + $B4+1)), 1) * 86400), "")</f>
        <v>0.37000000000002586</v>
      </c>
      <c r="AQ4">
        <f>IFERROR(AVERAGE(INDEX(benchmark!S:S, (ROW()-2)*$B4+2):INDEX(benchmark!S:S, (ROW()-2)*$B4 + $B4+1)), "")</f>
        <v>1.0000000000000002E-3</v>
      </c>
      <c r="AR4">
        <f>IFERROR(MIN(INDEX(benchmark!S:S, (ROW()-2)*$B4+2):INDEX(benchmark!S:S, (ROW()-2)*$B4 + $B4+1)), "")</f>
        <v>0</v>
      </c>
      <c r="AS4">
        <f>IFERROR(MAX(INDEX(benchmark!S:S, (ROW()-2)*$B4+2):INDEX(benchmark!S:S, (ROW()-2)*$B4 + $B4+1)), "")</f>
        <v>3.0000000000000001E-3</v>
      </c>
    </row>
    <row r="5" spans="1:45" x14ac:dyDescent="0.25">
      <c r="A5" t="str" cm="1">
        <f t="array" ref="A5">INDEX(benchmark!A:A, (ROW()-2)*$B5+2)</f>
        <v>five-link-mc-kelly</v>
      </c>
      <c r="B5">
        <f>COUNTIF(benchmark!A:A, benchmark!A5)</f>
        <v>10</v>
      </c>
      <c r="C5" t="str" cm="1">
        <f t="array" ref="C5">INDEX(benchmark!C:C, (ROW()-2)*$B5+2)</f>
        <v>Ipopt</v>
      </c>
      <c r="D5" t="str" cm="1">
        <f t="array" ref="D5">INDEX(benchmark!D:D, (ROW()-2)*$B5+2)</f>
        <v>3.12.13</v>
      </c>
      <c r="E5" t="str" cm="1">
        <f t="array" ref="E5">INDEX(benchmark!E:E, (ROW()-2)*$B5+2)</f>
        <v>solved</v>
      </c>
      <c r="F5">
        <f>IFERROR(AVERAGE(INDEX(benchmark!F:F, (ROW()-2)*$B5+2):INDEX(benchmark!F:F, (ROW()-2)*$B5 + $B5+1)), "")</f>
        <v>0</v>
      </c>
      <c r="G5">
        <f>IFERROR(AVERAGE(INDEX(benchmark!G:G, (ROW()-2)*$B5+2):INDEX(benchmark!G:G, (ROW()-2)*$B5 + $B5+1)), "")</f>
        <v>260.43008529551423</v>
      </c>
      <c r="H5" t="str">
        <f>IFERROR(AVERAGE(INDEX(benchmark!H:H, (ROW()-2)*$B5+2):INDEX(benchmark!H:H, (ROW()-2)*$B5 + $B5+1)), "")</f>
        <v/>
      </c>
      <c r="I5">
        <f>IFERROR(AVERAGE(INDEX(benchmark!I:I, (ROW()-2)*$B5+2):INDEX(benchmark!I:I, (ROW()-2)*$B5 + $B5+1)), "")</f>
        <v>11</v>
      </c>
      <c r="J5">
        <f>IFERROR(AVERAGE(INDEX(benchmark!J:J, (ROW()-2)*$B5+2):INDEX(benchmark!J:J, (ROW()-2)*$B5 + $B5+1)), "")</f>
        <v>12</v>
      </c>
      <c r="K5">
        <f>IFERROR(AVERAGE(INDEX(benchmark!K:K, (ROW()-2)*$B5+2):INDEX(benchmark!K:K, (ROW()-2)*$B5 + $B5+1)), "")</f>
        <v>12</v>
      </c>
      <c r="L5">
        <f>IFERROR(AVERAGE(INDEX(benchmark!L:L, (ROW()-2)*$B5+2):INDEX(benchmark!L:L, (ROW()-2)*$B5 + $B5+1)), "")</f>
        <v>12</v>
      </c>
      <c r="M5">
        <f>IFERROR(AVERAGE(INDEX(benchmark!M:M, (ROW()-2)*$B5+2):INDEX(benchmark!M:M, (ROW()-2)*$B5 + $B5+1)), "")</f>
        <v>12</v>
      </c>
      <c r="N5">
        <f>IFERROR(AVERAGE(INDEX(benchmark!N:N, (ROW()-2)*$B5+2):INDEX(benchmark!N:N, (ROW()-2)*$B5 + $B5+1)), "")</f>
        <v>12</v>
      </c>
      <c r="O5">
        <f>IFERROR(AVERAGE(INDEX(benchmark!O:O, (ROW()-2)*$B5+2):INDEX(benchmark!O:O, (ROW()-2)*$B5 + $B5+1)), "")</f>
        <v>12</v>
      </c>
      <c r="P5">
        <f>IFERROR(AVERAGE(INDEX(benchmark!P:P, (ROW()-2)*$B5+2):INDEX(benchmark!P:P, (ROW()-2)*$B5 + $B5+1)), "")</f>
        <v>11</v>
      </c>
      <c r="Q5">
        <f>IFERROR(AVERAGE(INDEX(benchmark!Q:Q, (ROW()-2)*$B5+2):INDEX(benchmark!Q:Q, (ROW()-2)*$B5 + $B5+1)), "")</f>
        <v>1.0587086762825493E-12</v>
      </c>
      <c r="R5">
        <f>IFERROR(AVERAGE(INDEX(benchmark!R:R, (ROW()-2)*$B5+2):INDEX(benchmark!R:R, (ROW()-2)*$B5 + $B5+1)), "")</f>
        <v>2.5399999999999999E-2</v>
      </c>
      <c r="S5">
        <f>IFERROR(AVERAGE(INDEX(benchmark!S:S, (ROW()-2)*$B5+2):INDEX(benchmark!S:S, (ROW()-2)*$B5 + $B5+1)), "")</f>
        <v>4.1499999999999995E-2</v>
      </c>
      <c r="T5">
        <f>IFERROR(AVERAGE(INDEX(benchmark!T:T, (ROW()-2)*$B5+2):INDEX(benchmark!T:T, (ROW()-2)*$B5 + $B5+1)), "")</f>
        <v>266</v>
      </c>
      <c r="U5">
        <f>IFERROR(AVERAGE(INDEX(benchmark!U:U, (ROW()-2)*$B5+2):INDEX(benchmark!U:U, (ROW()-2)*$B5 + $B5+1)), "")</f>
        <v>212</v>
      </c>
      <c r="V5">
        <f>IFERROR(AVERAGE(INDEX(benchmark!V:V, (ROW()-2)*$B5+2):INDEX(benchmark!V:V, (ROW()-2)*$B5 + $B5+1)), "")</f>
        <v>2</v>
      </c>
      <c r="W5">
        <f>IFERROR(AVERAGE(INDEX(benchmark!W:W, (ROW()-2)*$B5+2):INDEX(benchmark!W:W, (ROW()-2)*$B5 + $B5+1)), "")</f>
        <v>0.39979999999999999</v>
      </c>
      <c r="X5">
        <f>IFERROR(AVERAGE(INDEX(benchmark!X:X, (ROW()-2)*$B5+2):INDEX(benchmark!X:X, (ROW()-2)*$B5 + $B5+1)), "")</f>
        <v>5.1562499999999997E-2</v>
      </c>
      <c r="Y5">
        <f>IFERROR(AVERAGE(INDEX(benchmark!Y:Y, (ROW()-2)*$B5+2):INDEX(benchmark!Y:Y, (ROW()-2)*$B5 + $B5+1)), "")</f>
        <v>0.18906249999999999</v>
      </c>
      <c r="Z5">
        <f>IFERROR(AVERAGE(INDEX(benchmark!Z:Z, (ROW()-2)*$B5+2):INDEX(benchmark!Z:Z, (ROW()-2)*$B5 + $B5+1)), "")</f>
        <v>0.24062500000000001</v>
      </c>
      <c r="AA5">
        <f>IFERROR(AVERAGE(INDEX(benchmark!AA:AA, (ROW()-2)*$B5+2):INDEX(benchmark!AA:AA, (ROW()-2)*$B5 + $B5+1)), "")</f>
        <v>0.1048</v>
      </c>
      <c r="AB5">
        <f>IFERROR(AVERAGE(INDEX(benchmark!AB:AB, (ROW()-2)*$B5+2):INDEX(benchmark!AB:AB, (ROW()-2)*$B5 + $B5+1)), "")</f>
        <v>2.1874999999999999E-2</v>
      </c>
      <c r="AC5">
        <f>IFERROR(AVERAGE(INDEX(benchmark!AC:AC, (ROW()-2)*$B5+2):INDEX(benchmark!AC:AC, (ROW()-2)*$B5 + $B5+1)), "")</f>
        <v>6.5625000000000003E-2</v>
      </c>
      <c r="AD5">
        <f>IFERROR(AVERAGE(INDEX(benchmark!AD:AD, (ROW()-2)*$B5+2):INDEX(benchmark!AD:AD, (ROW()-2)*$B5 + $B5+1)), "")</f>
        <v>8.7499999999999994E-2</v>
      </c>
      <c r="AE5">
        <f>IFERROR(AVERAGE(INDEX(benchmark!AE:AE, (ROW()-2)*$B5+2):INDEX(benchmark!AE:AE, (ROW()-2)*$B5 + $B5+1)), "")</f>
        <v>99109</v>
      </c>
      <c r="AF5">
        <f>IFERROR(AVERAGE(INDEX(benchmark!AF:AF, (ROW()-2)*$B5+2):INDEX(benchmark!AF:AF, (ROW()-2)*$B5 + $B5+1)), "")</f>
        <v>266</v>
      </c>
      <c r="AG5">
        <f>IFERROR(AVERAGE(INDEX(benchmark!AG:AG, (ROW()-2)*$B5+2):INDEX(benchmark!AG:AG, (ROW()-2)*$B5 + $B5+1)), "")</f>
        <v>98877</v>
      </c>
      <c r="AH5">
        <f>IFERROR(AVERAGE(INDEX(benchmark!AH:AH, (ROW()-2)*$B5+2):INDEX(benchmark!AH:AH, (ROW()-2)*$B5 + $B5+1)), "")</f>
        <v>214</v>
      </c>
      <c r="AI5">
        <f>IFERROR(AVERAGE(INDEX(benchmark!AI:AI, (ROW()-2)*$B5+2):INDEX(benchmark!AI:AI, (ROW()-2)*$B5 + $B5+1)), "")</f>
        <v>9.933263888888889E-3</v>
      </c>
      <c r="AJ5">
        <f>IFERROR(AVERAGE(INDEX(benchmark!AJ:AJ, (ROW()-2)*$B5+2):INDEX(benchmark!AJ:AJ, (ROW()-2)*$B5 + $B5+1)), "")</f>
        <v>9.9411689814814814E-3</v>
      </c>
      <c r="AK5" cm="1">
        <f t="array" ref="AK5">IFERROR(AVERAGE(INDEX(benchmark!W:W, (ROW()-2)*$B5+2):INDEX(benchmark!W:W, (ROW()-2)*$B5 + $B5+1) + INDEX(benchmark!AA:AA, (ROW()-2)*$B5+2):INDEX(benchmark!AA:AA, (ROW()-2)*$B5 + $B5+1)), "")</f>
        <v>0.50459999999999994</v>
      </c>
      <c r="AL5" cm="1">
        <f t="array" ref="AL5">IFERROR(MIN(INDEX(benchmark!W:W, (ROW()-2)*$B5+2):INDEX(benchmark!W:W, (ROW()-2)*$B5 + $B5+1) + INDEX(benchmark!AA:AA, (ROW()-2)*$B5+2):INDEX(benchmark!AA:AA, (ROW()-2)*$B5 + $B5+1)), "")</f>
        <v>0.45299999999999996</v>
      </c>
      <c r="AM5" cm="1">
        <f t="array" ref="AM5">IFERROR(MAX(INDEX(benchmark!W:W, (ROW()-2)*$B5+2):INDEX(benchmark!W:W, (ROW()-2)*$B5 + $B5+1) + INDEX(benchmark!AA:AA, (ROW()-2)*$B5+2):INDEX(benchmark!AA:AA, (ROW()-2)*$B5 + $B5+1)), "")</f>
        <v>0.71799999999999997</v>
      </c>
      <c r="AN5" cm="1">
        <f t="array" ref="AN5">IFERROR(AVERAGE(MOD(VALUE(INDEX(benchmark!AJ:AJ, (ROW()-2)*$B5+2):INDEX(benchmark!AJ:AJ, (ROW()-2)*$B5 + $B5+1)) - VALUE(INDEX(benchmark!AI:AI, (ROW()-2)*$B5+2):INDEX(benchmark!AI:AI, (ROW()-2)*$B5 + $B5+1)), 1) * 86400), "")</f>
        <v>0.68299999999999306</v>
      </c>
      <c r="AO5" cm="1">
        <f t="array" ref="AO5">IFERROR(MIN(MOD(VALUE(INDEX(benchmark!AJ:AJ, (ROW()-2)*$B5+2):INDEX(benchmark!AJ:AJ, (ROW()-2)*$B5 + $B5+1)) - VALUE(INDEX(benchmark!AI:AI, (ROW()-2)*$B5+2):INDEX(benchmark!AI:AI, (ROW()-2)*$B5 + $B5+1)), 1) * 86400), "")</f>
        <v>0.56000000000007155</v>
      </c>
      <c r="AP5" cm="1">
        <f t="array" ref="AP5">IFERROR(MAX(MOD(VALUE(INDEX(benchmark!AJ:AJ, (ROW()-2)*$B5+2):INDEX(benchmark!AJ:AJ, (ROW()-2)*$B5 + $B5+1)) - VALUE(INDEX(benchmark!AI:AI, (ROW()-2)*$B5+2):INDEX(benchmark!AI:AI, (ROW()-2)*$B5 + $B5+1)), 1) * 86400), "")</f>
        <v>1.1099999999999277</v>
      </c>
      <c r="AQ5">
        <f>IFERROR(AVERAGE(INDEX(benchmark!S:S, (ROW()-2)*$B5+2):INDEX(benchmark!S:S, (ROW()-2)*$B5 + $B5+1)), "")</f>
        <v>4.1499999999999995E-2</v>
      </c>
      <c r="AR5">
        <f>IFERROR(MIN(INDEX(benchmark!S:S, (ROW()-2)*$B5+2):INDEX(benchmark!S:S, (ROW()-2)*$B5 + $B5+1)), "")</f>
        <v>3.9E-2</v>
      </c>
      <c r="AS5">
        <f>IFERROR(MAX(INDEX(benchmark!S:S, (ROW()-2)*$B5+2):INDEX(benchmark!S:S, (ROW()-2)*$B5 + $B5+1)), "")</f>
        <v>4.5999999999999999E-2</v>
      </c>
    </row>
    <row r="6" spans="1:45" x14ac:dyDescent="0.25">
      <c r="A6" t="str" cm="1">
        <f t="array" ref="A6">INDEX(benchmark!A:A, (ROW()-2)*$B6+2)</f>
        <v>five-link-phc-kelly</v>
      </c>
      <c r="B6">
        <f>COUNTIF(benchmark!A:A, benchmark!A6)</f>
        <v>10</v>
      </c>
      <c r="C6" t="str" cm="1">
        <f t="array" ref="C6">INDEX(benchmark!C:C, (ROW()-2)*$B6+2)</f>
        <v>Ipopt</v>
      </c>
      <c r="D6" t="str" cm="1">
        <f t="array" ref="D6">INDEX(benchmark!D:D, (ROW()-2)*$B6+2)</f>
        <v>3.12.13</v>
      </c>
      <c r="E6" t="str" cm="1">
        <f t="array" ref="E6">INDEX(benchmark!E:E, (ROW()-2)*$B6+2)</f>
        <v>solved</v>
      </c>
      <c r="F6">
        <f>IFERROR(AVERAGE(INDEX(benchmark!F:F, (ROW()-2)*$B6+2):INDEX(benchmark!F:F, (ROW()-2)*$B6 + $B6+1)), "")</f>
        <v>0</v>
      </c>
      <c r="G6">
        <f>IFERROR(AVERAGE(INDEX(benchmark!G:G, (ROW()-2)*$B6+2):INDEX(benchmark!G:G, (ROW()-2)*$B6 + $B6+1)), "")</f>
        <v>443.14228437220765</v>
      </c>
      <c r="H6" t="str">
        <f>IFERROR(AVERAGE(INDEX(benchmark!H:H, (ROW()-2)*$B6+2):INDEX(benchmark!H:H, (ROW()-2)*$B6 + $B6+1)), "")</f>
        <v/>
      </c>
      <c r="I6">
        <f>IFERROR(AVERAGE(INDEX(benchmark!I:I, (ROW()-2)*$B6+2):INDEX(benchmark!I:I, (ROW()-2)*$B6 + $B6+1)), "")</f>
        <v>13</v>
      </c>
      <c r="J6">
        <f>IFERROR(AVERAGE(INDEX(benchmark!J:J, (ROW()-2)*$B6+2):INDEX(benchmark!J:J, (ROW()-2)*$B6 + $B6+1)), "")</f>
        <v>14</v>
      </c>
      <c r="K6">
        <f>IFERROR(AVERAGE(INDEX(benchmark!K:K, (ROW()-2)*$B6+2):INDEX(benchmark!K:K, (ROW()-2)*$B6 + $B6+1)), "")</f>
        <v>14</v>
      </c>
      <c r="L6">
        <f>IFERROR(AVERAGE(INDEX(benchmark!L:L, (ROW()-2)*$B6+2):INDEX(benchmark!L:L, (ROW()-2)*$B6 + $B6+1)), "")</f>
        <v>14</v>
      </c>
      <c r="M6">
        <f>IFERROR(AVERAGE(INDEX(benchmark!M:M, (ROW()-2)*$B6+2):INDEX(benchmark!M:M, (ROW()-2)*$B6 + $B6+1)), "")</f>
        <v>14</v>
      </c>
      <c r="N6">
        <f>IFERROR(AVERAGE(INDEX(benchmark!N:N, (ROW()-2)*$B6+2):INDEX(benchmark!N:N, (ROW()-2)*$B6 + $B6+1)), "")</f>
        <v>14</v>
      </c>
      <c r="O6">
        <f>IFERROR(AVERAGE(INDEX(benchmark!O:O, (ROW()-2)*$B6+2):INDEX(benchmark!O:O, (ROW()-2)*$B6 + $B6+1)), "")</f>
        <v>14</v>
      </c>
      <c r="P6">
        <f>IFERROR(AVERAGE(INDEX(benchmark!P:P, (ROW()-2)*$B6+2):INDEX(benchmark!P:P, (ROW()-2)*$B6 + $B6+1)), "")</f>
        <v>13</v>
      </c>
      <c r="Q6">
        <f>IFERROR(AVERAGE(INDEX(benchmark!Q:Q, (ROW()-2)*$B6+2):INDEX(benchmark!Q:Q, (ROW()-2)*$B6 + $B6+1)), "")</f>
        <v>4.2092551666428335E-10</v>
      </c>
      <c r="R6">
        <f>IFERROR(AVERAGE(INDEX(benchmark!R:R, (ROW()-2)*$B6+2):INDEX(benchmark!R:R, (ROW()-2)*$B6 + $B6+1)), "")</f>
        <v>0.1167</v>
      </c>
      <c r="S6">
        <f>IFERROR(AVERAGE(INDEX(benchmark!S:S, (ROW()-2)*$B6+2):INDEX(benchmark!S:S, (ROW()-2)*$B6 + $B6+1)), "")</f>
        <v>8.5099999999999981E-2</v>
      </c>
      <c r="T6">
        <f>IFERROR(AVERAGE(INDEX(benchmark!T:T, (ROW()-2)*$B6+2):INDEX(benchmark!T:T, (ROW()-2)*$B6 + $B6+1)), "")</f>
        <v>326</v>
      </c>
      <c r="U6">
        <f>IFERROR(AVERAGE(INDEX(benchmark!U:U, (ROW()-2)*$B6+2):INDEX(benchmark!U:U, (ROW()-2)*$B6 + $B6+1)), "")</f>
        <v>300</v>
      </c>
      <c r="V6">
        <f>IFERROR(AVERAGE(INDEX(benchmark!V:V, (ROW()-2)*$B6+2):INDEX(benchmark!V:V, (ROW()-2)*$B6 + $B6+1)), "")</f>
        <v>2</v>
      </c>
      <c r="W6">
        <f>IFERROR(AVERAGE(INDEX(benchmark!W:W, (ROW()-2)*$B6+2):INDEX(benchmark!W:W, (ROW()-2)*$B6 + $B6+1)), "")</f>
        <v>0.28150000000000003</v>
      </c>
      <c r="X6">
        <f>IFERROR(AVERAGE(INDEX(benchmark!X:X, (ROW()-2)*$B6+2):INDEX(benchmark!X:X, (ROW()-2)*$B6 + $B6+1)), "")</f>
        <v>4.5312499999999999E-2</v>
      </c>
      <c r="Y6">
        <f>IFERROR(AVERAGE(INDEX(benchmark!Y:Y, (ROW()-2)*$B6+2):INDEX(benchmark!Y:Y, (ROW()-2)*$B6 + $B6+1)), "")</f>
        <v>0.109375</v>
      </c>
      <c r="Z6">
        <f>IFERROR(AVERAGE(INDEX(benchmark!Z:Z, (ROW()-2)*$B6+2):INDEX(benchmark!Z:Z, (ROW()-2)*$B6 + $B6+1)), "")</f>
        <v>0.15468750000000001</v>
      </c>
      <c r="AA6">
        <f>IFERROR(AVERAGE(INDEX(benchmark!AA:AA, (ROW()-2)*$B6+2):INDEX(benchmark!AA:AA, (ROW()-2)*$B6 + $B6+1)), "")</f>
        <v>0.24349999999999997</v>
      </c>
      <c r="AB6">
        <f>IFERROR(AVERAGE(INDEX(benchmark!AB:AB, (ROW()-2)*$B6+2):INDEX(benchmark!AB:AB, (ROW()-2)*$B6 + $B6+1)), "")</f>
        <v>3.4375000000000003E-2</v>
      </c>
      <c r="AC6">
        <f>IFERROR(AVERAGE(INDEX(benchmark!AC:AC, (ROW()-2)*$B6+2):INDEX(benchmark!AC:AC, (ROW()-2)*$B6 + $B6+1)), "")</f>
        <v>0.19218750000000001</v>
      </c>
      <c r="AD6">
        <f>IFERROR(AVERAGE(INDEX(benchmark!AD:AD, (ROW()-2)*$B6+2):INDEX(benchmark!AD:AD, (ROW()-2)*$B6 + $B6+1)), "")</f>
        <v>0.2265625</v>
      </c>
      <c r="AE6">
        <f>IFERROR(AVERAGE(INDEX(benchmark!AE:AE, (ROW()-2)*$B6+2):INDEX(benchmark!AE:AE, (ROW()-2)*$B6 + $B6+1)), "")</f>
        <v>46821</v>
      </c>
      <c r="AF6">
        <f>IFERROR(AVERAGE(INDEX(benchmark!AF:AF, (ROW()-2)*$B6+2):INDEX(benchmark!AF:AF, (ROW()-2)*$B6 + $B6+1)), "")</f>
        <v>326</v>
      </c>
      <c r="AG6">
        <f>IFERROR(AVERAGE(INDEX(benchmark!AG:AG, (ROW()-2)*$B6+2):INDEX(benchmark!AG:AG, (ROW()-2)*$B6 + $B6+1)), "")</f>
        <v>46820</v>
      </c>
      <c r="AH6">
        <f>IFERROR(AVERAGE(INDEX(benchmark!AH:AH, (ROW()-2)*$B6+2):INDEX(benchmark!AH:AH, (ROW()-2)*$B6 + $B6+1)), "")</f>
        <v>302</v>
      </c>
      <c r="AI6">
        <f>IFERROR(AVERAGE(INDEX(benchmark!AI:AI, (ROW()-2)*$B6+2):INDEX(benchmark!AI:AI, (ROW()-2)*$B6 + $B6+1)), "")</f>
        <v>1.0028159722222223E-2</v>
      </c>
      <c r="AJ6">
        <f>IFERROR(AVERAGE(INDEX(benchmark!AJ:AJ, (ROW()-2)*$B6+2):INDEX(benchmark!AJ:AJ, (ROW()-2)*$B6 + $B6+1)), "")</f>
        <v>1.0035416666666668E-2</v>
      </c>
      <c r="AK6" cm="1">
        <f t="array" ref="AK6">IFERROR(AVERAGE(INDEX(benchmark!W:W, (ROW()-2)*$B6+2):INDEX(benchmark!W:W, (ROW()-2)*$B6 + $B6+1) + INDEX(benchmark!AA:AA, (ROW()-2)*$B6+2):INDEX(benchmark!AA:AA, (ROW()-2)*$B6 + $B6+1)), "")</f>
        <v>0.52500000000000002</v>
      </c>
      <c r="AL6" cm="1">
        <f t="array" ref="AL6">IFERROR(MIN(INDEX(benchmark!W:W, (ROW()-2)*$B6+2):INDEX(benchmark!W:W, (ROW()-2)*$B6 + $B6+1) + INDEX(benchmark!AA:AA, (ROW()-2)*$B6+2):INDEX(benchmark!AA:AA, (ROW()-2)*$B6 + $B6+1)), "")</f>
        <v>0.48499999999999999</v>
      </c>
      <c r="AM6" cm="1">
        <f t="array" ref="AM6">IFERROR(MAX(INDEX(benchmark!W:W, (ROW()-2)*$B6+2):INDEX(benchmark!W:W, (ROW()-2)*$B6 + $B6+1) + INDEX(benchmark!AA:AA, (ROW()-2)*$B6+2):INDEX(benchmark!AA:AA, (ROW()-2)*$B6 + $B6+1)), "")</f>
        <v>0.57799999999999996</v>
      </c>
      <c r="AN6" cm="1">
        <f t="array" ref="AN6">IFERROR(AVERAGE(MOD(VALUE(INDEX(benchmark!AJ:AJ, (ROW()-2)*$B6+2):INDEX(benchmark!AJ:AJ, (ROW()-2)*$B6 + $B6+1)) - VALUE(INDEX(benchmark!AI:AI, (ROW()-2)*$B6+2):INDEX(benchmark!AI:AI, (ROW()-2)*$B6 + $B6+1)), 1) * 86400), "")</f>
        <v>0.62700000000004585</v>
      </c>
      <c r="AO6" cm="1">
        <f t="array" ref="AO6">IFERROR(MIN(MOD(VALUE(INDEX(benchmark!AJ:AJ, (ROW()-2)*$B6+2):INDEX(benchmark!AJ:AJ, (ROW()-2)*$B6 + $B6+1)) - VALUE(INDEX(benchmark!AI:AI, (ROW()-2)*$B6+2):INDEX(benchmark!AI:AI, (ROW()-2)*$B6 + $B6+1)), 1) * 86400), "")</f>
        <v>0.58999999999996833</v>
      </c>
      <c r="AP6" cm="1">
        <f t="array" ref="AP6">IFERROR(MAX(MOD(VALUE(INDEX(benchmark!AJ:AJ, (ROW()-2)*$B6+2):INDEX(benchmark!AJ:AJ, (ROW()-2)*$B6 + $B6+1)) - VALUE(INDEX(benchmark!AI:AI, (ROW()-2)*$B6+2):INDEX(benchmark!AI:AI, (ROW()-2)*$B6 + $B6+1)), 1) * 86400), "")</f>
        <v>0.67999999999995842</v>
      </c>
      <c r="AQ6">
        <f>IFERROR(AVERAGE(INDEX(benchmark!S:S, (ROW()-2)*$B6+2):INDEX(benchmark!S:S, (ROW()-2)*$B6 + $B6+1)), "")</f>
        <v>8.5099999999999981E-2</v>
      </c>
      <c r="AR6">
        <f>IFERROR(MIN(INDEX(benchmark!S:S, (ROW()-2)*$B6+2):INDEX(benchmark!S:S, (ROW()-2)*$B6 + $B6+1)), "")</f>
        <v>7.6999999999999999E-2</v>
      </c>
      <c r="AS6">
        <f>IFERROR(MAX(INDEX(benchmark!S:S, (ROW()-2)*$B6+2):INDEX(benchmark!S:S, (ROW()-2)*$B6 + $B6+1)), "")</f>
        <v>0.1</v>
      </c>
    </row>
    <row r="7" spans="1:45" x14ac:dyDescent="0.25">
      <c r="A7" t="str" cm="1">
        <f t="array" ref="A7">INDEX(benchmark!A:A, (ROW()-2)*$B7+2)</f>
        <v>five-link-tropic</v>
      </c>
      <c r="B7">
        <f>COUNTIF(benchmark!A:A, benchmark!A7)</f>
        <v>10</v>
      </c>
      <c r="C7" t="str" cm="1">
        <f t="array" ref="C7">INDEX(benchmark!C:C, (ROW()-2)*$B7+2)</f>
        <v>Ipopt</v>
      </c>
      <c r="D7" t="str" cm="1">
        <f t="array" ref="D7">INDEX(benchmark!D:D, (ROW()-2)*$B7+2)</f>
        <v>3.12.13</v>
      </c>
      <c r="E7" t="str" cm="1">
        <f t="array" ref="E7">INDEX(benchmark!E:E, (ROW()-2)*$B7+2)</f>
        <v>solved</v>
      </c>
      <c r="F7">
        <f>IFERROR(AVERAGE(INDEX(benchmark!F:F, (ROW()-2)*$B7+2):INDEX(benchmark!F:F, (ROW()-2)*$B7 + $B7+1)), "")</f>
        <v>0</v>
      </c>
      <c r="G7">
        <f>IFERROR(AVERAGE(INDEX(benchmark!G:G, (ROW()-2)*$B7+2):INDEX(benchmark!G:G, (ROW()-2)*$B7 + $B7+1)), "")</f>
        <v>5.7300002083855279</v>
      </c>
      <c r="H7" t="str">
        <f>IFERROR(AVERAGE(INDEX(benchmark!H:H, (ROW()-2)*$B7+2):INDEX(benchmark!H:H, (ROW()-2)*$B7 + $B7+1)), "")</f>
        <v/>
      </c>
      <c r="I7">
        <f>IFERROR(AVERAGE(INDEX(benchmark!I:I, (ROW()-2)*$B7+2):INDEX(benchmark!I:I, (ROW()-2)*$B7 + $B7+1)), "")</f>
        <v>206</v>
      </c>
      <c r="J7">
        <f>IFERROR(AVERAGE(INDEX(benchmark!J:J, (ROW()-2)*$B7+2):INDEX(benchmark!J:J, (ROW()-2)*$B7 + $B7+1)), "")</f>
        <v>273</v>
      </c>
      <c r="K7">
        <f>IFERROR(AVERAGE(INDEX(benchmark!K:K, (ROW()-2)*$B7+2):INDEX(benchmark!K:K, (ROW()-2)*$B7 + $B7+1)), "")</f>
        <v>207</v>
      </c>
      <c r="L7">
        <f>IFERROR(AVERAGE(INDEX(benchmark!L:L, (ROW()-2)*$B7+2):INDEX(benchmark!L:L, (ROW()-2)*$B7 + $B7+1)), "")</f>
        <v>273</v>
      </c>
      <c r="M7">
        <f>IFERROR(AVERAGE(INDEX(benchmark!M:M, (ROW()-2)*$B7+2):INDEX(benchmark!M:M, (ROW()-2)*$B7 + $B7+1)), "")</f>
        <v>273</v>
      </c>
      <c r="N7">
        <f>IFERROR(AVERAGE(INDEX(benchmark!N:N, (ROW()-2)*$B7+2):INDEX(benchmark!N:N, (ROW()-2)*$B7 + $B7+1)), "")</f>
        <v>210</v>
      </c>
      <c r="O7">
        <f>IFERROR(AVERAGE(INDEX(benchmark!O:O, (ROW()-2)*$B7+2):INDEX(benchmark!O:O, (ROW()-2)*$B7 + $B7+1)), "")</f>
        <v>210</v>
      </c>
      <c r="P7">
        <f>IFERROR(AVERAGE(INDEX(benchmark!P:P, (ROW()-2)*$B7+2):INDEX(benchmark!P:P, (ROW()-2)*$B7 + $B7+1)), "")</f>
        <v>206</v>
      </c>
      <c r="Q7">
        <f>IFERROR(AVERAGE(INDEX(benchmark!Q:Q, (ROW()-2)*$B7+2):INDEX(benchmark!Q:Q, (ROW()-2)*$B7 + $B7+1)), "")</f>
        <v>1.4438672479855086E-11</v>
      </c>
      <c r="R7">
        <f>IFERROR(AVERAGE(INDEX(benchmark!R:R, (ROW()-2)*$B7+2):INDEX(benchmark!R:R, (ROW()-2)*$B7 + $B7+1)), "")</f>
        <v>18.423800000000004</v>
      </c>
      <c r="S7">
        <f>IFERROR(AVERAGE(INDEX(benchmark!S:S, (ROW()-2)*$B7+2):INDEX(benchmark!S:S, (ROW()-2)*$B7 + $B7+1)), "")</f>
        <v>11.904500000000002</v>
      </c>
      <c r="T7">
        <f>IFERROR(AVERAGE(INDEX(benchmark!T:T, (ROW()-2)*$B7+2):INDEX(benchmark!T:T, (ROW()-2)*$B7 + $B7+1)), "")</f>
        <v>2345</v>
      </c>
      <c r="U7">
        <f>IFERROR(AVERAGE(INDEX(benchmark!U:U, (ROW()-2)*$B7+2):INDEX(benchmark!U:U, (ROW()-2)*$B7 + $B7+1)), "")</f>
        <v>2331</v>
      </c>
      <c r="V7">
        <f>IFERROR(AVERAGE(INDEX(benchmark!V:V, (ROW()-2)*$B7+2):INDEX(benchmark!V:V, (ROW()-2)*$B7 + $B7+1)), "")</f>
        <v>206</v>
      </c>
      <c r="W7">
        <f>IFERROR(AVERAGE(INDEX(benchmark!W:W, (ROW()-2)*$B7+2):INDEX(benchmark!W:W, (ROW()-2)*$B7 + $B7+1)), "")</f>
        <v>1.4402000000000019</v>
      </c>
      <c r="X7">
        <f>IFERROR(AVERAGE(INDEX(benchmark!X:X, (ROW()-2)*$B7+2):INDEX(benchmark!X:X, (ROW()-2)*$B7 + $B7+1)), "")</f>
        <v>0.22812499999999999</v>
      </c>
      <c r="Y7">
        <f>IFERROR(AVERAGE(INDEX(benchmark!Y:Y, (ROW()-2)*$B7+2):INDEX(benchmark!Y:Y, (ROW()-2)*$B7 + $B7+1)), "")</f>
        <v>1.0375000000000001</v>
      </c>
      <c r="Z7">
        <f>IFERROR(AVERAGE(INDEX(benchmark!Z:Z, (ROW()-2)*$B7+2):INDEX(benchmark!Z:Z, (ROW()-2)*$B7 + $B7+1)), "")</f>
        <v>1.265625</v>
      </c>
      <c r="AA7">
        <f>IFERROR(AVERAGE(INDEX(benchmark!AA:AA, (ROW()-2)*$B7+2):INDEX(benchmark!AA:AA, (ROW()-2)*$B7 + $B7+1)), "")</f>
        <v>30.514199999999999</v>
      </c>
      <c r="AB7">
        <f>IFERROR(AVERAGE(INDEX(benchmark!AB:AB, (ROW()-2)*$B7+2):INDEX(benchmark!AB:AB, (ROW()-2)*$B7 + $B7+1)), "")</f>
        <v>0.49062499999999998</v>
      </c>
      <c r="AC7">
        <f>IFERROR(AVERAGE(INDEX(benchmark!AC:AC, (ROW()-2)*$B7+2):INDEX(benchmark!AC:AC, (ROW()-2)*$B7 + $B7+1)), "")</f>
        <v>29.893750000000001</v>
      </c>
      <c r="AD7">
        <f>IFERROR(AVERAGE(INDEX(benchmark!AD:AD, (ROW()-2)*$B7+2):INDEX(benchmark!AD:AD, (ROW()-2)*$B7 + $B7+1)), "")</f>
        <v>30.384374999999999</v>
      </c>
      <c r="AE7">
        <f>IFERROR(AVERAGE(INDEX(benchmark!AE:AE, (ROW()-2)*$B7+2):INDEX(benchmark!AE:AE, (ROW()-2)*$B7 + $B7+1)), "")</f>
        <v>371155</v>
      </c>
      <c r="AF7">
        <f>IFERROR(AVERAGE(INDEX(benchmark!AF:AF, (ROW()-2)*$B7+2):INDEX(benchmark!AF:AF, (ROW()-2)*$B7 + $B7+1)), "")</f>
        <v>2345</v>
      </c>
      <c r="AG7">
        <f>IFERROR(AVERAGE(INDEX(benchmark!AG:AG, (ROW()-2)*$B7+2):INDEX(benchmark!AG:AG, (ROW()-2)*$B7 + $B7+1)), "")</f>
        <v>372492</v>
      </c>
      <c r="AH7">
        <f>IFERROR(AVERAGE(INDEX(benchmark!AH:AH, (ROW()-2)*$B7+2):INDEX(benchmark!AH:AH, (ROW()-2)*$B7 + $B7+1)), "")</f>
        <v>2537</v>
      </c>
      <c r="AI7">
        <f>IFERROR(AVERAGE(INDEX(benchmark!AI:AI, (ROW()-2)*$B7+2):INDEX(benchmark!AI:AI, (ROW()-2)*$B7 + $B7+1)), "")</f>
        <v>1.18521875E-2</v>
      </c>
      <c r="AJ7">
        <f>IFERROR(AVERAGE(INDEX(benchmark!AJ:AJ, (ROW()-2)*$B7+2):INDEX(benchmark!AJ:AJ, (ROW()-2)*$B7 + $B7+1)), "")</f>
        <v>1.2244965277777778E-2</v>
      </c>
      <c r="AK7" cm="1">
        <f t="array" ref="AK7">IFERROR(AVERAGE(INDEX(benchmark!W:W, (ROW()-2)*$B7+2):INDEX(benchmark!W:W, (ROW()-2)*$B7 + $B7+1) + INDEX(benchmark!AA:AA, (ROW()-2)*$B7+2):INDEX(benchmark!AA:AA, (ROW()-2)*$B7 + $B7+1)), "")</f>
        <v>31.954400000000003</v>
      </c>
      <c r="AL7" cm="1">
        <f t="array" ref="AL7">IFERROR(MIN(INDEX(benchmark!W:W, (ROW()-2)*$B7+2):INDEX(benchmark!W:W, (ROW()-2)*$B7 + $B7+1) + INDEX(benchmark!AA:AA, (ROW()-2)*$B7+2):INDEX(benchmark!AA:AA, (ROW()-2)*$B7 + $B7+1)), "")</f>
        <v>30.765000000000001</v>
      </c>
      <c r="AM7" cm="1">
        <f t="array" ref="AM7">IFERROR(MAX(INDEX(benchmark!W:W, (ROW()-2)*$B7+2):INDEX(benchmark!W:W, (ROW()-2)*$B7 + $B7+1) + INDEX(benchmark!AA:AA, (ROW()-2)*$B7+2):INDEX(benchmark!AA:AA, (ROW()-2)*$B7 + $B7+1)), "")</f>
        <v>33.093000000000004</v>
      </c>
      <c r="AN7" cm="1">
        <f t="array" ref="AN7">IFERROR(AVERAGE(MOD(VALUE(INDEX(benchmark!AJ:AJ, (ROW()-2)*$B7+2):INDEX(benchmark!AJ:AJ, (ROW()-2)*$B7 + $B7+1)) - VALUE(INDEX(benchmark!AI:AI, (ROW()-2)*$B7+2):INDEX(benchmark!AI:AI, (ROW()-2)*$B7 + $B7+1)), 1) * 86400), "")</f>
        <v>33.935999999999993</v>
      </c>
      <c r="AO7" cm="1">
        <f t="array" ref="AO7">IFERROR(MIN(MOD(VALUE(INDEX(benchmark!AJ:AJ, (ROW()-2)*$B7+2):INDEX(benchmark!AJ:AJ, (ROW()-2)*$B7 + $B7+1)) - VALUE(INDEX(benchmark!AI:AI, (ROW()-2)*$B7+2):INDEX(benchmark!AI:AI, (ROW()-2)*$B7 + $B7+1)), 1) * 86400), "")</f>
        <v>32.890000000000093</v>
      </c>
      <c r="AP7" cm="1">
        <f t="array" ref="AP7">IFERROR(MAX(MOD(VALUE(INDEX(benchmark!AJ:AJ, (ROW()-2)*$B7+2):INDEX(benchmark!AJ:AJ, (ROW()-2)*$B7 + $B7+1)) - VALUE(INDEX(benchmark!AI:AI, (ROW()-2)*$B7+2):INDEX(benchmark!AI:AI, (ROW()-2)*$B7 + $B7+1)), 1) * 86400), "")</f>
        <v>34.990000000000059</v>
      </c>
      <c r="AQ7">
        <f>IFERROR(AVERAGE(INDEX(benchmark!S:S, (ROW()-2)*$B7+2):INDEX(benchmark!S:S, (ROW()-2)*$B7 + $B7+1)), "")</f>
        <v>11.904500000000002</v>
      </c>
      <c r="AR7">
        <f>IFERROR(MIN(INDEX(benchmark!S:S, (ROW()-2)*$B7+2):INDEX(benchmark!S:S, (ROW()-2)*$B7 + $B7+1)), "")</f>
        <v>11.284000000000001</v>
      </c>
      <c r="AS7">
        <f>IFERROR(MAX(INDEX(benchmark!S:S, (ROW()-2)*$B7+2):INDEX(benchmark!S:S, (ROW()-2)*$B7 + $B7+1)), "")</f>
        <v>12.42</v>
      </c>
    </row>
    <row r="8" spans="1:45" x14ac:dyDescent="0.25">
      <c r="A8" t="str" cm="1">
        <f t="array" ref="A8">INDEX(benchmark!A:A, (ROW()-2)*$B8+2)</f>
        <v>grasp-cbc</v>
      </c>
      <c r="B8">
        <f>COUNTIF(benchmark!A:A, benchmark!A8)</f>
        <v>10</v>
      </c>
      <c r="C8" t="str" cm="1">
        <f t="array" ref="C8">INDEX(benchmark!C:C, (ROW()-2)*$B8+2)</f>
        <v>cbc</v>
      </c>
      <c r="D8" t="str" cm="1">
        <f t="array" ref="D8">INDEX(benchmark!D:D, (ROW()-2)*$B8+2)</f>
        <v>2.10.12</v>
      </c>
      <c r="E8" t="str" cm="1">
        <f t="array" ref="E8">INDEX(benchmark!E:E, (ROW()-2)*$B8+2)</f>
        <v>failure</v>
      </c>
      <c r="F8">
        <f>IFERROR(AVERAGE(INDEX(benchmark!F:F, (ROW()-2)*$B8+2):INDEX(benchmark!F:F, (ROW()-2)*$B8 + $B8+1)), "")</f>
        <v>500</v>
      </c>
      <c r="G8">
        <f>IFERROR(AVERAGE(INDEX(benchmark!G:G, (ROW()-2)*$B8+2):INDEX(benchmark!G:G, (ROW()-2)*$B8 + $B8+1)), "")</f>
        <v>0</v>
      </c>
      <c r="H8" t="str">
        <f>IFERROR(AVERAGE(INDEX(benchmark!H:H, (ROW()-2)*$B8+2):INDEX(benchmark!H:H, (ROW()-2)*$B8 + $B8+1)), "")</f>
        <v/>
      </c>
      <c r="I8" t="str">
        <f>IFERROR(AVERAGE(INDEX(benchmark!I:I, (ROW()-2)*$B8+2):INDEX(benchmark!I:I, (ROW()-2)*$B8 + $B8+1)), "")</f>
        <v/>
      </c>
      <c r="J8" t="str">
        <f>IFERROR(AVERAGE(INDEX(benchmark!J:J, (ROW()-2)*$B8+2):INDEX(benchmark!J:J, (ROW()-2)*$B8 + $B8+1)), "")</f>
        <v/>
      </c>
      <c r="K8" t="str">
        <f>IFERROR(AVERAGE(INDEX(benchmark!K:K, (ROW()-2)*$B8+2):INDEX(benchmark!K:K, (ROW()-2)*$B8 + $B8+1)), "")</f>
        <v/>
      </c>
      <c r="L8" t="str">
        <f>IFERROR(AVERAGE(INDEX(benchmark!L:L, (ROW()-2)*$B8+2):INDEX(benchmark!L:L, (ROW()-2)*$B8 + $B8+1)), "")</f>
        <v/>
      </c>
      <c r="M8" t="str">
        <f>IFERROR(AVERAGE(INDEX(benchmark!M:M, (ROW()-2)*$B8+2):INDEX(benchmark!M:M, (ROW()-2)*$B8 + $B8+1)), "")</f>
        <v/>
      </c>
      <c r="N8" t="str">
        <f>IFERROR(AVERAGE(INDEX(benchmark!N:N, (ROW()-2)*$B8+2):INDEX(benchmark!N:N, (ROW()-2)*$B8 + $B8+1)), "")</f>
        <v/>
      </c>
      <c r="O8" t="str">
        <f>IFERROR(AVERAGE(INDEX(benchmark!O:O, (ROW()-2)*$B8+2):INDEX(benchmark!O:O, (ROW()-2)*$B8 + $B8+1)), "")</f>
        <v/>
      </c>
      <c r="P8" t="str">
        <f>IFERROR(AVERAGE(INDEX(benchmark!P:P, (ROW()-2)*$B8+2):INDEX(benchmark!P:P, (ROW()-2)*$B8 + $B8+1)), "")</f>
        <v/>
      </c>
      <c r="Q8" t="str">
        <f>IFERROR(AVERAGE(INDEX(benchmark!Q:Q, (ROW()-2)*$B8+2):INDEX(benchmark!Q:Q, (ROW()-2)*$B8 + $B8+1)), "")</f>
        <v/>
      </c>
      <c r="R8" t="str">
        <f>IFERROR(AVERAGE(INDEX(benchmark!R:R, (ROW()-2)*$B8+2):INDEX(benchmark!R:R, (ROW()-2)*$B8 + $B8+1)), "")</f>
        <v/>
      </c>
      <c r="S8" t="str">
        <f>IFERROR(AVERAGE(INDEX(benchmark!S:S, (ROW()-2)*$B8+2):INDEX(benchmark!S:S, (ROW()-2)*$B8 + $B8+1)), "")</f>
        <v/>
      </c>
      <c r="T8" t="str">
        <f>IFERROR(AVERAGE(INDEX(benchmark!T:T, (ROW()-2)*$B8+2):INDEX(benchmark!T:T, (ROW()-2)*$B8 + $B8+1)), "")</f>
        <v/>
      </c>
      <c r="U8" t="str">
        <f>IFERROR(AVERAGE(INDEX(benchmark!U:U, (ROW()-2)*$B8+2):INDEX(benchmark!U:U, (ROW()-2)*$B8 + $B8+1)), "")</f>
        <v/>
      </c>
      <c r="V8" t="str">
        <f>IFERROR(AVERAGE(INDEX(benchmark!V:V, (ROW()-2)*$B8+2):INDEX(benchmark!V:V, (ROW()-2)*$B8 + $B8+1)), "")</f>
        <v/>
      </c>
      <c r="W8">
        <f>IFERROR(AVERAGE(INDEX(benchmark!W:W, (ROW()-2)*$B8+2):INDEX(benchmark!W:W, (ROW()-2)*$B8 + $B8+1)), "")</f>
        <v>0.21070000000000003</v>
      </c>
      <c r="X8">
        <f>IFERROR(AVERAGE(INDEX(benchmark!X:X, (ROW()-2)*$B8+2):INDEX(benchmark!X:X, (ROW()-2)*$B8 + $B8+1)), "")</f>
        <v>3.7499999999999999E-2</v>
      </c>
      <c r="Y8">
        <f>IFERROR(AVERAGE(INDEX(benchmark!Y:Y, (ROW()-2)*$B8+2):INDEX(benchmark!Y:Y, (ROW()-2)*$B8 + $B8+1)), "")</f>
        <v>6.0937499999999999E-2</v>
      </c>
      <c r="Z8">
        <f>IFERROR(AVERAGE(INDEX(benchmark!Z:Z, (ROW()-2)*$B8+2):INDEX(benchmark!Z:Z, (ROW()-2)*$B8 + $B8+1)), "")</f>
        <v>9.8437499999999997E-2</v>
      </c>
      <c r="AA8">
        <f>IFERROR(AVERAGE(INDEX(benchmark!AA:AA, (ROW()-2)*$B8+2):INDEX(benchmark!AA:AA, (ROW()-2)*$B8 + $B8+1)), "")</f>
        <v>2.8400000000000002E-2</v>
      </c>
      <c r="AB8">
        <f>IFERROR(AVERAGE(INDEX(benchmark!AB:AB, (ROW()-2)*$B8+2):INDEX(benchmark!AB:AB, (ROW()-2)*$B8 + $B8+1)), "")</f>
        <v>9.3749999999999997E-3</v>
      </c>
      <c r="AC8">
        <f>IFERROR(AVERAGE(INDEX(benchmark!AC:AC, (ROW()-2)*$B8+2):INDEX(benchmark!AC:AC, (ROW()-2)*$B8 + $B8+1)), "")</f>
        <v>7.8125E-3</v>
      </c>
      <c r="AD8">
        <f>IFERROR(AVERAGE(INDEX(benchmark!AD:AD, (ROW()-2)*$B8+2):INDEX(benchmark!AD:AD, (ROW()-2)*$B8 + $B8+1)), "")</f>
        <v>1.7187500000000001E-2</v>
      </c>
      <c r="AE8">
        <f>IFERROR(AVERAGE(INDEX(benchmark!AE:AE, (ROW()-2)*$B8+2):INDEX(benchmark!AE:AE, (ROW()-2)*$B8 + $B8+1)), "")</f>
        <v>29729</v>
      </c>
      <c r="AF8">
        <f>IFERROR(AVERAGE(INDEX(benchmark!AF:AF, (ROW()-2)*$B8+2):INDEX(benchmark!AF:AF, (ROW()-2)*$B8 + $B8+1)), "")</f>
        <v>73</v>
      </c>
      <c r="AG8">
        <f>IFERROR(AVERAGE(INDEX(benchmark!AG:AG, (ROW()-2)*$B8+2):INDEX(benchmark!AG:AG, (ROW()-2)*$B8 + $B8+1)), "")</f>
        <v>29766</v>
      </c>
      <c r="AH8">
        <f>IFERROR(AVERAGE(INDEX(benchmark!AH:AH, (ROW()-2)*$B8+2):INDEX(benchmark!AH:AH, (ROW()-2)*$B8 + $B8+1)), "")</f>
        <v>80</v>
      </c>
      <c r="AI8">
        <f>IFERROR(AVERAGE(INDEX(benchmark!AI:AI, (ROW()-2)*$B8+2):INDEX(benchmark!AI:AI, (ROW()-2)*$B8 + $B8+1)), "")</f>
        <v>1.4052430555555554E-2</v>
      </c>
      <c r="AJ8">
        <f>IFERROR(AVERAGE(INDEX(benchmark!AJ:AJ, (ROW()-2)*$B8+2):INDEX(benchmark!AJ:AJ, (ROW()-2)*$B8 + $B8+1)), "")</f>
        <v>1.4056388888888887E-2</v>
      </c>
      <c r="AK8" cm="1">
        <f t="array" ref="AK8">IFERROR(AVERAGE(INDEX(benchmark!W:W, (ROW()-2)*$B8+2):INDEX(benchmark!W:W, (ROW()-2)*$B8 + $B8+1) + INDEX(benchmark!AA:AA, (ROW()-2)*$B8+2):INDEX(benchmark!AA:AA, (ROW()-2)*$B8 + $B8+1)), "")</f>
        <v>0.23910000000000003</v>
      </c>
      <c r="AL8" cm="1">
        <f t="array" ref="AL8">IFERROR(MIN(INDEX(benchmark!W:W, (ROW()-2)*$B8+2):INDEX(benchmark!W:W, (ROW()-2)*$B8 + $B8+1) + INDEX(benchmark!AA:AA, (ROW()-2)*$B8+2):INDEX(benchmark!AA:AA, (ROW()-2)*$B8 + $B8+1)), "")</f>
        <v>0.20300000000000001</v>
      </c>
      <c r="AM8" cm="1">
        <f t="array" ref="AM8">IFERROR(MAX(INDEX(benchmark!W:W, (ROW()-2)*$B8+2):INDEX(benchmark!W:W, (ROW()-2)*$B8 + $B8+1) + INDEX(benchmark!AA:AA, (ROW()-2)*$B8+2):INDEX(benchmark!AA:AA, (ROW()-2)*$B8 + $B8+1)), "")</f>
        <v>0.28100000000000003</v>
      </c>
      <c r="AN8" cm="1">
        <f t="array" ref="AN8">IFERROR(AVERAGE(MOD(VALUE(INDEX(benchmark!AJ:AJ, (ROW()-2)*$B8+2):INDEX(benchmark!AJ:AJ, (ROW()-2)*$B8 + $B8+1)) - VALUE(INDEX(benchmark!AI:AI, (ROW()-2)*$B8+2):INDEX(benchmark!AI:AI, (ROW()-2)*$B8 + $B8+1)), 1) * 86400), "")</f>
        <v>0.3420000000000073</v>
      </c>
      <c r="AO8" cm="1">
        <f t="array" ref="AO8">IFERROR(MIN(MOD(VALUE(INDEX(benchmark!AJ:AJ, (ROW()-2)*$B8+2):INDEX(benchmark!AJ:AJ, (ROW()-2)*$B8 + $B8+1)) - VALUE(INDEX(benchmark!AI:AI, (ROW()-2)*$B8+2):INDEX(benchmark!AI:AI, (ROW()-2)*$B8 + $B8+1)), 1) * 86400), "")</f>
        <v>0.30999999999993255</v>
      </c>
      <c r="AP8" cm="1">
        <f t="array" ref="AP8">IFERROR(MAX(MOD(VALUE(INDEX(benchmark!AJ:AJ, (ROW()-2)*$B8+2):INDEX(benchmark!AJ:AJ, (ROW()-2)*$B8 + $B8+1)) - VALUE(INDEX(benchmark!AI:AI, (ROW()-2)*$B8+2):INDEX(benchmark!AI:AI, (ROW()-2)*$B8 + $B8+1)), 1) * 86400), "")</f>
        <v>0.37000000000002586</v>
      </c>
      <c r="AQ8" t="str">
        <f>IFERROR(AVERAGE(INDEX(benchmark!S:S, (ROW()-2)*$B8+2):INDEX(benchmark!S:S, (ROW()-2)*$B8 + $B8+1)), "")</f>
        <v/>
      </c>
      <c r="AR8">
        <f>IFERROR(MIN(INDEX(benchmark!S:S, (ROW()-2)*$B8+2):INDEX(benchmark!S:S, (ROW()-2)*$B8 + $B8+1)), "")</f>
        <v>0</v>
      </c>
      <c r="AS8">
        <f>IFERROR(MAX(INDEX(benchmark!S:S, (ROW()-2)*$B8+2):INDEX(benchmark!S:S, (ROW()-2)*$B8 + $B8+1)), "")</f>
        <v>0</v>
      </c>
    </row>
    <row r="9" spans="1:45" x14ac:dyDescent="0.25">
      <c r="A9" t="str" cm="1">
        <f t="array" ref="A9">INDEX(benchmark!A:A, (ROW()-2)*$B9+2)</f>
        <v>grasp-conopt</v>
      </c>
      <c r="B9">
        <f>COUNTIF(benchmark!A:A, benchmark!A9)</f>
        <v>10</v>
      </c>
      <c r="C9" t="str" cm="1">
        <f t="array" ref="C9">INDEX(benchmark!C:C, (ROW()-2)*$B9+2)</f>
        <v/>
      </c>
      <c r="D9" t="str" cm="1">
        <f t="array" ref="D9">INDEX(benchmark!D:D, (ROW()-2)*$B9+2)</f>
        <v/>
      </c>
      <c r="E9" t="str" cm="1">
        <f t="array" ref="E9">INDEX(benchmark!E:E, (ROW()-2)*$B9+2)</f>
        <v>solved?</v>
      </c>
      <c r="F9">
        <f>IFERROR(AVERAGE(INDEX(benchmark!F:F, (ROW()-2)*$B9+2):INDEX(benchmark!F:F, (ROW()-2)*$B9 + $B9+1)), "")</f>
        <v>100</v>
      </c>
      <c r="G9">
        <f>IFERROR(AVERAGE(INDEX(benchmark!G:G, (ROW()-2)*$B9+2):INDEX(benchmark!G:G, (ROW()-2)*$B9 + $B9+1)), "")</f>
        <v>6</v>
      </c>
      <c r="H9" t="str">
        <f>IFERROR(AVERAGE(INDEX(benchmark!H:H, (ROW()-2)*$B9+2):INDEX(benchmark!H:H, (ROW()-2)*$B9 + $B9+1)), "")</f>
        <v/>
      </c>
      <c r="I9" t="str">
        <f>IFERROR(AVERAGE(INDEX(benchmark!I:I, (ROW()-2)*$B9+2):INDEX(benchmark!I:I, (ROW()-2)*$B9 + $B9+1)), "")</f>
        <v/>
      </c>
      <c r="J9" t="str">
        <f>IFERROR(AVERAGE(INDEX(benchmark!J:J, (ROW()-2)*$B9+2):INDEX(benchmark!J:J, (ROW()-2)*$B9 + $B9+1)), "")</f>
        <v/>
      </c>
      <c r="K9" t="str">
        <f>IFERROR(AVERAGE(INDEX(benchmark!K:K, (ROW()-2)*$B9+2):INDEX(benchmark!K:K, (ROW()-2)*$B9 + $B9+1)), "")</f>
        <v/>
      </c>
      <c r="L9" t="str">
        <f>IFERROR(AVERAGE(INDEX(benchmark!L:L, (ROW()-2)*$B9+2):INDEX(benchmark!L:L, (ROW()-2)*$B9 + $B9+1)), "")</f>
        <v/>
      </c>
      <c r="M9" t="str">
        <f>IFERROR(AVERAGE(INDEX(benchmark!M:M, (ROW()-2)*$B9+2):INDEX(benchmark!M:M, (ROW()-2)*$B9 + $B9+1)), "")</f>
        <v/>
      </c>
      <c r="N9" t="str">
        <f>IFERROR(AVERAGE(INDEX(benchmark!N:N, (ROW()-2)*$B9+2):INDEX(benchmark!N:N, (ROW()-2)*$B9 + $B9+1)), "")</f>
        <v/>
      </c>
      <c r="O9" t="str">
        <f>IFERROR(AVERAGE(INDEX(benchmark!O:O, (ROW()-2)*$B9+2):INDEX(benchmark!O:O, (ROW()-2)*$B9 + $B9+1)), "")</f>
        <v/>
      </c>
      <c r="P9" t="str">
        <f>IFERROR(AVERAGE(INDEX(benchmark!P:P, (ROW()-2)*$B9+2):INDEX(benchmark!P:P, (ROW()-2)*$B9 + $B9+1)), "")</f>
        <v/>
      </c>
      <c r="Q9" t="str">
        <f>IFERROR(AVERAGE(INDEX(benchmark!Q:Q, (ROW()-2)*$B9+2):INDEX(benchmark!Q:Q, (ROW()-2)*$B9 + $B9+1)), "")</f>
        <v/>
      </c>
      <c r="R9" t="str">
        <f>IFERROR(AVERAGE(INDEX(benchmark!R:R, (ROW()-2)*$B9+2):INDEX(benchmark!R:R, (ROW()-2)*$B9 + $B9+1)), "")</f>
        <v/>
      </c>
      <c r="S9" t="str">
        <f>IFERROR(AVERAGE(INDEX(benchmark!S:S, (ROW()-2)*$B9+2):INDEX(benchmark!S:S, (ROW()-2)*$B9 + $B9+1)), "")</f>
        <v/>
      </c>
      <c r="T9" t="str">
        <f>IFERROR(AVERAGE(INDEX(benchmark!T:T, (ROW()-2)*$B9+2):INDEX(benchmark!T:T, (ROW()-2)*$B9 + $B9+1)), "")</f>
        <v/>
      </c>
      <c r="U9" t="str">
        <f>IFERROR(AVERAGE(INDEX(benchmark!U:U, (ROW()-2)*$B9+2):INDEX(benchmark!U:U, (ROW()-2)*$B9 + $B9+1)), "")</f>
        <v/>
      </c>
      <c r="V9" t="str">
        <f>IFERROR(AVERAGE(INDEX(benchmark!V:V, (ROW()-2)*$B9+2):INDEX(benchmark!V:V, (ROW()-2)*$B9 + $B9+1)), "")</f>
        <v/>
      </c>
      <c r="W9">
        <f>IFERROR(AVERAGE(INDEX(benchmark!W:W, (ROW()-2)*$B9+2):INDEX(benchmark!W:W, (ROW()-2)*$B9 + $B9+1)), "")</f>
        <v>0.2157</v>
      </c>
      <c r="X9">
        <f>IFERROR(AVERAGE(INDEX(benchmark!X:X, (ROW()-2)*$B9+2):INDEX(benchmark!X:X, (ROW()-2)*$B9 + $B9+1)), "")</f>
        <v>3.2812500000000001E-2</v>
      </c>
      <c r="Y9">
        <f>IFERROR(AVERAGE(INDEX(benchmark!Y:Y, (ROW()-2)*$B9+2):INDEX(benchmark!Y:Y, (ROW()-2)*$B9 + $B9+1)), "")</f>
        <v>8.4375000000000006E-2</v>
      </c>
      <c r="Z9">
        <f>IFERROR(AVERAGE(INDEX(benchmark!Z:Z, (ROW()-2)*$B9+2):INDEX(benchmark!Z:Z, (ROW()-2)*$B9 + $B9+1)), "")</f>
        <v>0.1171875</v>
      </c>
      <c r="AA9">
        <f>IFERROR(AVERAGE(INDEX(benchmark!AA:AA, (ROW()-2)*$B9+2):INDEX(benchmark!AA:AA, (ROW()-2)*$B9 + $B9+1)), "")</f>
        <v>0.1298</v>
      </c>
      <c r="AB9">
        <f>IFERROR(AVERAGE(INDEX(benchmark!AB:AB, (ROW()-2)*$B9+2):INDEX(benchmark!AB:AB, (ROW()-2)*$B9 + $B9+1)), "")</f>
        <v>1.5625E-2</v>
      </c>
      <c r="AC9">
        <f>IFERROR(AVERAGE(INDEX(benchmark!AC:AC, (ROW()-2)*$B9+2):INDEX(benchmark!AC:AC, (ROW()-2)*$B9 + $B9+1)), "")</f>
        <v>1.40625E-2</v>
      </c>
      <c r="AD9">
        <f>IFERROR(AVERAGE(INDEX(benchmark!AD:AD, (ROW()-2)*$B9+2):INDEX(benchmark!AD:AD, (ROW()-2)*$B9 + $B9+1)), "")</f>
        <v>2.9687499999999999E-2</v>
      </c>
      <c r="AE9">
        <f>IFERROR(AVERAGE(INDEX(benchmark!AE:AE, (ROW()-2)*$B9+2):INDEX(benchmark!AE:AE, (ROW()-2)*$B9 + $B9+1)), "")</f>
        <v>29729</v>
      </c>
      <c r="AF9">
        <f>IFERROR(AVERAGE(INDEX(benchmark!AF:AF, (ROW()-2)*$B9+2):INDEX(benchmark!AF:AF, (ROW()-2)*$B9 + $B9+1)), "")</f>
        <v>73</v>
      </c>
      <c r="AG9">
        <f>IFERROR(AVERAGE(INDEX(benchmark!AG:AG, (ROW()-2)*$B9+2):INDEX(benchmark!AG:AG, (ROW()-2)*$B9 + $B9+1)), "")</f>
        <v>29766</v>
      </c>
      <c r="AH9">
        <f>IFERROR(AVERAGE(INDEX(benchmark!AH:AH, (ROW()-2)*$B9+2):INDEX(benchmark!AH:AH, (ROW()-2)*$B9 + $B9+1)), "")</f>
        <v>80</v>
      </c>
      <c r="AI9">
        <f>IFERROR(AVERAGE(INDEX(benchmark!AI:AI, (ROW()-2)*$B9+2):INDEX(benchmark!AI:AI, (ROW()-2)*$B9 + $B9+1)), "")</f>
        <v>1.4116157407407407E-2</v>
      </c>
      <c r="AJ9">
        <f>IFERROR(AVERAGE(INDEX(benchmark!AJ:AJ, (ROW()-2)*$B9+2):INDEX(benchmark!AJ:AJ, (ROW()-2)*$B9 + $B9+1)), "")</f>
        <v>1.4121296296296295E-2</v>
      </c>
      <c r="AK9" cm="1">
        <f t="array" ref="AK9">IFERROR(AVERAGE(INDEX(benchmark!W:W, (ROW()-2)*$B9+2):INDEX(benchmark!W:W, (ROW()-2)*$B9 + $B9+1) + INDEX(benchmark!AA:AA, (ROW()-2)*$B9+2):INDEX(benchmark!AA:AA, (ROW()-2)*$B9 + $B9+1)), "")</f>
        <v>0.34550000000000003</v>
      </c>
      <c r="AL9" cm="1">
        <f t="array" ref="AL9">IFERROR(MIN(INDEX(benchmark!W:W, (ROW()-2)*$B9+2):INDEX(benchmark!W:W, (ROW()-2)*$B9 + $B9+1) + INDEX(benchmark!AA:AA, (ROW()-2)*$B9+2):INDEX(benchmark!AA:AA, (ROW()-2)*$B9 + $B9+1)), "")</f>
        <v>0.26600000000000001</v>
      </c>
      <c r="AM9" cm="1">
        <f t="array" ref="AM9">IFERROR(MAX(INDEX(benchmark!W:W, (ROW()-2)*$B9+2):INDEX(benchmark!W:W, (ROW()-2)*$B9 + $B9+1) + INDEX(benchmark!AA:AA, (ROW()-2)*$B9+2):INDEX(benchmark!AA:AA, (ROW()-2)*$B9 + $B9+1)), "")</f>
        <v>0.51600000000000001</v>
      </c>
      <c r="AN9" cm="1">
        <f t="array" ref="AN9">IFERROR(AVERAGE(MOD(VALUE(INDEX(benchmark!AJ:AJ, (ROW()-2)*$B9+2):INDEX(benchmark!AJ:AJ, (ROW()-2)*$B9 + $B9+1)) - VALUE(INDEX(benchmark!AI:AI, (ROW()-2)*$B9+2):INDEX(benchmark!AI:AI, (ROW()-2)*$B9 + $B9+1)), 1) * 86400), "")</f>
        <v>0.44400000000003104</v>
      </c>
      <c r="AO9" cm="1">
        <f t="array" ref="AO9">IFERROR(MIN(MOD(VALUE(INDEX(benchmark!AJ:AJ, (ROW()-2)*$B9+2):INDEX(benchmark!AJ:AJ, (ROW()-2)*$B9 + $B9+1)) - VALUE(INDEX(benchmark!AI:AI, (ROW()-2)*$B9+2):INDEX(benchmark!AI:AI, (ROW()-2)*$B9 + $B9+1)), 1) * 86400), "")</f>
        <v>0.34999999999989484</v>
      </c>
      <c r="AP9" cm="1">
        <f t="array" ref="AP9">IFERROR(MAX(MOD(VALUE(INDEX(benchmark!AJ:AJ, (ROW()-2)*$B9+2):INDEX(benchmark!AJ:AJ, (ROW()-2)*$B9 + $B9+1)) - VALUE(INDEX(benchmark!AI:AI, (ROW()-2)*$B9+2):INDEX(benchmark!AI:AI, (ROW()-2)*$B9 + $B9+1)), 1) * 86400), "")</f>
        <v>0.6199999999998651</v>
      </c>
      <c r="AQ9" t="str">
        <f>IFERROR(AVERAGE(INDEX(benchmark!S:S, (ROW()-2)*$B9+2):INDEX(benchmark!S:S, (ROW()-2)*$B9 + $B9+1)), "")</f>
        <v/>
      </c>
      <c r="AR9">
        <f>IFERROR(MIN(INDEX(benchmark!S:S, (ROW()-2)*$B9+2):INDEX(benchmark!S:S, (ROW()-2)*$B9 + $B9+1)), "")</f>
        <v>0</v>
      </c>
      <c r="AS9">
        <f>IFERROR(MAX(INDEX(benchmark!S:S, (ROW()-2)*$B9+2):INDEX(benchmark!S:S, (ROW()-2)*$B9 + $B9+1)), "")</f>
        <v>0</v>
      </c>
    </row>
    <row r="10" spans="1:45" x14ac:dyDescent="0.25">
      <c r="A10" t="str" cm="1">
        <f t="array" ref="A10">INDEX(benchmark!A:A, (ROW()-2)*$B10+2)</f>
        <v>grasp-gurobi</v>
      </c>
      <c r="B10">
        <f>COUNTIF(benchmark!A:A, benchmark!A10)</f>
        <v>10</v>
      </c>
      <c r="C10" t="str" cm="1">
        <f t="array" ref="C10">INDEX(benchmark!C:C, (ROW()-2)*$B10+2)</f>
        <v>Gurobi</v>
      </c>
      <c r="D10" t="str" cm="1">
        <f t="array" ref="D10">INDEX(benchmark!D:D, (ROW()-2)*$B10+2)</f>
        <v>12.0.3</v>
      </c>
      <c r="E10" t="str" cm="1">
        <f t="array" ref="E10">INDEX(benchmark!E:E, (ROW()-2)*$B10+2)</f>
        <v>solved</v>
      </c>
      <c r="F10">
        <f>IFERROR(AVERAGE(INDEX(benchmark!F:F, (ROW()-2)*$B10+2):INDEX(benchmark!F:F, (ROW()-2)*$B10 + $B10+1)), "")</f>
        <v>0</v>
      </c>
      <c r="G10">
        <f>IFERROR(AVERAGE(INDEX(benchmark!G:G, (ROW()-2)*$B10+2):INDEX(benchmark!G:G, (ROW()-2)*$B10 + $B10+1)), "")</f>
        <v>4</v>
      </c>
      <c r="H10" t="str">
        <f>IFERROR(AVERAGE(INDEX(benchmark!H:H, (ROW()-2)*$B10+2):INDEX(benchmark!H:H, (ROW()-2)*$B10 + $B10+1)), "")</f>
        <v/>
      </c>
      <c r="I10" t="str">
        <f>IFERROR(AVERAGE(INDEX(benchmark!I:I, (ROW()-2)*$B10+2):INDEX(benchmark!I:I, (ROW()-2)*$B10 + $B10+1)), "")</f>
        <v/>
      </c>
      <c r="J10" t="str">
        <f>IFERROR(AVERAGE(INDEX(benchmark!J:J, (ROW()-2)*$B10+2):INDEX(benchmark!J:J, (ROW()-2)*$B10 + $B10+1)), "")</f>
        <v/>
      </c>
      <c r="K10" t="str">
        <f>IFERROR(AVERAGE(INDEX(benchmark!K:K, (ROW()-2)*$B10+2):INDEX(benchmark!K:K, (ROW()-2)*$B10 + $B10+1)), "")</f>
        <v/>
      </c>
      <c r="L10" t="str">
        <f>IFERROR(AVERAGE(INDEX(benchmark!L:L, (ROW()-2)*$B10+2):INDEX(benchmark!L:L, (ROW()-2)*$B10 + $B10+1)), "")</f>
        <v/>
      </c>
      <c r="M10" t="str">
        <f>IFERROR(AVERAGE(INDEX(benchmark!M:M, (ROW()-2)*$B10+2):INDEX(benchmark!M:M, (ROW()-2)*$B10 + $B10+1)), "")</f>
        <v/>
      </c>
      <c r="N10" t="str">
        <f>IFERROR(AVERAGE(INDEX(benchmark!N:N, (ROW()-2)*$B10+2):INDEX(benchmark!N:N, (ROW()-2)*$B10 + $B10+1)), "")</f>
        <v/>
      </c>
      <c r="O10" t="str">
        <f>IFERROR(AVERAGE(INDEX(benchmark!O:O, (ROW()-2)*$B10+2):INDEX(benchmark!O:O, (ROW()-2)*$B10 + $B10+1)), "")</f>
        <v/>
      </c>
      <c r="P10" t="str">
        <f>IFERROR(AVERAGE(INDEX(benchmark!P:P, (ROW()-2)*$B10+2):INDEX(benchmark!P:P, (ROW()-2)*$B10 + $B10+1)), "")</f>
        <v/>
      </c>
      <c r="Q10" t="str">
        <f>IFERROR(AVERAGE(INDEX(benchmark!Q:Q, (ROW()-2)*$B10+2):INDEX(benchmark!Q:Q, (ROW()-2)*$B10 + $B10+1)), "")</f>
        <v/>
      </c>
      <c r="R10" t="str">
        <f>IFERROR(AVERAGE(INDEX(benchmark!R:R, (ROW()-2)*$B10+2):INDEX(benchmark!R:R, (ROW()-2)*$B10 + $B10+1)), "")</f>
        <v/>
      </c>
      <c r="S10" t="str">
        <f>IFERROR(AVERAGE(INDEX(benchmark!S:S, (ROW()-2)*$B10+2):INDEX(benchmark!S:S, (ROW()-2)*$B10 + $B10+1)), "")</f>
        <v/>
      </c>
      <c r="T10" t="str">
        <f>IFERROR(AVERAGE(INDEX(benchmark!T:T, (ROW()-2)*$B10+2):INDEX(benchmark!T:T, (ROW()-2)*$B10 + $B10+1)), "")</f>
        <v/>
      </c>
      <c r="U10" t="str">
        <f>IFERROR(AVERAGE(INDEX(benchmark!U:U, (ROW()-2)*$B10+2):INDEX(benchmark!U:U, (ROW()-2)*$B10 + $B10+1)), "")</f>
        <v/>
      </c>
      <c r="V10" t="str">
        <f>IFERROR(AVERAGE(INDEX(benchmark!V:V, (ROW()-2)*$B10+2):INDEX(benchmark!V:V, (ROW()-2)*$B10 + $B10+1)), "")</f>
        <v/>
      </c>
      <c r="W10">
        <f>IFERROR(AVERAGE(INDEX(benchmark!W:W, (ROW()-2)*$B10+2):INDEX(benchmark!W:W, (ROW()-2)*$B10 + $B10+1)), "")</f>
        <v>0.20160000000000006</v>
      </c>
      <c r="X10">
        <f>IFERROR(AVERAGE(INDEX(benchmark!X:X, (ROW()-2)*$B10+2):INDEX(benchmark!X:X, (ROW()-2)*$B10 + $B10+1)), "")</f>
        <v>3.90625E-2</v>
      </c>
      <c r="Y10">
        <f>IFERROR(AVERAGE(INDEX(benchmark!Y:Y, (ROW()-2)*$B10+2):INDEX(benchmark!Y:Y, (ROW()-2)*$B10 + $B10+1)), "")</f>
        <v>6.25E-2</v>
      </c>
      <c r="Z10">
        <f>IFERROR(AVERAGE(INDEX(benchmark!Z:Z, (ROW()-2)*$B10+2):INDEX(benchmark!Z:Z, (ROW()-2)*$B10 + $B10+1)), "")</f>
        <v>0.1015625</v>
      </c>
      <c r="AA10">
        <f>IFERROR(AVERAGE(INDEX(benchmark!AA:AA, (ROW()-2)*$B10+2):INDEX(benchmark!AA:AA, (ROW()-2)*$B10 + $B10+1)), "")</f>
        <v>0.26880000000000004</v>
      </c>
      <c r="AB10">
        <f>IFERROR(AVERAGE(INDEX(benchmark!AB:AB, (ROW()-2)*$B10+2):INDEX(benchmark!AB:AB, (ROW()-2)*$B10 + $B10+1)), "")</f>
        <v>0.33281250000000001</v>
      </c>
      <c r="AC10">
        <f>IFERROR(AVERAGE(INDEX(benchmark!AC:AC, (ROW()-2)*$B10+2):INDEX(benchmark!AC:AC, (ROW()-2)*$B10 + $B10+1)), "")</f>
        <v>1.6234375000000001</v>
      </c>
      <c r="AD10">
        <f>IFERROR(AVERAGE(INDEX(benchmark!AD:AD, (ROW()-2)*$B10+2):INDEX(benchmark!AD:AD, (ROW()-2)*$B10 + $B10+1)), "")</f>
        <v>1.95625</v>
      </c>
      <c r="AE10">
        <f>IFERROR(AVERAGE(INDEX(benchmark!AE:AE, (ROW()-2)*$B10+2):INDEX(benchmark!AE:AE, (ROW()-2)*$B10 + $B10+1)), "")</f>
        <v>29729</v>
      </c>
      <c r="AF10">
        <f>IFERROR(AVERAGE(INDEX(benchmark!AF:AF, (ROW()-2)*$B10+2):INDEX(benchmark!AF:AF, (ROW()-2)*$B10 + $B10+1)), "")</f>
        <v>73</v>
      </c>
      <c r="AG10">
        <f>IFERROR(AVERAGE(INDEX(benchmark!AG:AG, (ROW()-2)*$B10+2):INDEX(benchmark!AG:AG, (ROW()-2)*$B10 + $B10+1)), "")</f>
        <v>29766</v>
      </c>
      <c r="AH10">
        <f>IFERROR(AVERAGE(INDEX(benchmark!AH:AH, (ROW()-2)*$B10+2):INDEX(benchmark!AH:AH, (ROW()-2)*$B10 + $B10+1)), "")</f>
        <v>80</v>
      </c>
      <c r="AI10">
        <f>IFERROR(AVERAGE(INDEX(benchmark!AI:AI, (ROW()-2)*$B10+2):INDEX(benchmark!AI:AI, (ROW()-2)*$B10 + $B10+1)), "")</f>
        <v>1.419236111111111E-2</v>
      </c>
      <c r="AJ10">
        <f>IFERROR(AVERAGE(INDEX(benchmark!AJ:AJ, (ROW()-2)*$B10+2):INDEX(benchmark!AJ:AJ, (ROW()-2)*$B10 + $B10+1)), "")</f>
        <v>1.4198993055555557E-2</v>
      </c>
      <c r="AK10" cm="1">
        <f t="array" ref="AK10">IFERROR(AVERAGE(INDEX(benchmark!W:W, (ROW()-2)*$B10+2):INDEX(benchmark!W:W, (ROW()-2)*$B10 + $B10+1) + INDEX(benchmark!AA:AA, (ROW()-2)*$B10+2):INDEX(benchmark!AA:AA, (ROW()-2)*$B10 + $B10+1)), "")</f>
        <v>0.47039999999999998</v>
      </c>
      <c r="AL10" cm="1">
        <f t="array" ref="AL10">IFERROR(MIN(INDEX(benchmark!W:W, (ROW()-2)*$B10+2):INDEX(benchmark!W:W, (ROW()-2)*$B10 + $B10+1) + INDEX(benchmark!AA:AA, (ROW()-2)*$B10+2):INDEX(benchmark!AA:AA, (ROW()-2)*$B10 + $B10+1)), "")</f>
        <v>0.42199999999999999</v>
      </c>
      <c r="AM10" cm="1">
        <f t="array" ref="AM10">IFERROR(MAX(INDEX(benchmark!W:W, (ROW()-2)*$B10+2):INDEX(benchmark!W:W, (ROW()-2)*$B10 + $B10+1) + INDEX(benchmark!AA:AA, (ROW()-2)*$B10+2):INDEX(benchmark!AA:AA, (ROW()-2)*$B10 + $B10+1)), "")</f>
        <v>0.54700000000000004</v>
      </c>
      <c r="AN10" cm="1">
        <f t="array" ref="AN10">IFERROR(AVERAGE(MOD(VALUE(INDEX(benchmark!AJ:AJ, (ROW()-2)*$B10+2):INDEX(benchmark!AJ:AJ, (ROW()-2)*$B10 + $B10+1)) - VALUE(INDEX(benchmark!AI:AI, (ROW()-2)*$B10+2):INDEX(benchmark!AI:AI, (ROW()-2)*$B10 + $B10+1)), 1) * 86400), "")</f>
        <v>0.57299999999997675</v>
      </c>
      <c r="AO10" cm="1">
        <f t="array" ref="AO10">IFERROR(MIN(MOD(VALUE(INDEX(benchmark!AJ:AJ, (ROW()-2)*$B10+2):INDEX(benchmark!AJ:AJ, (ROW()-2)*$B10 + $B10+1)) - VALUE(INDEX(benchmark!AI:AI, (ROW()-2)*$B10+2):INDEX(benchmark!AI:AI, (ROW()-2)*$B10 + $B10+1)), 1) * 86400), "")</f>
        <v>0.50999999999989387</v>
      </c>
      <c r="AP10" cm="1">
        <f t="array" ref="AP10">IFERROR(MAX(MOD(VALUE(INDEX(benchmark!AJ:AJ, (ROW()-2)*$B10+2):INDEX(benchmark!AJ:AJ, (ROW()-2)*$B10 + $B10+1)) - VALUE(INDEX(benchmark!AI:AI, (ROW()-2)*$B10+2):INDEX(benchmark!AI:AI, (ROW()-2)*$B10 + $B10+1)), 1) * 86400), "")</f>
        <v>0.63999999999999613</v>
      </c>
      <c r="AQ10" t="str">
        <f>IFERROR(AVERAGE(INDEX(benchmark!S:S, (ROW()-2)*$B10+2):INDEX(benchmark!S:S, (ROW()-2)*$B10 + $B10+1)), "")</f>
        <v/>
      </c>
      <c r="AR10">
        <f>IFERROR(MIN(INDEX(benchmark!S:S, (ROW()-2)*$B10+2):INDEX(benchmark!S:S, (ROW()-2)*$B10 + $B10+1)), "")</f>
        <v>0</v>
      </c>
      <c r="AS10">
        <f>IFERROR(MAX(INDEX(benchmark!S:S, (ROW()-2)*$B10+2):INDEX(benchmark!S:S, (ROW()-2)*$B10 + $B10+1)), "")</f>
        <v>0</v>
      </c>
    </row>
    <row r="11" spans="1:45" x14ac:dyDescent="0.25">
      <c r="A11" t="str" cm="1">
        <f t="array" ref="A11">INDEX(benchmark!A:A, (ROW()-2)*$B11+2)</f>
        <v>grasp-highs</v>
      </c>
      <c r="B11">
        <f>COUNTIF(benchmark!A:A, benchmark!A11)</f>
        <v>10</v>
      </c>
      <c r="C11" t="str" cm="1">
        <f t="array" ref="C11">INDEX(benchmark!C:C, (ROW()-2)*$B11+2)</f>
        <v>HiGHS</v>
      </c>
      <c r="D11" t="str" cm="1">
        <f t="array" ref="D11">INDEX(benchmark!D:D, (ROW()-2)*$B11+2)</f>
        <v>1.11.0</v>
      </c>
      <c r="E11" t="str" cm="1">
        <f t="array" ref="E11">INDEX(benchmark!E:E, (ROW()-2)*$B11+2)</f>
        <v>failure</v>
      </c>
      <c r="F11">
        <f>IFERROR(AVERAGE(INDEX(benchmark!F:F, (ROW()-2)*$B11+2):INDEX(benchmark!F:F, (ROW()-2)*$B11 + $B11+1)), "")</f>
        <v>500</v>
      </c>
      <c r="G11">
        <f>IFERROR(AVERAGE(INDEX(benchmark!G:G, (ROW()-2)*$B11+2):INDEX(benchmark!G:G, (ROW()-2)*$B11 + $B11+1)), "")</f>
        <v>0</v>
      </c>
      <c r="H11" t="str">
        <f>IFERROR(AVERAGE(INDEX(benchmark!H:H, (ROW()-2)*$B11+2):INDEX(benchmark!H:H, (ROW()-2)*$B11 + $B11+1)), "")</f>
        <v/>
      </c>
      <c r="I11" t="str">
        <f>IFERROR(AVERAGE(INDEX(benchmark!I:I, (ROW()-2)*$B11+2):INDEX(benchmark!I:I, (ROW()-2)*$B11 + $B11+1)), "")</f>
        <v/>
      </c>
      <c r="J11" t="str">
        <f>IFERROR(AVERAGE(INDEX(benchmark!J:J, (ROW()-2)*$B11+2):INDEX(benchmark!J:J, (ROW()-2)*$B11 + $B11+1)), "")</f>
        <v/>
      </c>
      <c r="K11" t="str">
        <f>IFERROR(AVERAGE(INDEX(benchmark!K:K, (ROW()-2)*$B11+2):INDEX(benchmark!K:K, (ROW()-2)*$B11 + $B11+1)), "")</f>
        <v/>
      </c>
      <c r="L11" t="str">
        <f>IFERROR(AVERAGE(INDEX(benchmark!L:L, (ROW()-2)*$B11+2):INDEX(benchmark!L:L, (ROW()-2)*$B11 + $B11+1)), "")</f>
        <v/>
      </c>
      <c r="M11" t="str">
        <f>IFERROR(AVERAGE(INDEX(benchmark!M:M, (ROW()-2)*$B11+2):INDEX(benchmark!M:M, (ROW()-2)*$B11 + $B11+1)), "")</f>
        <v/>
      </c>
      <c r="N11" t="str">
        <f>IFERROR(AVERAGE(INDEX(benchmark!N:N, (ROW()-2)*$B11+2):INDEX(benchmark!N:N, (ROW()-2)*$B11 + $B11+1)), "")</f>
        <v/>
      </c>
      <c r="O11" t="str">
        <f>IFERROR(AVERAGE(INDEX(benchmark!O:O, (ROW()-2)*$B11+2):INDEX(benchmark!O:O, (ROW()-2)*$B11 + $B11+1)), "")</f>
        <v/>
      </c>
      <c r="P11" t="str">
        <f>IFERROR(AVERAGE(INDEX(benchmark!P:P, (ROW()-2)*$B11+2):INDEX(benchmark!P:P, (ROW()-2)*$B11 + $B11+1)), "")</f>
        <v/>
      </c>
      <c r="Q11" t="str">
        <f>IFERROR(AVERAGE(INDEX(benchmark!Q:Q, (ROW()-2)*$B11+2):INDEX(benchmark!Q:Q, (ROW()-2)*$B11 + $B11+1)), "")</f>
        <v/>
      </c>
      <c r="R11" t="str">
        <f>IFERROR(AVERAGE(INDEX(benchmark!R:R, (ROW()-2)*$B11+2):INDEX(benchmark!R:R, (ROW()-2)*$B11 + $B11+1)), "")</f>
        <v/>
      </c>
      <c r="S11" t="str">
        <f>IFERROR(AVERAGE(INDEX(benchmark!S:S, (ROW()-2)*$B11+2):INDEX(benchmark!S:S, (ROW()-2)*$B11 + $B11+1)), "")</f>
        <v/>
      </c>
      <c r="T11" t="str">
        <f>IFERROR(AVERAGE(INDEX(benchmark!T:T, (ROW()-2)*$B11+2):INDEX(benchmark!T:T, (ROW()-2)*$B11 + $B11+1)), "")</f>
        <v/>
      </c>
      <c r="U11" t="str">
        <f>IFERROR(AVERAGE(INDEX(benchmark!U:U, (ROW()-2)*$B11+2):INDEX(benchmark!U:U, (ROW()-2)*$B11 + $B11+1)), "")</f>
        <v/>
      </c>
      <c r="V11" t="str">
        <f>IFERROR(AVERAGE(INDEX(benchmark!V:V, (ROW()-2)*$B11+2):INDEX(benchmark!V:V, (ROW()-2)*$B11 + $B11+1)), "")</f>
        <v/>
      </c>
      <c r="W11">
        <f>IFERROR(AVERAGE(INDEX(benchmark!W:W, (ROW()-2)*$B11+2):INDEX(benchmark!W:W, (ROW()-2)*$B11 + $B11+1)), "")</f>
        <v>0.19040000000000004</v>
      </c>
      <c r="X11">
        <f>IFERROR(AVERAGE(INDEX(benchmark!X:X, (ROW()-2)*$B11+2):INDEX(benchmark!X:X, (ROW()-2)*$B11 + $B11+1)), "")</f>
        <v>2.5000000000000001E-2</v>
      </c>
      <c r="Y11">
        <f>IFERROR(AVERAGE(INDEX(benchmark!Y:Y, (ROW()-2)*$B11+2):INDEX(benchmark!Y:Y, (ROW()-2)*$B11 + $B11+1)), "")</f>
        <v>7.03125E-2</v>
      </c>
      <c r="Z11">
        <f>IFERROR(AVERAGE(INDEX(benchmark!Z:Z, (ROW()-2)*$B11+2):INDEX(benchmark!Z:Z, (ROW()-2)*$B11 + $B11+1)), "")</f>
        <v>9.5312499999999994E-2</v>
      </c>
      <c r="AA11">
        <f>IFERROR(AVERAGE(INDEX(benchmark!AA:AA, (ROW()-2)*$B11+2):INDEX(benchmark!AA:AA, (ROW()-2)*$B11 + $B11+1)), "")</f>
        <v>3.280000000000001E-2</v>
      </c>
      <c r="AB11">
        <f>IFERROR(AVERAGE(INDEX(benchmark!AB:AB, (ROW()-2)*$B11+2):INDEX(benchmark!AB:AB, (ROW()-2)*$B11 + $B11+1)), "")</f>
        <v>6.2500000000000003E-3</v>
      </c>
      <c r="AC11">
        <f>IFERROR(AVERAGE(INDEX(benchmark!AC:AC, (ROW()-2)*$B11+2):INDEX(benchmark!AC:AC, (ROW()-2)*$B11 + $B11+1)), "")</f>
        <v>9.3749999999999997E-3</v>
      </c>
      <c r="AD11">
        <f>IFERROR(AVERAGE(INDEX(benchmark!AD:AD, (ROW()-2)*$B11+2):INDEX(benchmark!AD:AD, (ROW()-2)*$B11 + $B11+1)), "")</f>
        <v>1.5625E-2</v>
      </c>
      <c r="AE11">
        <f>IFERROR(AVERAGE(INDEX(benchmark!AE:AE, (ROW()-2)*$B11+2):INDEX(benchmark!AE:AE, (ROW()-2)*$B11 + $B11+1)), "")</f>
        <v>29729</v>
      </c>
      <c r="AF11">
        <f>IFERROR(AVERAGE(INDEX(benchmark!AF:AF, (ROW()-2)*$B11+2):INDEX(benchmark!AF:AF, (ROW()-2)*$B11 + $B11+1)), "")</f>
        <v>73</v>
      </c>
      <c r="AG11">
        <f>IFERROR(AVERAGE(INDEX(benchmark!AG:AG, (ROW()-2)*$B11+2):INDEX(benchmark!AG:AG, (ROW()-2)*$B11 + $B11+1)), "")</f>
        <v>29766</v>
      </c>
      <c r="AH11">
        <f>IFERROR(AVERAGE(INDEX(benchmark!AH:AH, (ROW()-2)*$B11+2):INDEX(benchmark!AH:AH, (ROW()-2)*$B11 + $B11+1)), "")</f>
        <v>80</v>
      </c>
      <c r="AI11">
        <f>IFERROR(AVERAGE(INDEX(benchmark!AI:AI, (ROW()-2)*$B11+2):INDEX(benchmark!AI:AI, (ROW()-2)*$B11 + $B11+1)), "")</f>
        <v>1.4263773148148149E-2</v>
      </c>
      <c r="AJ11">
        <f>IFERROR(AVERAGE(INDEX(benchmark!AJ:AJ, (ROW()-2)*$B11+2):INDEX(benchmark!AJ:AJ, (ROW()-2)*$B11 + $B11+1)), "")</f>
        <v>1.4267511574074073E-2</v>
      </c>
      <c r="AK11" cm="1">
        <f t="array" ref="AK11">IFERROR(AVERAGE(INDEX(benchmark!W:W, (ROW()-2)*$B11+2):INDEX(benchmark!W:W, (ROW()-2)*$B11 + $B11+1) + INDEX(benchmark!AA:AA, (ROW()-2)*$B11+2):INDEX(benchmark!AA:AA, (ROW()-2)*$B11 + $B11+1)), "")</f>
        <v>0.22320000000000001</v>
      </c>
      <c r="AL11" cm="1">
        <f t="array" ref="AL11">IFERROR(MIN(INDEX(benchmark!W:W, (ROW()-2)*$B11+2):INDEX(benchmark!W:W, (ROW()-2)*$B11 + $B11+1) + INDEX(benchmark!AA:AA, (ROW()-2)*$B11+2):INDEX(benchmark!AA:AA, (ROW()-2)*$B11 + $B11+1)), "")</f>
        <v>0.20300000000000001</v>
      </c>
      <c r="AM11" cm="1">
        <f t="array" ref="AM11">IFERROR(MAX(INDEX(benchmark!W:W, (ROW()-2)*$B11+2):INDEX(benchmark!W:W, (ROW()-2)*$B11 + $B11+1) + INDEX(benchmark!AA:AA, (ROW()-2)*$B11+2):INDEX(benchmark!AA:AA, (ROW()-2)*$B11 + $B11+1)), "")</f>
        <v>0.26600000000000001</v>
      </c>
      <c r="AN11" cm="1">
        <f t="array" ref="AN11">IFERROR(AVERAGE(MOD(VALUE(INDEX(benchmark!AJ:AJ, (ROW()-2)*$B11+2):INDEX(benchmark!AJ:AJ, (ROW()-2)*$B11 + $B11+1)) - VALUE(INDEX(benchmark!AI:AI, (ROW()-2)*$B11+2):INDEX(benchmark!AI:AI, (ROW()-2)*$B11 + $B11+1)), 1) * 86400), "")</f>
        <v>0.32299999999997275</v>
      </c>
      <c r="AO11" cm="1">
        <f t="array" ref="AO11">IFERROR(MIN(MOD(VALUE(INDEX(benchmark!AJ:AJ, (ROW()-2)*$B11+2):INDEX(benchmark!AJ:AJ, (ROW()-2)*$B11 + $B11+1)) - VALUE(INDEX(benchmark!AI:AI, (ROW()-2)*$B11+2):INDEX(benchmark!AI:AI, (ROW()-2)*$B11 + $B11+1)), 1) * 86400), "")</f>
        <v>0.29999999999986704</v>
      </c>
      <c r="AP11" cm="1">
        <f t="array" ref="AP11">IFERROR(MAX(MOD(VALUE(INDEX(benchmark!AJ:AJ, (ROW()-2)*$B11+2):INDEX(benchmark!AJ:AJ, (ROW()-2)*$B11 + $B11+1)) - VALUE(INDEX(benchmark!AI:AI, (ROW()-2)*$B11+2):INDEX(benchmark!AI:AI, (ROW()-2)*$B11 + $B11+1)), 1) * 86400), "")</f>
        <v>0.35999999999996035</v>
      </c>
      <c r="AQ11" t="str">
        <f>IFERROR(AVERAGE(INDEX(benchmark!S:S, (ROW()-2)*$B11+2):INDEX(benchmark!S:S, (ROW()-2)*$B11 + $B11+1)), "")</f>
        <v/>
      </c>
      <c r="AR11">
        <f>IFERROR(MIN(INDEX(benchmark!S:S, (ROW()-2)*$B11+2):INDEX(benchmark!S:S, (ROW()-2)*$B11 + $B11+1)), "")</f>
        <v>0</v>
      </c>
      <c r="AS11">
        <f>IFERROR(MAX(INDEX(benchmark!S:S, (ROW()-2)*$B11+2):INDEX(benchmark!S:S, (ROW()-2)*$B11 + $B11+1)), "")</f>
        <v>0</v>
      </c>
    </row>
    <row r="12" spans="1:45" x14ac:dyDescent="0.25">
      <c r="A12" t="str" cm="1">
        <f t="array" ref="A12">INDEX(benchmark!A:A, (ROW()-2)*$B12+2)</f>
        <v>grasp-knitro</v>
      </c>
      <c r="B12">
        <f>COUNTIF(benchmark!A:A, benchmark!A12)</f>
        <v>10</v>
      </c>
      <c r="C12" t="str" cm="1">
        <f t="array" ref="C12">INDEX(benchmark!C:C, (ROW()-2)*$B12+2)</f>
        <v>Knitro</v>
      </c>
      <c r="D12" t="str" cm="1">
        <f t="array" ref="D12">INDEX(benchmark!D:D, (ROW()-2)*$B12+2)</f>
        <v>14.2.0</v>
      </c>
      <c r="E12" t="str" cm="1">
        <f t="array" ref="E12">INDEX(benchmark!E:E, (ROW()-2)*$B12+2)</f>
        <v>solved</v>
      </c>
      <c r="F12">
        <f>IFERROR(AVERAGE(INDEX(benchmark!F:F, (ROW()-2)*$B12+2):INDEX(benchmark!F:F, (ROW()-2)*$B12 + $B12+1)), "")</f>
        <v>0</v>
      </c>
      <c r="G12">
        <f>IFERROR(AVERAGE(INDEX(benchmark!G:G, (ROW()-2)*$B12+2):INDEX(benchmark!G:G, (ROW()-2)*$B12 + $B12+1)), "")</f>
        <v>34</v>
      </c>
      <c r="H12" t="str">
        <f>IFERROR(AVERAGE(INDEX(benchmark!H:H, (ROW()-2)*$B12+2):INDEX(benchmark!H:H, (ROW()-2)*$B12 + $B12+1)), "")</f>
        <v/>
      </c>
      <c r="I12" t="str">
        <f>IFERROR(AVERAGE(INDEX(benchmark!I:I, (ROW()-2)*$B12+2):INDEX(benchmark!I:I, (ROW()-2)*$B12 + $B12+1)), "")</f>
        <v/>
      </c>
      <c r="J12" t="str">
        <f>IFERROR(AVERAGE(INDEX(benchmark!J:J, (ROW()-2)*$B12+2):INDEX(benchmark!J:J, (ROW()-2)*$B12 + $B12+1)), "")</f>
        <v/>
      </c>
      <c r="K12" t="str">
        <f>IFERROR(AVERAGE(INDEX(benchmark!K:K, (ROW()-2)*$B12+2):INDEX(benchmark!K:K, (ROW()-2)*$B12 + $B12+1)), "")</f>
        <v/>
      </c>
      <c r="L12" t="str">
        <f>IFERROR(AVERAGE(INDEX(benchmark!L:L, (ROW()-2)*$B12+2):INDEX(benchmark!L:L, (ROW()-2)*$B12 + $B12+1)), "")</f>
        <v/>
      </c>
      <c r="M12" t="str">
        <f>IFERROR(AVERAGE(INDEX(benchmark!M:M, (ROW()-2)*$B12+2):INDEX(benchmark!M:M, (ROW()-2)*$B12 + $B12+1)), "")</f>
        <v/>
      </c>
      <c r="N12" t="str">
        <f>IFERROR(AVERAGE(INDEX(benchmark!N:N, (ROW()-2)*$B12+2):INDEX(benchmark!N:N, (ROW()-2)*$B12 + $B12+1)), "")</f>
        <v/>
      </c>
      <c r="O12" t="str">
        <f>IFERROR(AVERAGE(INDEX(benchmark!O:O, (ROW()-2)*$B12+2):INDEX(benchmark!O:O, (ROW()-2)*$B12 + $B12+1)), "")</f>
        <v/>
      </c>
      <c r="P12" t="str">
        <f>IFERROR(AVERAGE(INDEX(benchmark!P:P, (ROW()-2)*$B12+2):INDEX(benchmark!P:P, (ROW()-2)*$B12 + $B12+1)), "")</f>
        <v/>
      </c>
      <c r="Q12" t="str">
        <f>IFERROR(AVERAGE(INDEX(benchmark!Q:Q, (ROW()-2)*$B12+2):INDEX(benchmark!Q:Q, (ROW()-2)*$B12 + $B12+1)), "")</f>
        <v/>
      </c>
      <c r="R12" t="str">
        <f>IFERROR(AVERAGE(INDEX(benchmark!R:R, (ROW()-2)*$B12+2):INDEX(benchmark!R:R, (ROW()-2)*$B12 + $B12+1)), "")</f>
        <v/>
      </c>
      <c r="S12" t="str">
        <f>IFERROR(AVERAGE(INDEX(benchmark!S:S, (ROW()-2)*$B12+2):INDEX(benchmark!S:S, (ROW()-2)*$B12 + $B12+1)), "")</f>
        <v/>
      </c>
      <c r="T12" t="str">
        <f>IFERROR(AVERAGE(INDEX(benchmark!T:T, (ROW()-2)*$B12+2):INDEX(benchmark!T:T, (ROW()-2)*$B12 + $B12+1)), "")</f>
        <v/>
      </c>
      <c r="U12" t="str">
        <f>IFERROR(AVERAGE(INDEX(benchmark!U:U, (ROW()-2)*$B12+2):INDEX(benchmark!U:U, (ROW()-2)*$B12 + $B12+1)), "")</f>
        <v/>
      </c>
      <c r="V12" t="str">
        <f>IFERROR(AVERAGE(INDEX(benchmark!V:V, (ROW()-2)*$B12+2):INDEX(benchmark!V:V, (ROW()-2)*$B12 + $B12+1)), "")</f>
        <v/>
      </c>
      <c r="W12">
        <f>IFERROR(AVERAGE(INDEX(benchmark!W:W, (ROW()-2)*$B12+2):INDEX(benchmark!W:W, (ROW()-2)*$B12 + $B12+1)), "")</f>
        <v>0.189</v>
      </c>
      <c r="X12">
        <f>IFERROR(AVERAGE(INDEX(benchmark!X:X, (ROW()-2)*$B12+2):INDEX(benchmark!X:X, (ROW()-2)*$B12 + $B12+1)), "")</f>
        <v>3.4375000000000003E-2</v>
      </c>
      <c r="Y12">
        <f>IFERROR(AVERAGE(INDEX(benchmark!Y:Y, (ROW()-2)*$B12+2):INDEX(benchmark!Y:Y, (ROW()-2)*$B12 + $B12+1)), "")</f>
        <v>7.03125E-2</v>
      </c>
      <c r="Z12">
        <f>IFERROR(AVERAGE(INDEX(benchmark!Z:Z, (ROW()-2)*$B12+2):INDEX(benchmark!Z:Z, (ROW()-2)*$B12 + $B12+1)), "")</f>
        <v>0.1046875</v>
      </c>
      <c r="AA12">
        <f>IFERROR(AVERAGE(INDEX(benchmark!AA:AA, (ROW()-2)*$B12+2):INDEX(benchmark!AA:AA, (ROW()-2)*$B12 + $B12+1)), "")</f>
        <v>9.2099999999999987E-2</v>
      </c>
      <c r="AB12">
        <f>IFERROR(AVERAGE(INDEX(benchmark!AB:AB, (ROW()-2)*$B12+2):INDEX(benchmark!AB:AB, (ROW()-2)*$B12 + $B12+1)), "")</f>
        <v>7.1874999999999994E-2</v>
      </c>
      <c r="AC12">
        <f>IFERROR(AVERAGE(INDEX(benchmark!AC:AC, (ROW()-2)*$B12+2):INDEX(benchmark!AC:AC, (ROW()-2)*$B12 + $B12+1)), "")</f>
        <v>0.1171875</v>
      </c>
      <c r="AD12">
        <f>IFERROR(AVERAGE(INDEX(benchmark!AD:AD, (ROW()-2)*$B12+2):INDEX(benchmark!AD:AD, (ROW()-2)*$B12 + $B12+1)), "")</f>
        <v>0.18906249999999999</v>
      </c>
      <c r="AE12">
        <f>IFERROR(AVERAGE(INDEX(benchmark!AE:AE, (ROW()-2)*$B12+2):INDEX(benchmark!AE:AE, (ROW()-2)*$B12 + $B12+1)), "")</f>
        <v>29729</v>
      </c>
      <c r="AF12">
        <f>IFERROR(AVERAGE(INDEX(benchmark!AF:AF, (ROW()-2)*$B12+2):INDEX(benchmark!AF:AF, (ROW()-2)*$B12 + $B12+1)), "")</f>
        <v>73</v>
      </c>
      <c r="AG12">
        <f>IFERROR(AVERAGE(INDEX(benchmark!AG:AG, (ROW()-2)*$B12+2):INDEX(benchmark!AG:AG, (ROW()-2)*$B12 + $B12+1)), "")</f>
        <v>29766</v>
      </c>
      <c r="AH12">
        <f>IFERROR(AVERAGE(INDEX(benchmark!AH:AH, (ROW()-2)*$B12+2):INDEX(benchmark!AH:AH, (ROW()-2)*$B12 + $B12+1)), "")</f>
        <v>80</v>
      </c>
      <c r="AI12">
        <f>IFERROR(AVERAGE(INDEX(benchmark!AI:AI, (ROW()-2)*$B12+2):INDEX(benchmark!AI:AI, (ROW()-2)*$B12 + $B12+1)), "")</f>
        <v>1.4323402777777777E-2</v>
      </c>
      <c r="AJ12">
        <f>IFERROR(AVERAGE(INDEX(benchmark!AJ:AJ, (ROW()-2)*$B12+2):INDEX(benchmark!AJ:AJ, (ROW()-2)*$B12 + $B12+1)), "")</f>
        <v>1.4327800925925926E-2</v>
      </c>
      <c r="AK12" cm="1">
        <f t="array" ref="AK12">IFERROR(AVERAGE(INDEX(benchmark!W:W, (ROW()-2)*$B12+2):INDEX(benchmark!W:W, (ROW()-2)*$B12 + $B12+1) + INDEX(benchmark!AA:AA, (ROW()-2)*$B12+2):INDEX(benchmark!AA:AA, (ROW()-2)*$B12 + $B12+1)), "")</f>
        <v>0.28110000000000002</v>
      </c>
      <c r="AL12" cm="1">
        <f t="array" ref="AL12">IFERROR(MIN(INDEX(benchmark!W:W, (ROW()-2)*$B12+2):INDEX(benchmark!W:W, (ROW()-2)*$B12 + $B12+1) + INDEX(benchmark!AA:AA, (ROW()-2)*$B12+2):INDEX(benchmark!AA:AA, (ROW()-2)*$B12 + $B12+1)), "")</f>
        <v>0.25</v>
      </c>
      <c r="AM12" cm="1">
        <f t="array" ref="AM12">IFERROR(MAX(INDEX(benchmark!W:W, (ROW()-2)*$B12+2):INDEX(benchmark!W:W, (ROW()-2)*$B12 + $B12+1) + INDEX(benchmark!AA:AA, (ROW()-2)*$B12+2):INDEX(benchmark!AA:AA, (ROW()-2)*$B12 + $B12+1)), "")</f>
        <v>0.36</v>
      </c>
      <c r="AN12" cm="1">
        <f t="array" ref="AN12">IFERROR(AVERAGE(MOD(VALUE(INDEX(benchmark!AJ:AJ, (ROW()-2)*$B12+2):INDEX(benchmark!AJ:AJ, (ROW()-2)*$B12 + $B12+1)) - VALUE(INDEX(benchmark!AI:AI, (ROW()-2)*$B12+2):INDEX(benchmark!AI:AI, (ROW()-2)*$B12 + $B12+1)), 1) * 86400), "")</f>
        <v>0.3800000000000015</v>
      </c>
      <c r="AO12" cm="1">
        <f t="array" ref="AO12">IFERROR(MIN(MOD(VALUE(INDEX(benchmark!AJ:AJ, (ROW()-2)*$B12+2):INDEX(benchmark!AJ:AJ, (ROW()-2)*$B12 + $B12+1)) - VALUE(INDEX(benchmark!AI:AI, (ROW()-2)*$B12+2):INDEX(benchmark!AI:AI, (ROW()-2)*$B12 + $B12+1)), 1) * 86400), "")</f>
        <v>0.33999999999997921</v>
      </c>
      <c r="AP12" cm="1">
        <f t="array" ref="AP12">IFERROR(MAX(MOD(VALUE(INDEX(benchmark!AJ:AJ, (ROW()-2)*$B12+2):INDEX(benchmark!AJ:AJ, (ROW()-2)*$B12 + $B12+1)) - VALUE(INDEX(benchmark!AI:AI, (ROW()-2)*$B12+2):INDEX(benchmark!AI:AI, (ROW()-2)*$B12 + $B12+1)), 1) * 86400), "")</f>
        <v>0.45000000000010032</v>
      </c>
      <c r="AQ12" t="str">
        <f>IFERROR(AVERAGE(INDEX(benchmark!S:S, (ROW()-2)*$B12+2):INDEX(benchmark!S:S, (ROW()-2)*$B12 + $B12+1)), "")</f>
        <v/>
      </c>
      <c r="AR12">
        <f>IFERROR(MIN(INDEX(benchmark!S:S, (ROW()-2)*$B12+2):INDEX(benchmark!S:S, (ROW()-2)*$B12 + $B12+1)), "")</f>
        <v>0</v>
      </c>
      <c r="AS12">
        <f>IFERROR(MAX(INDEX(benchmark!S:S, (ROW()-2)*$B12+2):INDEX(benchmark!S:S, (ROW()-2)*$B12 + $B12+1)), "")</f>
        <v>0</v>
      </c>
    </row>
    <row r="13" spans="1:45" x14ac:dyDescent="0.25">
      <c r="A13" t="str" cm="1">
        <f t="array" ref="A13">INDEX(benchmark!A:A, (ROW()-2)*$B13+2)</f>
        <v>grasp-raposa</v>
      </c>
      <c r="B13">
        <f>COUNTIF(benchmark!A:A, benchmark!A13)</f>
        <v>10</v>
      </c>
      <c r="C13" t="str" cm="1">
        <f t="array" ref="C13">INDEX(benchmark!C:C, (ROW()-2)*$B13+2)</f>
        <v>RAPOSa</v>
      </c>
      <c r="D13" t="str" cm="1">
        <f t="array" ref="D13">INDEX(benchmark!D:D, (ROW()-2)*$B13+2)</f>
        <v>v4.4.1</v>
      </c>
      <c r="E13" t="str" cm="1">
        <f t="array" ref="E13">INDEX(benchmark!E:E, (ROW()-2)*$B13+2)</f>
        <v>solved?</v>
      </c>
      <c r="F13">
        <f>IFERROR(AVERAGE(INDEX(benchmark!F:F, (ROW()-2)*$B13+2):INDEX(benchmark!F:F, (ROW()-2)*$B13 + $B13+1)), "")</f>
        <v>101</v>
      </c>
      <c r="G13">
        <f>IFERROR(AVERAGE(INDEX(benchmark!G:G, (ROW()-2)*$B13+2):INDEX(benchmark!G:G, (ROW()-2)*$B13 + $B13+1)), "")</f>
        <v>4</v>
      </c>
      <c r="H13" t="str">
        <f>IFERROR(AVERAGE(INDEX(benchmark!H:H, (ROW()-2)*$B13+2):INDEX(benchmark!H:H, (ROW()-2)*$B13 + $B13+1)), "")</f>
        <v/>
      </c>
      <c r="I13" t="str">
        <f>IFERROR(AVERAGE(INDEX(benchmark!I:I, (ROW()-2)*$B13+2):INDEX(benchmark!I:I, (ROW()-2)*$B13 + $B13+1)), "")</f>
        <v/>
      </c>
      <c r="J13" t="str">
        <f>IFERROR(AVERAGE(INDEX(benchmark!J:J, (ROW()-2)*$B13+2):INDEX(benchmark!J:J, (ROW()-2)*$B13 + $B13+1)), "")</f>
        <v/>
      </c>
      <c r="K13" t="str">
        <f>IFERROR(AVERAGE(INDEX(benchmark!K:K, (ROW()-2)*$B13+2):INDEX(benchmark!K:K, (ROW()-2)*$B13 + $B13+1)), "")</f>
        <v/>
      </c>
      <c r="L13" t="str">
        <f>IFERROR(AVERAGE(INDEX(benchmark!L:L, (ROW()-2)*$B13+2):INDEX(benchmark!L:L, (ROW()-2)*$B13 + $B13+1)), "")</f>
        <v/>
      </c>
      <c r="M13" t="str">
        <f>IFERROR(AVERAGE(INDEX(benchmark!M:M, (ROW()-2)*$B13+2):INDEX(benchmark!M:M, (ROW()-2)*$B13 + $B13+1)), "")</f>
        <v/>
      </c>
      <c r="N13" t="str">
        <f>IFERROR(AVERAGE(INDEX(benchmark!N:N, (ROW()-2)*$B13+2):INDEX(benchmark!N:N, (ROW()-2)*$B13 + $B13+1)), "")</f>
        <v/>
      </c>
      <c r="O13" t="str">
        <f>IFERROR(AVERAGE(INDEX(benchmark!O:O, (ROW()-2)*$B13+2):INDEX(benchmark!O:O, (ROW()-2)*$B13 + $B13+1)), "")</f>
        <v/>
      </c>
      <c r="P13" t="str">
        <f>IFERROR(AVERAGE(INDEX(benchmark!P:P, (ROW()-2)*$B13+2):INDEX(benchmark!P:P, (ROW()-2)*$B13 + $B13+1)), "")</f>
        <v/>
      </c>
      <c r="Q13" t="str">
        <f>IFERROR(AVERAGE(INDEX(benchmark!Q:Q, (ROW()-2)*$B13+2):INDEX(benchmark!Q:Q, (ROW()-2)*$B13 + $B13+1)), "")</f>
        <v/>
      </c>
      <c r="R13" t="str">
        <f>IFERROR(AVERAGE(INDEX(benchmark!R:R, (ROW()-2)*$B13+2):INDEX(benchmark!R:R, (ROW()-2)*$B13 + $B13+1)), "")</f>
        <v/>
      </c>
      <c r="S13" t="str">
        <f>IFERROR(AVERAGE(INDEX(benchmark!S:S, (ROW()-2)*$B13+2):INDEX(benchmark!S:S, (ROW()-2)*$B13 + $B13+1)), "")</f>
        <v/>
      </c>
      <c r="T13" t="str">
        <f>IFERROR(AVERAGE(INDEX(benchmark!T:T, (ROW()-2)*$B13+2):INDEX(benchmark!T:T, (ROW()-2)*$B13 + $B13+1)), "")</f>
        <v/>
      </c>
      <c r="U13" t="str">
        <f>IFERROR(AVERAGE(INDEX(benchmark!U:U, (ROW()-2)*$B13+2):INDEX(benchmark!U:U, (ROW()-2)*$B13 + $B13+1)), "")</f>
        <v/>
      </c>
      <c r="V13" t="str">
        <f>IFERROR(AVERAGE(INDEX(benchmark!V:V, (ROW()-2)*$B13+2):INDEX(benchmark!V:V, (ROW()-2)*$B13 + $B13+1)), "")</f>
        <v/>
      </c>
      <c r="W13">
        <f>IFERROR(AVERAGE(INDEX(benchmark!W:W, (ROW()-2)*$B13+2):INDEX(benchmark!W:W, (ROW()-2)*$B13 + $B13+1)), "")</f>
        <v>0.1920999999999998</v>
      </c>
      <c r="X13">
        <f>IFERROR(AVERAGE(INDEX(benchmark!X:X, (ROW()-2)*$B13+2):INDEX(benchmark!X:X, (ROW()-2)*$B13 + $B13+1)), "")</f>
        <v>3.2812500000000001E-2</v>
      </c>
      <c r="Y13">
        <f>IFERROR(AVERAGE(INDEX(benchmark!Y:Y, (ROW()-2)*$B13+2):INDEX(benchmark!Y:Y, (ROW()-2)*$B13 + $B13+1)), "")</f>
        <v>5.9374999999999997E-2</v>
      </c>
      <c r="Z13">
        <f>IFERROR(AVERAGE(INDEX(benchmark!Z:Z, (ROW()-2)*$B13+2):INDEX(benchmark!Z:Z, (ROW()-2)*$B13 + $B13+1)), "")</f>
        <v>9.2187500000000006E-2</v>
      </c>
      <c r="AA13">
        <f>IFERROR(AVERAGE(INDEX(benchmark!AA:AA, (ROW()-2)*$B13+2):INDEX(benchmark!AA:AA, (ROW()-2)*$B13 + $B13+1)), "")</f>
        <v>2.1470000000000002</v>
      </c>
      <c r="AB13">
        <f>IFERROR(AVERAGE(INDEX(benchmark!AB:AB, (ROW()-2)*$B13+2):INDEX(benchmark!AB:AB, (ROW()-2)*$B13 + $B13+1)), "")</f>
        <v>0.27031250000000001</v>
      </c>
      <c r="AC13">
        <f>IFERROR(AVERAGE(INDEX(benchmark!AC:AC, (ROW()-2)*$B13+2):INDEX(benchmark!AC:AC, (ROW()-2)*$B13 + $B13+1)), "")</f>
        <v>0.49843749999999998</v>
      </c>
      <c r="AD13">
        <f>IFERROR(AVERAGE(INDEX(benchmark!AD:AD, (ROW()-2)*$B13+2):INDEX(benchmark!AD:AD, (ROW()-2)*$B13 + $B13+1)), "")</f>
        <v>0.76875000000000004</v>
      </c>
      <c r="AE13">
        <f>IFERROR(AVERAGE(INDEX(benchmark!AE:AE, (ROW()-2)*$B13+2):INDEX(benchmark!AE:AE, (ROW()-2)*$B13 + $B13+1)), "")</f>
        <v>29729</v>
      </c>
      <c r="AF13">
        <f>IFERROR(AVERAGE(INDEX(benchmark!AF:AF, (ROW()-2)*$B13+2):INDEX(benchmark!AF:AF, (ROW()-2)*$B13 + $B13+1)), "")</f>
        <v>73</v>
      </c>
      <c r="AG13">
        <f>IFERROR(AVERAGE(INDEX(benchmark!AG:AG, (ROW()-2)*$B13+2):INDEX(benchmark!AG:AG, (ROW()-2)*$B13 + $B13+1)), "")</f>
        <v>29766</v>
      </c>
      <c r="AH13">
        <f>IFERROR(AVERAGE(INDEX(benchmark!AH:AH, (ROW()-2)*$B13+2):INDEX(benchmark!AH:AH, (ROW()-2)*$B13 + $B13+1)), "")</f>
        <v>80</v>
      </c>
      <c r="AI13">
        <f>IFERROR(AVERAGE(INDEX(benchmark!AI:AI, (ROW()-2)*$B13+2):INDEX(benchmark!AI:AI, (ROW()-2)*$B13 + $B13+1)), "")</f>
        <v>1.4496203703703706E-2</v>
      </c>
      <c r="AJ13">
        <f>IFERROR(AVERAGE(INDEX(benchmark!AJ:AJ, (ROW()-2)*$B13+2):INDEX(benchmark!AJ:AJ, (ROW()-2)*$B13 + $B13+1)), "")</f>
        <v>1.4524502314814813E-2</v>
      </c>
      <c r="AK13" cm="1">
        <f t="array" ref="AK13">IFERROR(AVERAGE(INDEX(benchmark!W:W, (ROW()-2)*$B13+2):INDEX(benchmark!W:W, (ROW()-2)*$B13 + $B13+1) + INDEX(benchmark!AA:AA, (ROW()-2)*$B13+2):INDEX(benchmark!AA:AA, (ROW()-2)*$B13 + $B13+1)), "")</f>
        <v>2.3390999999999997</v>
      </c>
      <c r="AL13" cm="1">
        <f t="array" ref="AL13">IFERROR(MIN(INDEX(benchmark!W:W, (ROW()-2)*$B13+2):INDEX(benchmark!W:W, (ROW()-2)*$B13 + $B13+1) + INDEX(benchmark!AA:AA, (ROW()-2)*$B13+2):INDEX(benchmark!AA:AA, (ROW()-2)*$B13 + $B13+1)), "")</f>
        <v>2.2349999999999999</v>
      </c>
      <c r="AM13" cm="1">
        <f t="array" ref="AM13">IFERROR(MAX(INDEX(benchmark!W:W, (ROW()-2)*$B13+2):INDEX(benchmark!W:W, (ROW()-2)*$B13 + $B13+1) + INDEX(benchmark!AA:AA, (ROW()-2)*$B13+2):INDEX(benchmark!AA:AA, (ROW()-2)*$B13 + $B13+1)), "")</f>
        <v>2.625</v>
      </c>
      <c r="AN13" cm="1">
        <f t="array" ref="AN13">IFERROR(AVERAGE(MOD(VALUE(INDEX(benchmark!AJ:AJ, (ROW()-2)*$B13+2):INDEX(benchmark!AJ:AJ, (ROW()-2)*$B13 + $B13+1)) - VALUE(INDEX(benchmark!AI:AI, (ROW()-2)*$B13+2):INDEX(benchmark!AI:AI, (ROW()-2)*$B13 + $B13+1)), 1) * 86400), "")</f>
        <v>2.4449999999999958</v>
      </c>
      <c r="AO13" cm="1">
        <f t="array" ref="AO13">IFERROR(MIN(MOD(VALUE(INDEX(benchmark!AJ:AJ, (ROW()-2)*$B13+2):INDEX(benchmark!AJ:AJ, (ROW()-2)*$B13 + $B13+1)) - VALUE(INDEX(benchmark!AI:AI, (ROW()-2)*$B13+2):INDEX(benchmark!AI:AI, (ROW()-2)*$B13 + $B13+1)), 1) * 86400), "")</f>
        <v>2.3299999999999765</v>
      </c>
      <c r="AP13" cm="1">
        <f t="array" ref="AP13">IFERROR(MAX(MOD(VALUE(INDEX(benchmark!AJ:AJ, (ROW()-2)*$B13+2):INDEX(benchmark!AJ:AJ, (ROW()-2)*$B13 + $B13+1)) - VALUE(INDEX(benchmark!AI:AI, (ROW()-2)*$B13+2):INDEX(benchmark!AI:AI, (ROW()-2)*$B13 + $B13+1)), 1) * 86400), "")</f>
        <v>2.7399999999999647</v>
      </c>
      <c r="AQ13" t="str">
        <f>IFERROR(AVERAGE(INDEX(benchmark!S:S, (ROW()-2)*$B13+2):INDEX(benchmark!S:S, (ROW()-2)*$B13 + $B13+1)), "")</f>
        <v/>
      </c>
      <c r="AR13">
        <f>IFERROR(MIN(INDEX(benchmark!S:S, (ROW()-2)*$B13+2):INDEX(benchmark!S:S, (ROW()-2)*$B13 + $B13+1)), "")</f>
        <v>0</v>
      </c>
      <c r="AS13">
        <f>IFERROR(MAX(INDEX(benchmark!S:S, (ROW()-2)*$B13+2):INDEX(benchmark!S:S, (ROW()-2)*$B13 + $B13+1)), "")</f>
        <v>0</v>
      </c>
    </row>
    <row r="14" spans="1:45" x14ac:dyDescent="0.25">
      <c r="A14" t="str" cm="1">
        <f t="array" ref="A14">INDEX(benchmark!A:A, (ROW()-2)*$B14+2)</f>
        <v>grasp-scip</v>
      </c>
      <c r="B14">
        <f>COUNTIF(benchmark!A:A, benchmark!A14)</f>
        <v>10</v>
      </c>
      <c r="C14" t="str" cm="1">
        <f t="array" ref="C14">INDEX(benchmark!C:C, (ROW()-2)*$B14+2)</f>
        <v>SCIP</v>
      </c>
      <c r="D14" t="str" cm="1">
        <f t="array" ref="D14">INDEX(benchmark!D:D, (ROW()-2)*$B14+2)</f>
        <v>9.2.2</v>
      </c>
      <c r="E14" t="str" cm="1">
        <f t="array" ref="E14">INDEX(benchmark!E:E, (ROW()-2)*$B14+2)</f>
        <v>solved</v>
      </c>
      <c r="F14">
        <f>IFERROR(AVERAGE(INDEX(benchmark!F:F, (ROW()-2)*$B14+2):INDEX(benchmark!F:F, (ROW()-2)*$B14 + $B14+1)), "")</f>
        <v>0</v>
      </c>
      <c r="G14">
        <f>IFERROR(AVERAGE(INDEX(benchmark!G:G, (ROW()-2)*$B14+2):INDEX(benchmark!G:G, (ROW()-2)*$B14 + $B14+1)), "")</f>
        <v>4</v>
      </c>
      <c r="H14" t="str">
        <f>IFERROR(AVERAGE(INDEX(benchmark!H:H, (ROW()-2)*$B14+2):INDEX(benchmark!H:H, (ROW()-2)*$B14 + $B14+1)), "")</f>
        <v/>
      </c>
      <c r="I14" t="str">
        <f>IFERROR(AVERAGE(INDEX(benchmark!I:I, (ROW()-2)*$B14+2):INDEX(benchmark!I:I, (ROW()-2)*$B14 + $B14+1)), "")</f>
        <v/>
      </c>
      <c r="J14" t="str">
        <f>IFERROR(AVERAGE(INDEX(benchmark!J:J, (ROW()-2)*$B14+2):INDEX(benchmark!J:J, (ROW()-2)*$B14 + $B14+1)), "")</f>
        <v/>
      </c>
      <c r="K14" t="str">
        <f>IFERROR(AVERAGE(INDEX(benchmark!K:K, (ROW()-2)*$B14+2):INDEX(benchmark!K:K, (ROW()-2)*$B14 + $B14+1)), "")</f>
        <v/>
      </c>
      <c r="L14" t="str">
        <f>IFERROR(AVERAGE(INDEX(benchmark!L:L, (ROW()-2)*$B14+2):INDEX(benchmark!L:L, (ROW()-2)*$B14 + $B14+1)), "")</f>
        <v/>
      </c>
      <c r="M14" t="str">
        <f>IFERROR(AVERAGE(INDEX(benchmark!M:M, (ROW()-2)*$B14+2):INDEX(benchmark!M:M, (ROW()-2)*$B14 + $B14+1)), "")</f>
        <v/>
      </c>
      <c r="N14" t="str">
        <f>IFERROR(AVERAGE(INDEX(benchmark!N:N, (ROW()-2)*$B14+2):INDEX(benchmark!N:N, (ROW()-2)*$B14 + $B14+1)), "")</f>
        <v/>
      </c>
      <c r="O14" t="str">
        <f>IFERROR(AVERAGE(INDEX(benchmark!O:O, (ROW()-2)*$B14+2):INDEX(benchmark!O:O, (ROW()-2)*$B14 + $B14+1)), "")</f>
        <v/>
      </c>
      <c r="P14" t="str">
        <f>IFERROR(AVERAGE(INDEX(benchmark!P:P, (ROW()-2)*$B14+2):INDEX(benchmark!P:P, (ROW()-2)*$B14 + $B14+1)), "")</f>
        <v/>
      </c>
      <c r="Q14" t="str">
        <f>IFERROR(AVERAGE(INDEX(benchmark!Q:Q, (ROW()-2)*$B14+2):INDEX(benchmark!Q:Q, (ROW()-2)*$B14 + $B14+1)), "")</f>
        <v/>
      </c>
      <c r="R14" t="str">
        <f>IFERROR(AVERAGE(INDEX(benchmark!R:R, (ROW()-2)*$B14+2):INDEX(benchmark!R:R, (ROW()-2)*$B14 + $B14+1)), "")</f>
        <v/>
      </c>
      <c r="S14" t="str">
        <f>IFERROR(AVERAGE(INDEX(benchmark!S:S, (ROW()-2)*$B14+2):INDEX(benchmark!S:S, (ROW()-2)*$B14 + $B14+1)), "")</f>
        <v/>
      </c>
      <c r="T14" t="str">
        <f>IFERROR(AVERAGE(INDEX(benchmark!T:T, (ROW()-2)*$B14+2):INDEX(benchmark!T:T, (ROW()-2)*$B14 + $B14+1)), "")</f>
        <v/>
      </c>
      <c r="U14" t="str">
        <f>IFERROR(AVERAGE(INDEX(benchmark!U:U, (ROW()-2)*$B14+2):INDEX(benchmark!U:U, (ROW()-2)*$B14 + $B14+1)), "")</f>
        <v/>
      </c>
      <c r="V14" t="str">
        <f>IFERROR(AVERAGE(INDEX(benchmark!V:V, (ROW()-2)*$B14+2):INDEX(benchmark!V:V, (ROW()-2)*$B14 + $B14+1)), "")</f>
        <v/>
      </c>
      <c r="W14">
        <f>IFERROR(AVERAGE(INDEX(benchmark!W:W, (ROW()-2)*$B14+2):INDEX(benchmark!W:W, (ROW()-2)*$B14 + $B14+1)), "")</f>
        <v>0.27770000000000222</v>
      </c>
      <c r="X14">
        <f>IFERROR(AVERAGE(INDEX(benchmark!X:X, (ROW()-2)*$B14+2):INDEX(benchmark!X:X, (ROW()-2)*$B14 + $B14+1)), "")</f>
        <v>3.4375000000000003E-2</v>
      </c>
      <c r="Y14">
        <f>IFERROR(AVERAGE(INDEX(benchmark!Y:Y, (ROW()-2)*$B14+2):INDEX(benchmark!Y:Y, (ROW()-2)*$B14 + $B14+1)), "")</f>
        <v>6.4062499999999994E-2</v>
      </c>
      <c r="Z14">
        <f>IFERROR(AVERAGE(INDEX(benchmark!Z:Z, (ROW()-2)*$B14+2):INDEX(benchmark!Z:Z, (ROW()-2)*$B14 + $B14+1)), "")</f>
        <v>9.8437499999999997E-2</v>
      </c>
      <c r="AA14">
        <f>IFERROR(AVERAGE(INDEX(benchmark!AA:AA, (ROW()-2)*$B14+2):INDEX(benchmark!AA:AA, (ROW()-2)*$B14 + $B14+1)), "")</f>
        <v>39.241</v>
      </c>
      <c r="AB14">
        <f>IFERROR(AVERAGE(INDEX(benchmark!AB:AB, (ROW()-2)*$B14+2):INDEX(benchmark!AB:AB, (ROW()-2)*$B14 + $B14+1)), "")</f>
        <v>0.953125</v>
      </c>
      <c r="AC14">
        <f>IFERROR(AVERAGE(INDEX(benchmark!AC:AC, (ROW()-2)*$B14+2):INDEX(benchmark!AC:AC, (ROW()-2)*$B14 + $B14+1)), "")</f>
        <v>38.876562499999999</v>
      </c>
      <c r="AD14">
        <f>IFERROR(AVERAGE(INDEX(benchmark!AD:AD, (ROW()-2)*$B14+2):INDEX(benchmark!AD:AD, (ROW()-2)*$B14 + $B14+1)), "")</f>
        <v>39.829687499999999</v>
      </c>
      <c r="AE14">
        <f>IFERROR(AVERAGE(INDEX(benchmark!AE:AE, (ROW()-2)*$B14+2):INDEX(benchmark!AE:AE, (ROW()-2)*$B14 + $B14+1)), "")</f>
        <v>29729</v>
      </c>
      <c r="AF14">
        <f>IFERROR(AVERAGE(INDEX(benchmark!AF:AF, (ROW()-2)*$B14+2):INDEX(benchmark!AF:AF, (ROW()-2)*$B14 + $B14+1)), "")</f>
        <v>73</v>
      </c>
      <c r="AG14">
        <f>IFERROR(AVERAGE(INDEX(benchmark!AG:AG, (ROW()-2)*$B14+2):INDEX(benchmark!AG:AG, (ROW()-2)*$B14 + $B14+1)), "")</f>
        <v>29766</v>
      </c>
      <c r="AH14">
        <f>IFERROR(AVERAGE(INDEX(benchmark!AH:AH, (ROW()-2)*$B14+2):INDEX(benchmark!AH:AH, (ROW()-2)*$B14 + $B14+1)), "")</f>
        <v>80</v>
      </c>
      <c r="AI14">
        <f>IFERROR(AVERAGE(INDEX(benchmark!AI:AI, (ROW()-2)*$B14+2):INDEX(benchmark!AI:AI, (ROW()-2)*$B14 + $B14+1)), "")</f>
        <v>1.6740439814814816E-2</v>
      </c>
      <c r="AJ14">
        <f>IFERROR(AVERAGE(INDEX(benchmark!AJ:AJ, (ROW()-2)*$B14+2):INDEX(benchmark!AJ:AJ, (ROW()-2)*$B14 + $B14+1)), "")</f>
        <v>1.7198946759259259E-2</v>
      </c>
      <c r="AK14" cm="1">
        <f t="array" ref="AK14">IFERROR(AVERAGE(INDEX(benchmark!W:W, (ROW()-2)*$B14+2):INDEX(benchmark!W:W, (ROW()-2)*$B14 + $B14+1) + INDEX(benchmark!AA:AA, (ROW()-2)*$B14+2):INDEX(benchmark!AA:AA, (ROW()-2)*$B14 + $B14+1)), "")</f>
        <v>39.518700000000003</v>
      </c>
      <c r="AL14" cm="1">
        <f t="array" ref="AL14">IFERROR(MIN(INDEX(benchmark!W:W, (ROW()-2)*$B14+2):INDEX(benchmark!W:W, (ROW()-2)*$B14 + $B14+1) + INDEX(benchmark!AA:AA, (ROW()-2)*$B14+2):INDEX(benchmark!AA:AA, (ROW()-2)*$B14 + $B14+1)), "")</f>
        <v>38.734999999999999</v>
      </c>
      <c r="AM14" cm="1">
        <f t="array" ref="AM14">IFERROR(MAX(INDEX(benchmark!W:W, (ROW()-2)*$B14+2):INDEX(benchmark!W:W, (ROW()-2)*$B14 + $B14+1) + INDEX(benchmark!AA:AA, (ROW()-2)*$B14+2):INDEX(benchmark!AA:AA, (ROW()-2)*$B14 + $B14+1)), "")</f>
        <v>40.843000000000004</v>
      </c>
      <c r="AN14" cm="1">
        <f t="array" ref="AN14">IFERROR(AVERAGE(MOD(VALUE(INDEX(benchmark!AJ:AJ, (ROW()-2)*$B14+2):INDEX(benchmark!AJ:AJ, (ROW()-2)*$B14 + $B14+1)) - VALUE(INDEX(benchmark!AI:AI, (ROW()-2)*$B14+2):INDEX(benchmark!AI:AI, (ROW()-2)*$B14 + $B14+1)), 1) * 86400), "")</f>
        <v>39.614999999999988</v>
      </c>
      <c r="AO14" cm="1">
        <f t="array" ref="AO14">IFERROR(MIN(MOD(VALUE(INDEX(benchmark!AJ:AJ, (ROW()-2)*$B14+2):INDEX(benchmark!AJ:AJ, (ROW()-2)*$B14 + $B14+1)) - VALUE(INDEX(benchmark!AI:AI, (ROW()-2)*$B14+2):INDEX(benchmark!AI:AI, (ROW()-2)*$B14 + $B14+1)), 1) * 86400), "")</f>
        <v>38.809999999999754</v>
      </c>
      <c r="AP14" cm="1">
        <f t="array" ref="AP14">IFERROR(MAX(MOD(VALUE(INDEX(benchmark!AJ:AJ, (ROW()-2)*$B14+2):INDEX(benchmark!AJ:AJ, (ROW()-2)*$B14 + $B14+1)) - VALUE(INDEX(benchmark!AI:AI, (ROW()-2)*$B14+2):INDEX(benchmark!AI:AI, (ROW()-2)*$B14 + $B14+1)), 1) * 86400), "")</f>
        <v>40.949999999999989</v>
      </c>
      <c r="AQ14" t="str">
        <f>IFERROR(AVERAGE(INDEX(benchmark!S:S, (ROW()-2)*$B14+2):INDEX(benchmark!S:S, (ROW()-2)*$B14 + $B14+1)), "")</f>
        <v/>
      </c>
      <c r="AR14">
        <f>IFERROR(MIN(INDEX(benchmark!S:S, (ROW()-2)*$B14+2):INDEX(benchmark!S:S, (ROW()-2)*$B14 + $B14+1)), "")</f>
        <v>0</v>
      </c>
      <c r="AS14">
        <f>IFERROR(MAX(INDEX(benchmark!S:S, (ROW()-2)*$B14+2):INDEX(benchmark!S:S, (ROW()-2)*$B14 + $B14+1)), "")</f>
        <v>0</v>
      </c>
    </row>
    <row r="15" spans="1:45" x14ac:dyDescent="0.25">
      <c r="A15" t="str" cm="1">
        <f t="array" ref="A15">INDEX(benchmark!A:A, (ROW()-2)*$B15+2)</f>
        <v>kinematic-car-conopt</v>
      </c>
      <c r="B15">
        <f>COUNTIF(benchmark!A:A, benchmark!A15)</f>
        <v>10</v>
      </c>
      <c r="C15" t="str" cm="1">
        <f t="array" ref="C15">INDEX(benchmark!C:C, (ROW()-2)*$B15+2)</f>
        <v/>
      </c>
      <c r="D15" t="str" cm="1">
        <f t="array" ref="D15">INDEX(benchmark!D:D, (ROW()-2)*$B15+2)</f>
        <v/>
      </c>
      <c r="E15" t="str" cm="1">
        <f t="array" ref="E15">INDEX(benchmark!E:E, (ROW()-2)*$B15+2)</f>
        <v>solved?</v>
      </c>
      <c r="F15">
        <f>IFERROR(AVERAGE(INDEX(benchmark!F:F, (ROW()-2)*$B15+2):INDEX(benchmark!F:F, (ROW()-2)*$B15 + $B15+1)), "")</f>
        <v>100</v>
      </c>
      <c r="G15">
        <f>IFERROR(AVERAGE(INDEX(benchmark!G:G, (ROW()-2)*$B15+2):INDEX(benchmark!G:G, (ROW()-2)*$B15 + $B15+1)), "")</f>
        <v>1.9590243219206971</v>
      </c>
      <c r="H15" t="str">
        <f>IFERROR(AVERAGE(INDEX(benchmark!H:H, (ROW()-2)*$B15+2):INDEX(benchmark!H:H, (ROW()-2)*$B15 + $B15+1)), "")</f>
        <v/>
      </c>
      <c r="I15" t="str">
        <f>IFERROR(AVERAGE(INDEX(benchmark!I:I, (ROW()-2)*$B15+2):INDEX(benchmark!I:I, (ROW()-2)*$B15 + $B15+1)), "")</f>
        <v/>
      </c>
      <c r="J15" t="str">
        <f>IFERROR(AVERAGE(INDEX(benchmark!J:J, (ROW()-2)*$B15+2):INDEX(benchmark!J:J, (ROW()-2)*$B15 + $B15+1)), "")</f>
        <v/>
      </c>
      <c r="K15" t="str">
        <f>IFERROR(AVERAGE(INDEX(benchmark!K:K, (ROW()-2)*$B15+2):INDEX(benchmark!K:K, (ROW()-2)*$B15 + $B15+1)), "")</f>
        <v/>
      </c>
      <c r="L15" t="str">
        <f>IFERROR(AVERAGE(INDEX(benchmark!L:L, (ROW()-2)*$B15+2):INDEX(benchmark!L:L, (ROW()-2)*$B15 + $B15+1)), "")</f>
        <v/>
      </c>
      <c r="M15" t="str">
        <f>IFERROR(AVERAGE(INDEX(benchmark!M:M, (ROW()-2)*$B15+2):INDEX(benchmark!M:M, (ROW()-2)*$B15 + $B15+1)), "")</f>
        <v/>
      </c>
      <c r="N15" t="str">
        <f>IFERROR(AVERAGE(INDEX(benchmark!N:N, (ROW()-2)*$B15+2):INDEX(benchmark!N:N, (ROW()-2)*$B15 + $B15+1)), "")</f>
        <v/>
      </c>
      <c r="O15" t="str">
        <f>IFERROR(AVERAGE(INDEX(benchmark!O:O, (ROW()-2)*$B15+2):INDEX(benchmark!O:O, (ROW()-2)*$B15 + $B15+1)), "")</f>
        <v/>
      </c>
      <c r="P15" t="str">
        <f>IFERROR(AVERAGE(INDEX(benchmark!P:P, (ROW()-2)*$B15+2):INDEX(benchmark!P:P, (ROW()-2)*$B15 + $B15+1)), "")</f>
        <v/>
      </c>
      <c r="Q15" t="str">
        <f>IFERROR(AVERAGE(INDEX(benchmark!Q:Q, (ROW()-2)*$B15+2):INDEX(benchmark!Q:Q, (ROW()-2)*$B15 + $B15+1)), "")</f>
        <v/>
      </c>
      <c r="R15" t="str">
        <f>IFERROR(AVERAGE(INDEX(benchmark!R:R, (ROW()-2)*$B15+2):INDEX(benchmark!R:R, (ROW()-2)*$B15 + $B15+1)), "")</f>
        <v/>
      </c>
      <c r="S15" t="str">
        <f>IFERROR(AVERAGE(INDEX(benchmark!S:S, (ROW()-2)*$B15+2):INDEX(benchmark!S:S, (ROW()-2)*$B15 + $B15+1)), "")</f>
        <v/>
      </c>
      <c r="T15" t="str">
        <f>IFERROR(AVERAGE(INDEX(benchmark!T:T, (ROW()-2)*$B15+2):INDEX(benchmark!T:T, (ROW()-2)*$B15 + $B15+1)), "")</f>
        <v/>
      </c>
      <c r="U15" t="str">
        <f>IFERROR(AVERAGE(INDEX(benchmark!U:U, (ROW()-2)*$B15+2):INDEX(benchmark!U:U, (ROW()-2)*$B15 + $B15+1)), "")</f>
        <v/>
      </c>
      <c r="V15" t="str">
        <f>IFERROR(AVERAGE(INDEX(benchmark!V:V, (ROW()-2)*$B15+2):INDEX(benchmark!V:V, (ROW()-2)*$B15 + $B15+1)), "")</f>
        <v/>
      </c>
      <c r="W15">
        <f>IFERROR(AVERAGE(INDEX(benchmark!W:W, (ROW()-2)*$B15+2):INDEX(benchmark!W:W, (ROW()-2)*$B15 + $B15+1)), "")</f>
        <v>0.22020000000000003</v>
      </c>
      <c r="X15">
        <f>IFERROR(AVERAGE(INDEX(benchmark!X:X, (ROW()-2)*$B15+2):INDEX(benchmark!X:X, (ROW()-2)*$B15 + $B15+1)), "")</f>
        <v>2.8125000000000001E-2</v>
      </c>
      <c r="Y15">
        <f>IFERROR(AVERAGE(INDEX(benchmark!Y:Y, (ROW()-2)*$B15+2):INDEX(benchmark!Y:Y, (ROW()-2)*$B15 + $B15+1)), "")</f>
        <v>3.5937499999999997E-2</v>
      </c>
      <c r="Z15">
        <f>IFERROR(AVERAGE(INDEX(benchmark!Z:Z, (ROW()-2)*$B15+2):INDEX(benchmark!Z:Z, (ROW()-2)*$B15 + $B15+1)), "")</f>
        <v>6.4062499999999994E-2</v>
      </c>
      <c r="AA15">
        <f>IFERROR(AVERAGE(INDEX(benchmark!AA:AA, (ROW()-2)*$B15+2):INDEX(benchmark!AA:AA, (ROW()-2)*$B15 + $B15+1)), "")</f>
        <v>0.12670000000000001</v>
      </c>
      <c r="AB15">
        <f>IFERROR(AVERAGE(INDEX(benchmark!AB:AB, (ROW()-2)*$B15+2):INDEX(benchmark!AB:AB, (ROW()-2)*$B15 + $B15+1)), "")</f>
        <v>2.8125000000000001E-2</v>
      </c>
      <c r="AC15">
        <f>IFERROR(AVERAGE(INDEX(benchmark!AC:AC, (ROW()-2)*$B15+2):INDEX(benchmark!AC:AC, (ROW()-2)*$B15 + $B15+1)), "")</f>
        <v>3.4375000000000003E-2</v>
      </c>
      <c r="AD15">
        <f>IFERROR(AVERAGE(INDEX(benchmark!AD:AD, (ROW()-2)*$B15+2):INDEX(benchmark!AD:AD, (ROW()-2)*$B15 + $B15+1)), "")</f>
        <v>6.25E-2</v>
      </c>
      <c r="AE15">
        <f>IFERROR(AVERAGE(INDEX(benchmark!AE:AE, (ROW()-2)*$B15+2):INDEX(benchmark!AE:AE, (ROW()-2)*$B15 + $B15+1)), "")</f>
        <v>16623</v>
      </c>
      <c r="AF15">
        <f>IFERROR(AVERAGE(INDEX(benchmark!AF:AF, (ROW()-2)*$B15+2):INDEX(benchmark!AF:AF, (ROW()-2)*$B15 + $B15+1)), "")</f>
        <v>391</v>
      </c>
      <c r="AG15">
        <f>IFERROR(AVERAGE(INDEX(benchmark!AG:AG, (ROW()-2)*$B15+2):INDEX(benchmark!AG:AG, (ROW()-2)*$B15 + $B15+1)), "")</f>
        <v>16624</v>
      </c>
      <c r="AH15">
        <f>IFERROR(AVERAGE(INDEX(benchmark!AH:AH, (ROW()-2)*$B15+2):INDEX(benchmark!AH:AH, (ROW()-2)*$B15 + $B15+1)), "")</f>
        <v>341</v>
      </c>
      <c r="AI15">
        <f>IFERROR(AVERAGE(INDEX(benchmark!AI:AI, (ROW()-2)*$B15+2):INDEX(benchmark!AI:AI, (ROW()-2)*$B15 + $B15+1)), "")</f>
        <v>1.9298252314814815E-2</v>
      </c>
      <c r="AJ15">
        <f>IFERROR(AVERAGE(INDEX(benchmark!AJ:AJ, (ROW()-2)*$B15+2):INDEX(benchmark!AJ:AJ, (ROW()-2)*$B15 + $B15+1)), "")</f>
        <v>1.9303310185185184E-2</v>
      </c>
      <c r="AK15" cm="1">
        <f t="array" ref="AK15">IFERROR(AVERAGE(INDEX(benchmark!W:W, (ROW()-2)*$B15+2):INDEX(benchmark!W:W, (ROW()-2)*$B15 + $B15+1) + INDEX(benchmark!AA:AA, (ROW()-2)*$B15+2):INDEX(benchmark!AA:AA, (ROW()-2)*$B15 + $B15+1)), "")</f>
        <v>0.34689999999999999</v>
      </c>
      <c r="AL15" cm="1">
        <f t="array" ref="AL15">IFERROR(MIN(INDEX(benchmark!W:W, (ROW()-2)*$B15+2):INDEX(benchmark!W:W, (ROW()-2)*$B15 + $B15+1) + INDEX(benchmark!AA:AA, (ROW()-2)*$B15+2):INDEX(benchmark!AA:AA, (ROW()-2)*$B15 + $B15+1)), "")</f>
        <v>0.313</v>
      </c>
      <c r="AM15" cm="1">
        <f t="array" ref="AM15">IFERROR(MAX(INDEX(benchmark!W:W, (ROW()-2)*$B15+2):INDEX(benchmark!W:W, (ROW()-2)*$B15 + $B15+1) + INDEX(benchmark!AA:AA, (ROW()-2)*$B15+2):INDEX(benchmark!AA:AA, (ROW()-2)*$B15 + $B15+1)), "")</f>
        <v>0.39100000000000001</v>
      </c>
      <c r="AN15" cm="1">
        <f t="array" ref="AN15">IFERROR(AVERAGE(MOD(VALUE(INDEX(benchmark!AJ:AJ, (ROW()-2)*$B15+2):INDEX(benchmark!AJ:AJ, (ROW()-2)*$B15 + $B15+1)) - VALUE(INDEX(benchmark!AI:AI, (ROW()-2)*$B15+2):INDEX(benchmark!AI:AI, (ROW()-2)*$B15 + $B15+1)), 1) * 86400), "")</f>
        <v>0.43700000000001521</v>
      </c>
      <c r="AO15" cm="1">
        <f t="array" ref="AO15">IFERROR(MIN(MOD(VALUE(INDEX(benchmark!AJ:AJ, (ROW()-2)*$B15+2):INDEX(benchmark!AJ:AJ, (ROW()-2)*$B15 + $B15+1)) - VALUE(INDEX(benchmark!AI:AI, (ROW()-2)*$B15+2):INDEX(benchmark!AI:AI, (ROW()-2)*$B15 + $B15+1)), 1) * 86400), "")</f>
        <v>0.40999999999998815</v>
      </c>
      <c r="AP15" cm="1">
        <f t="array" ref="AP15">IFERROR(MAX(MOD(VALUE(INDEX(benchmark!AJ:AJ, (ROW()-2)*$B15+2):INDEX(benchmark!AJ:AJ, (ROW()-2)*$B15 + $B15+1)) - VALUE(INDEX(benchmark!AI:AI, (ROW()-2)*$B15+2):INDEX(benchmark!AI:AI, (ROW()-2)*$B15 + $B15+1)), 1) * 86400), "")</f>
        <v>0.48999999999991273</v>
      </c>
      <c r="AQ15" t="str">
        <f>IFERROR(AVERAGE(INDEX(benchmark!S:S, (ROW()-2)*$B15+2):INDEX(benchmark!S:S, (ROW()-2)*$B15 + $B15+1)), "")</f>
        <v/>
      </c>
      <c r="AR15">
        <f>IFERROR(MIN(INDEX(benchmark!S:S, (ROW()-2)*$B15+2):INDEX(benchmark!S:S, (ROW()-2)*$B15 + $B15+1)), "")</f>
        <v>0</v>
      </c>
      <c r="AS15">
        <f>IFERROR(MAX(INDEX(benchmark!S:S, (ROW()-2)*$B15+2):INDEX(benchmark!S:S, (ROW()-2)*$B15 + $B15+1)), "")</f>
        <v>0</v>
      </c>
    </row>
    <row r="16" spans="1:45" x14ac:dyDescent="0.25">
      <c r="A16" t="str" cm="1">
        <f t="array" ref="A16">INDEX(benchmark!A:A, (ROW()-2)*$B16+2)</f>
        <v>kinematic-car-filter</v>
      </c>
      <c r="B16">
        <f>COUNTIF(benchmark!A:A, benchmark!A16)</f>
        <v>10</v>
      </c>
      <c r="C16" t="str" cm="1">
        <f t="array" ref="C16">INDEX(benchmark!C:C, (ROW()-2)*$B16+2)</f>
        <v/>
      </c>
      <c r="D16" t="str" cm="1">
        <f t="array" ref="D16">INDEX(benchmark!D:D, (ROW()-2)*$B16+2)</f>
        <v/>
      </c>
      <c r="E16" t="str" cm="1">
        <f t="array" ref="E16">INDEX(benchmark!E:E, (ROW()-2)*$B16+2)</f>
        <v>failure</v>
      </c>
      <c r="F16">
        <f>IFERROR(AVERAGE(INDEX(benchmark!F:F, (ROW()-2)*$B16+2):INDEX(benchmark!F:F, (ROW()-2)*$B16 + $B16+1)), "")</f>
        <v>999</v>
      </c>
      <c r="G16">
        <f>IFERROR(AVERAGE(INDEX(benchmark!G:G, (ROW()-2)*$B16+2):INDEX(benchmark!G:G, (ROW()-2)*$B16 + $B16+1)), "")</f>
        <v>0</v>
      </c>
      <c r="H16" t="str">
        <f>IFERROR(AVERAGE(INDEX(benchmark!H:H, (ROW()-2)*$B16+2):INDEX(benchmark!H:H, (ROW()-2)*$B16 + $B16+1)), "")</f>
        <v/>
      </c>
      <c r="I16" t="str">
        <f>IFERROR(AVERAGE(INDEX(benchmark!I:I, (ROW()-2)*$B16+2):INDEX(benchmark!I:I, (ROW()-2)*$B16 + $B16+1)), "")</f>
        <v/>
      </c>
      <c r="J16" t="str">
        <f>IFERROR(AVERAGE(INDEX(benchmark!J:J, (ROW()-2)*$B16+2):INDEX(benchmark!J:J, (ROW()-2)*$B16 + $B16+1)), "")</f>
        <v/>
      </c>
      <c r="K16" t="str">
        <f>IFERROR(AVERAGE(INDEX(benchmark!K:K, (ROW()-2)*$B16+2):INDEX(benchmark!K:K, (ROW()-2)*$B16 + $B16+1)), "")</f>
        <v/>
      </c>
      <c r="L16" t="str">
        <f>IFERROR(AVERAGE(INDEX(benchmark!L:L, (ROW()-2)*$B16+2):INDEX(benchmark!L:L, (ROW()-2)*$B16 + $B16+1)), "")</f>
        <v/>
      </c>
      <c r="M16" t="str">
        <f>IFERROR(AVERAGE(INDEX(benchmark!M:M, (ROW()-2)*$B16+2):INDEX(benchmark!M:M, (ROW()-2)*$B16 + $B16+1)), "")</f>
        <v/>
      </c>
      <c r="N16" t="str">
        <f>IFERROR(AVERAGE(INDEX(benchmark!N:N, (ROW()-2)*$B16+2):INDEX(benchmark!N:N, (ROW()-2)*$B16 + $B16+1)), "")</f>
        <v/>
      </c>
      <c r="O16" t="str">
        <f>IFERROR(AVERAGE(INDEX(benchmark!O:O, (ROW()-2)*$B16+2):INDEX(benchmark!O:O, (ROW()-2)*$B16 + $B16+1)), "")</f>
        <v/>
      </c>
      <c r="P16" t="str">
        <f>IFERROR(AVERAGE(INDEX(benchmark!P:P, (ROW()-2)*$B16+2):INDEX(benchmark!P:P, (ROW()-2)*$B16 + $B16+1)), "")</f>
        <v/>
      </c>
      <c r="Q16" t="str">
        <f>IFERROR(AVERAGE(INDEX(benchmark!Q:Q, (ROW()-2)*$B16+2):INDEX(benchmark!Q:Q, (ROW()-2)*$B16 + $B16+1)), "")</f>
        <v/>
      </c>
      <c r="R16" t="str">
        <f>IFERROR(AVERAGE(INDEX(benchmark!R:R, (ROW()-2)*$B16+2):INDEX(benchmark!R:R, (ROW()-2)*$B16 + $B16+1)), "")</f>
        <v/>
      </c>
      <c r="S16" t="str">
        <f>IFERROR(AVERAGE(INDEX(benchmark!S:S, (ROW()-2)*$B16+2):INDEX(benchmark!S:S, (ROW()-2)*$B16 + $B16+1)), "")</f>
        <v/>
      </c>
      <c r="T16" t="str">
        <f>IFERROR(AVERAGE(INDEX(benchmark!T:T, (ROW()-2)*$B16+2):INDEX(benchmark!T:T, (ROW()-2)*$B16 + $B16+1)), "")</f>
        <v/>
      </c>
      <c r="U16" t="str">
        <f>IFERROR(AVERAGE(INDEX(benchmark!U:U, (ROW()-2)*$B16+2):INDEX(benchmark!U:U, (ROW()-2)*$B16 + $B16+1)), "")</f>
        <v/>
      </c>
      <c r="V16" t="str">
        <f>IFERROR(AVERAGE(INDEX(benchmark!V:V, (ROW()-2)*$B16+2):INDEX(benchmark!V:V, (ROW()-2)*$B16 + $B16+1)), "")</f>
        <v/>
      </c>
      <c r="W16">
        <f>IFERROR(AVERAGE(INDEX(benchmark!W:W, (ROW()-2)*$B16+2):INDEX(benchmark!W:W, (ROW()-2)*$B16 + $B16+1)), "")</f>
        <v>4.2099999999999992E-2</v>
      </c>
      <c r="X16">
        <f>IFERROR(AVERAGE(INDEX(benchmark!X:X, (ROW()-2)*$B16+2):INDEX(benchmark!X:X, (ROW()-2)*$B16 + $B16+1)), "")</f>
        <v>3.125E-2</v>
      </c>
      <c r="Y16">
        <f>IFERROR(AVERAGE(INDEX(benchmark!Y:Y, (ROW()-2)*$B16+2):INDEX(benchmark!Y:Y, (ROW()-2)*$B16 + $B16+1)), "")</f>
        <v>3.125E-2</v>
      </c>
      <c r="Z16">
        <f>IFERROR(AVERAGE(INDEX(benchmark!Z:Z, (ROW()-2)*$B16+2):INDEX(benchmark!Z:Z, (ROW()-2)*$B16 + $B16+1)), "")</f>
        <v>6.25E-2</v>
      </c>
      <c r="AA16">
        <f>IFERROR(AVERAGE(INDEX(benchmark!AA:AA, (ROW()-2)*$B16+2):INDEX(benchmark!AA:AA, (ROW()-2)*$B16 + $B16+1)), "")</f>
        <v>1.6000000000000001E-3</v>
      </c>
      <c r="AB16">
        <f>IFERROR(AVERAGE(INDEX(benchmark!AB:AB, (ROW()-2)*$B16+2):INDEX(benchmark!AB:AB, (ROW()-2)*$B16 + $B16+1)), "")</f>
        <v>0</v>
      </c>
      <c r="AC16">
        <f>IFERROR(AVERAGE(INDEX(benchmark!AC:AC, (ROW()-2)*$B16+2):INDEX(benchmark!AC:AC, (ROW()-2)*$B16 + $B16+1)), "")</f>
        <v>0</v>
      </c>
      <c r="AD16">
        <f>IFERROR(AVERAGE(INDEX(benchmark!AD:AD, (ROW()-2)*$B16+2):INDEX(benchmark!AD:AD, (ROW()-2)*$B16 + $B16+1)), "")</f>
        <v>0</v>
      </c>
      <c r="AE16">
        <f>IFERROR(AVERAGE(INDEX(benchmark!AE:AE, (ROW()-2)*$B16+2):INDEX(benchmark!AE:AE, (ROW()-2)*$B16 + $B16+1)), "")</f>
        <v>16623</v>
      </c>
      <c r="AF16">
        <f>IFERROR(AVERAGE(INDEX(benchmark!AF:AF, (ROW()-2)*$B16+2):INDEX(benchmark!AF:AF, (ROW()-2)*$B16 + $B16+1)), "")</f>
        <v>391</v>
      </c>
      <c r="AG16">
        <f>IFERROR(AVERAGE(INDEX(benchmark!AG:AG, (ROW()-2)*$B16+2):INDEX(benchmark!AG:AG, (ROW()-2)*$B16 + $B16+1)), "")</f>
        <v>16624</v>
      </c>
      <c r="AH16">
        <f>IFERROR(AVERAGE(INDEX(benchmark!AH:AH, (ROW()-2)*$B16+2):INDEX(benchmark!AH:AH, (ROW()-2)*$B16 + $B16+1)), "")</f>
        <v>341</v>
      </c>
      <c r="AI16">
        <f>IFERROR(AVERAGE(INDEX(benchmark!AI:AI, (ROW()-2)*$B16+2):INDEX(benchmark!AI:AI, (ROW()-2)*$B16 + $B16+1)), "")</f>
        <v>1.9350300925925927E-2</v>
      </c>
      <c r="AJ16">
        <f>IFERROR(AVERAGE(INDEX(benchmark!AJ:AJ, (ROW()-2)*$B16+2):INDEX(benchmark!AJ:AJ, (ROW()-2)*$B16 + $B16+1)), "")</f>
        <v>1.9351990740740739E-2</v>
      </c>
      <c r="AK16" cm="1">
        <f t="array" ref="AK16">IFERROR(AVERAGE(INDEX(benchmark!W:W, (ROW()-2)*$B16+2):INDEX(benchmark!W:W, (ROW()-2)*$B16 + $B16+1) + INDEX(benchmark!AA:AA, (ROW()-2)*$B16+2):INDEX(benchmark!AA:AA, (ROW()-2)*$B16 + $B16+1)), "")</f>
        <v>4.3699999999999996E-2</v>
      </c>
      <c r="AL16" cm="1">
        <f t="array" ref="AL16">IFERROR(MIN(INDEX(benchmark!W:W, (ROW()-2)*$B16+2):INDEX(benchmark!W:W, (ROW()-2)*$B16 + $B16+1) + INDEX(benchmark!AA:AA, (ROW()-2)*$B16+2):INDEX(benchmark!AA:AA, (ROW()-2)*$B16 + $B16+1)), "")</f>
        <v>3.1E-2</v>
      </c>
      <c r="AM16" cm="1">
        <f t="array" ref="AM16">IFERROR(MAX(INDEX(benchmark!W:W, (ROW()-2)*$B16+2):INDEX(benchmark!W:W, (ROW()-2)*$B16 + $B16+1) + INDEX(benchmark!AA:AA, (ROW()-2)*$B16+2):INDEX(benchmark!AA:AA, (ROW()-2)*$B16 + $B16+1)), "")</f>
        <v>4.7E-2</v>
      </c>
      <c r="AN16" cm="1">
        <f t="array" ref="AN16">IFERROR(AVERAGE(MOD(VALUE(INDEX(benchmark!AJ:AJ, (ROW()-2)*$B16+2):INDEX(benchmark!AJ:AJ, (ROW()-2)*$B16 + $B16+1)) - VALUE(INDEX(benchmark!AI:AI, (ROW()-2)*$B16+2):INDEX(benchmark!AI:AI, (ROW()-2)*$B16 + $B16+1)), 1) * 86400), "")</f>
        <v>0.14599999999999724</v>
      </c>
      <c r="AO16" cm="1">
        <f t="array" ref="AO16">IFERROR(MIN(MOD(VALUE(INDEX(benchmark!AJ:AJ, (ROW()-2)*$B16+2):INDEX(benchmark!AJ:AJ, (ROW()-2)*$B16 + $B16+1)) - VALUE(INDEX(benchmark!AI:AI, (ROW()-2)*$B16+2):INDEX(benchmark!AI:AI, (ROW()-2)*$B16 + $B16+1)), 1) * 86400), "")</f>
        <v>0.12999999999995238</v>
      </c>
      <c r="AP16" cm="1">
        <f t="array" ref="AP16">IFERROR(MAX(MOD(VALUE(INDEX(benchmark!AJ:AJ, (ROW()-2)*$B16+2):INDEX(benchmark!AJ:AJ, (ROW()-2)*$B16 + $B16+1)) - VALUE(INDEX(benchmark!AI:AI, (ROW()-2)*$B16+2):INDEX(benchmark!AI:AI, (ROW()-2)*$B16 + $B16+1)), 1) * 86400), "")</f>
        <v>0.19000000000004569</v>
      </c>
      <c r="AQ16" t="str">
        <f>IFERROR(AVERAGE(INDEX(benchmark!S:S, (ROW()-2)*$B16+2):INDEX(benchmark!S:S, (ROW()-2)*$B16 + $B16+1)), "")</f>
        <v/>
      </c>
      <c r="AR16">
        <f>IFERROR(MIN(INDEX(benchmark!S:S, (ROW()-2)*$B16+2):INDEX(benchmark!S:S, (ROW()-2)*$B16 + $B16+1)), "")</f>
        <v>0</v>
      </c>
      <c r="AS16">
        <f>IFERROR(MAX(INDEX(benchmark!S:S, (ROW()-2)*$B16+2):INDEX(benchmark!S:S, (ROW()-2)*$B16 + $B16+1)), "")</f>
        <v>0</v>
      </c>
    </row>
    <row r="17" spans="1:45" x14ac:dyDescent="0.25">
      <c r="A17" t="str" cm="1">
        <f t="array" ref="A17">INDEX(benchmark!A:A, (ROW()-2)*$B17+2)</f>
        <v>kinematic-car-gurobi</v>
      </c>
      <c r="B17">
        <f>COUNTIF(benchmark!A:A, benchmark!A17)</f>
        <v>10</v>
      </c>
      <c r="C17" t="str" cm="1">
        <f t="array" ref="C17">INDEX(benchmark!C:C, (ROW()-2)*$B17+2)</f>
        <v>Gurobi</v>
      </c>
      <c r="D17" t="str" cm="1">
        <f t="array" ref="D17">INDEX(benchmark!D:D, (ROW()-2)*$B17+2)</f>
        <v>12.0.3</v>
      </c>
      <c r="E17" t="str" cm="1">
        <f t="array" ref="E17">INDEX(benchmark!E:E, (ROW()-2)*$B17+2)</f>
        <v>solved</v>
      </c>
      <c r="F17">
        <f>IFERROR(AVERAGE(INDEX(benchmark!F:F, (ROW()-2)*$B17+2):INDEX(benchmark!F:F, (ROW()-2)*$B17 + $B17+1)), "")</f>
        <v>0</v>
      </c>
      <c r="G17">
        <f>IFERROR(AVERAGE(INDEX(benchmark!G:G, (ROW()-2)*$B17+2):INDEX(benchmark!G:G, (ROW()-2)*$B17 + $B17+1)), "")</f>
        <v>1.9590243829214429</v>
      </c>
      <c r="H17" t="str">
        <f>IFERROR(AVERAGE(INDEX(benchmark!H:H, (ROW()-2)*$B17+2):INDEX(benchmark!H:H, (ROW()-2)*$B17 + $B17+1)), "")</f>
        <v/>
      </c>
      <c r="I17" t="str">
        <f>IFERROR(AVERAGE(INDEX(benchmark!I:I, (ROW()-2)*$B17+2):INDEX(benchmark!I:I, (ROW()-2)*$B17 + $B17+1)), "")</f>
        <v/>
      </c>
      <c r="J17" t="str">
        <f>IFERROR(AVERAGE(INDEX(benchmark!J:J, (ROW()-2)*$B17+2):INDEX(benchmark!J:J, (ROW()-2)*$B17 + $B17+1)), "")</f>
        <v/>
      </c>
      <c r="K17" t="str">
        <f>IFERROR(AVERAGE(INDEX(benchmark!K:K, (ROW()-2)*$B17+2):INDEX(benchmark!K:K, (ROW()-2)*$B17 + $B17+1)), "")</f>
        <v/>
      </c>
      <c r="L17" t="str">
        <f>IFERROR(AVERAGE(INDEX(benchmark!L:L, (ROW()-2)*$B17+2):INDEX(benchmark!L:L, (ROW()-2)*$B17 + $B17+1)), "")</f>
        <v/>
      </c>
      <c r="M17" t="str">
        <f>IFERROR(AVERAGE(INDEX(benchmark!M:M, (ROW()-2)*$B17+2):INDEX(benchmark!M:M, (ROW()-2)*$B17 + $B17+1)), "")</f>
        <v/>
      </c>
      <c r="N17" t="str">
        <f>IFERROR(AVERAGE(INDEX(benchmark!N:N, (ROW()-2)*$B17+2):INDEX(benchmark!N:N, (ROW()-2)*$B17 + $B17+1)), "")</f>
        <v/>
      </c>
      <c r="O17" t="str">
        <f>IFERROR(AVERAGE(INDEX(benchmark!O:O, (ROW()-2)*$B17+2):INDEX(benchmark!O:O, (ROW()-2)*$B17 + $B17+1)), "")</f>
        <v/>
      </c>
      <c r="P17" t="str">
        <f>IFERROR(AVERAGE(INDEX(benchmark!P:P, (ROW()-2)*$B17+2):INDEX(benchmark!P:P, (ROW()-2)*$B17 + $B17+1)), "")</f>
        <v/>
      </c>
      <c r="Q17" t="str">
        <f>IFERROR(AVERAGE(INDEX(benchmark!Q:Q, (ROW()-2)*$B17+2):INDEX(benchmark!Q:Q, (ROW()-2)*$B17 + $B17+1)), "")</f>
        <v/>
      </c>
      <c r="R17" t="str">
        <f>IFERROR(AVERAGE(INDEX(benchmark!R:R, (ROW()-2)*$B17+2):INDEX(benchmark!R:R, (ROW()-2)*$B17 + $B17+1)), "")</f>
        <v/>
      </c>
      <c r="S17" t="str">
        <f>IFERROR(AVERAGE(INDEX(benchmark!S:S, (ROW()-2)*$B17+2):INDEX(benchmark!S:S, (ROW()-2)*$B17 + $B17+1)), "")</f>
        <v/>
      </c>
      <c r="T17" t="str">
        <f>IFERROR(AVERAGE(INDEX(benchmark!T:T, (ROW()-2)*$B17+2):INDEX(benchmark!T:T, (ROW()-2)*$B17 + $B17+1)), "")</f>
        <v/>
      </c>
      <c r="U17" t="str">
        <f>IFERROR(AVERAGE(INDEX(benchmark!U:U, (ROW()-2)*$B17+2):INDEX(benchmark!U:U, (ROW()-2)*$B17 + $B17+1)), "")</f>
        <v/>
      </c>
      <c r="V17" t="str">
        <f>IFERROR(AVERAGE(INDEX(benchmark!V:V, (ROW()-2)*$B17+2):INDEX(benchmark!V:V, (ROW()-2)*$B17 + $B17+1)), "")</f>
        <v/>
      </c>
      <c r="W17">
        <f>IFERROR(AVERAGE(INDEX(benchmark!W:W, (ROW()-2)*$B17+2):INDEX(benchmark!W:W, (ROW()-2)*$B17 + $B17+1)), "")</f>
        <v>0.18909999999999996</v>
      </c>
      <c r="X17">
        <f>IFERROR(AVERAGE(INDEX(benchmark!X:X, (ROW()-2)*$B17+2):INDEX(benchmark!X:X, (ROW()-2)*$B17 + $B17+1)), "")</f>
        <v>2.1874999999999999E-2</v>
      </c>
      <c r="Y17">
        <f>IFERROR(AVERAGE(INDEX(benchmark!Y:Y, (ROW()-2)*$B17+2):INDEX(benchmark!Y:Y, (ROW()-2)*$B17 + $B17+1)), "")</f>
        <v>3.90625E-2</v>
      </c>
      <c r="Z17">
        <f>IFERROR(AVERAGE(INDEX(benchmark!Z:Z, (ROW()-2)*$B17+2):INDEX(benchmark!Z:Z, (ROW()-2)*$B17 + $B17+1)), "")</f>
        <v>6.0937499999999999E-2</v>
      </c>
      <c r="AA17">
        <f>IFERROR(AVERAGE(INDEX(benchmark!AA:AA, (ROW()-2)*$B17+2):INDEX(benchmark!AA:AA, (ROW()-2)*$B17 + $B17+1)), "")</f>
        <v>3.6594000000000002</v>
      </c>
      <c r="AB17">
        <f>IFERROR(AVERAGE(INDEX(benchmark!AB:AB, (ROW()-2)*$B17+2):INDEX(benchmark!AB:AB, (ROW()-2)*$B17 + $B17+1)), "")</f>
        <v>1.5484374999999999</v>
      </c>
      <c r="AC17">
        <f>IFERROR(AVERAGE(INDEX(benchmark!AC:AC, (ROW()-2)*$B17+2):INDEX(benchmark!AC:AC, (ROW()-2)*$B17 + $B17+1)), "")</f>
        <v>45.3046875</v>
      </c>
      <c r="AD17">
        <f>IFERROR(AVERAGE(INDEX(benchmark!AD:AD, (ROW()-2)*$B17+2):INDEX(benchmark!AD:AD, (ROW()-2)*$B17 + $B17+1)), "")</f>
        <v>46.853124999999999</v>
      </c>
      <c r="AE17">
        <f>IFERROR(AVERAGE(INDEX(benchmark!AE:AE, (ROW()-2)*$B17+2):INDEX(benchmark!AE:AE, (ROW()-2)*$B17 + $B17+1)), "")</f>
        <v>16623</v>
      </c>
      <c r="AF17">
        <f>IFERROR(AVERAGE(INDEX(benchmark!AF:AF, (ROW()-2)*$B17+2):INDEX(benchmark!AF:AF, (ROW()-2)*$B17 + $B17+1)), "")</f>
        <v>391</v>
      </c>
      <c r="AG17">
        <f>IFERROR(AVERAGE(INDEX(benchmark!AG:AG, (ROW()-2)*$B17+2):INDEX(benchmark!AG:AG, (ROW()-2)*$B17 + $B17+1)), "")</f>
        <v>16624</v>
      </c>
      <c r="AH17">
        <f>IFERROR(AVERAGE(INDEX(benchmark!AH:AH, (ROW()-2)*$B17+2):INDEX(benchmark!AH:AH, (ROW()-2)*$B17 + $B17+1)), "")</f>
        <v>341</v>
      </c>
      <c r="AI17">
        <f>IFERROR(AVERAGE(INDEX(benchmark!AI:AI, (ROW()-2)*$B17+2):INDEX(benchmark!AI:AI, (ROW()-2)*$B17 + $B17+1)), "")</f>
        <v>1.958255787037037E-2</v>
      </c>
      <c r="AJ17">
        <f>IFERROR(AVERAGE(INDEX(benchmark!AJ:AJ, (ROW()-2)*$B17+2):INDEX(benchmark!AJ:AJ, (ROW()-2)*$B17 + $B17+1)), "")</f>
        <v>1.9628090277777777E-2</v>
      </c>
      <c r="AK17" cm="1">
        <f t="array" ref="AK17">IFERROR(AVERAGE(INDEX(benchmark!W:W, (ROW()-2)*$B17+2):INDEX(benchmark!W:W, (ROW()-2)*$B17 + $B17+1) + INDEX(benchmark!AA:AA, (ROW()-2)*$B17+2):INDEX(benchmark!AA:AA, (ROW()-2)*$B17 + $B17+1)), "")</f>
        <v>3.8485000000000005</v>
      </c>
      <c r="AL17" cm="1">
        <f t="array" ref="AL17">IFERROR(MIN(INDEX(benchmark!W:W, (ROW()-2)*$B17+2):INDEX(benchmark!W:W, (ROW()-2)*$B17 + $B17+1) + INDEX(benchmark!AA:AA, (ROW()-2)*$B17+2):INDEX(benchmark!AA:AA, (ROW()-2)*$B17 + $B17+1)), "")</f>
        <v>3.734</v>
      </c>
      <c r="AM17" cm="1">
        <f t="array" ref="AM17">IFERROR(MAX(INDEX(benchmark!W:W, (ROW()-2)*$B17+2):INDEX(benchmark!W:W, (ROW()-2)*$B17 + $B17+1) + INDEX(benchmark!AA:AA, (ROW()-2)*$B17+2):INDEX(benchmark!AA:AA, (ROW()-2)*$B17 + $B17+1)), "")</f>
        <v>4.0469999999999997</v>
      </c>
      <c r="AN17" cm="1">
        <f t="array" ref="AN17">IFERROR(AVERAGE(MOD(VALUE(INDEX(benchmark!AJ:AJ, (ROW()-2)*$B17+2):INDEX(benchmark!AJ:AJ, (ROW()-2)*$B17 + $B17+1)) - VALUE(INDEX(benchmark!AI:AI, (ROW()-2)*$B17+2):INDEX(benchmark!AI:AI, (ROW()-2)*$B17 + $B17+1)), 1) * 86400), "")</f>
        <v>3.9340000000000828</v>
      </c>
      <c r="AO17" cm="1">
        <f t="array" ref="AO17">IFERROR(MIN(MOD(VALUE(INDEX(benchmark!AJ:AJ, (ROW()-2)*$B17+2):INDEX(benchmark!AJ:AJ, (ROW()-2)*$B17 + $B17+1)) - VALUE(INDEX(benchmark!AI:AI, (ROW()-2)*$B17+2):INDEX(benchmark!AI:AI, (ROW()-2)*$B17 + $B17+1)), 1) * 86400), "")</f>
        <v>3.8400000000002765</v>
      </c>
      <c r="AP17" cm="1">
        <f t="array" ref="AP17">IFERROR(MAX(MOD(VALUE(INDEX(benchmark!AJ:AJ, (ROW()-2)*$B17+2):INDEX(benchmark!AJ:AJ, (ROW()-2)*$B17 + $B17+1)) - VALUE(INDEX(benchmark!AI:AI, (ROW()-2)*$B17+2):INDEX(benchmark!AI:AI, (ROW()-2)*$B17 + $B17+1)), 1) * 86400), "")</f>
        <v>4.1300000000000781</v>
      </c>
      <c r="AQ17" t="str">
        <f>IFERROR(AVERAGE(INDEX(benchmark!S:S, (ROW()-2)*$B17+2):INDEX(benchmark!S:S, (ROW()-2)*$B17 + $B17+1)), "")</f>
        <v/>
      </c>
      <c r="AR17">
        <f>IFERROR(MIN(INDEX(benchmark!S:S, (ROW()-2)*$B17+2):INDEX(benchmark!S:S, (ROW()-2)*$B17 + $B17+1)), "")</f>
        <v>0</v>
      </c>
      <c r="AS17">
        <f>IFERROR(MAX(INDEX(benchmark!S:S, (ROW()-2)*$B17+2):INDEX(benchmark!S:S, (ROW()-2)*$B17 + $B17+1)), "")</f>
        <v>0</v>
      </c>
    </row>
    <row r="18" spans="1:45" x14ac:dyDescent="0.25">
      <c r="A18" t="str" cm="1">
        <f t="array" ref="A18">INDEX(benchmark!A:A, (ROW()-2)*$B18+2)</f>
        <v>kinematic-car-ipopt</v>
      </c>
      <c r="B18">
        <f>COUNTIF(benchmark!A:A, benchmark!A18)</f>
        <v>10</v>
      </c>
      <c r="C18" t="str" cm="1">
        <f t="array" ref="C18">INDEX(benchmark!C:C, (ROW()-2)*$B18+2)</f>
        <v>Ipopt</v>
      </c>
      <c r="D18" t="str" cm="1">
        <f t="array" ref="D18">INDEX(benchmark!D:D, (ROW()-2)*$B18+2)</f>
        <v>3.12.13</v>
      </c>
      <c r="E18" t="str" cm="1">
        <f t="array" ref="E18">INDEX(benchmark!E:E, (ROW()-2)*$B18+2)</f>
        <v>solved</v>
      </c>
      <c r="F18">
        <f>IFERROR(AVERAGE(INDEX(benchmark!F:F, (ROW()-2)*$B18+2):INDEX(benchmark!F:F, (ROW()-2)*$B18 + $B18+1)), "")</f>
        <v>0</v>
      </c>
      <c r="G18">
        <f>IFERROR(AVERAGE(INDEX(benchmark!G:G, (ROW()-2)*$B18+2):INDEX(benchmark!G:G, (ROW()-2)*$B18 + $B18+1)), "")</f>
        <v>1.9589704802783667</v>
      </c>
      <c r="H18" t="str">
        <f>IFERROR(AVERAGE(INDEX(benchmark!H:H, (ROW()-2)*$B18+2):INDEX(benchmark!H:H, (ROW()-2)*$B18 + $B18+1)), "")</f>
        <v/>
      </c>
      <c r="I18">
        <f>IFERROR(AVERAGE(INDEX(benchmark!I:I, (ROW()-2)*$B18+2):INDEX(benchmark!I:I, (ROW()-2)*$B18 + $B18+1)), "")</f>
        <v>204</v>
      </c>
      <c r="J18">
        <f>IFERROR(AVERAGE(INDEX(benchmark!J:J, (ROW()-2)*$B18+2):INDEX(benchmark!J:J, (ROW()-2)*$B18 + $B18+1)), "")</f>
        <v>547</v>
      </c>
      <c r="K18">
        <f>IFERROR(AVERAGE(INDEX(benchmark!K:K, (ROW()-2)*$B18+2):INDEX(benchmark!K:K, (ROW()-2)*$B18 + $B18+1)), "")</f>
        <v>205</v>
      </c>
      <c r="L18">
        <f>IFERROR(AVERAGE(INDEX(benchmark!L:L, (ROW()-2)*$B18+2):INDEX(benchmark!L:L, (ROW()-2)*$B18 + $B18+1)), "")</f>
        <v>547</v>
      </c>
      <c r="M18">
        <f>IFERROR(AVERAGE(INDEX(benchmark!M:M, (ROW()-2)*$B18+2):INDEX(benchmark!M:M, (ROW()-2)*$B18 + $B18+1)), "")</f>
        <v>0</v>
      </c>
      <c r="N18">
        <f>IFERROR(AVERAGE(INDEX(benchmark!N:N, (ROW()-2)*$B18+2):INDEX(benchmark!N:N, (ROW()-2)*$B18 + $B18+1)), "")</f>
        <v>207</v>
      </c>
      <c r="O18">
        <f>IFERROR(AVERAGE(INDEX(benchmark!O:O, (ROW()-2)*$B18+2):INDEX(benchmark!O:O, (ROW()-2)*$B18 + $B18+1)), "")</f>
        <v>0</v>
      </c>
      <c r="P18">
        <f>IFERROR(AVERAGE(INDEX(benchmark!P:P, (ROW()-2)*$B18+2):INDEX(benchmark!P:P, (ROW()-2)*$B18 + $B18+1)), "")</f>
        <v>204</v>
      </c>
      <c r="Q18">
        <f>IFERROR(AVERAGE(INDEX(benchmark!Q:Q, (ROW()-2)*$B18+2):INDEX(benchmark!Q:Q, (ROW()-2)*$B18 + $B18+1)), "")</f>
        <v>1.8285026270881133E-12</v>
      </c>
      <c r="R18">
        <f>IFERROR(AVERAGE(INDEX(benchmark!R:R, (ROW()-2)*$B18+2):INDEX(benchmark!R:R, (ROW()-2)*$B18 + $B18+1)), "")</f>
        <v>0.66910000000000003</v>
      </c>
      <c r="S18">
        <f>IFERROR(AVERAGE(INDEX(benchmark!S:S, (ROW()-2)*$B18+2):INDEX(benchmark!S:S, (ROW()-2)*$B18 + $B18+1)), "")</f>
        <v>4.179999999999999E-2</v>
      </c>
      <c r="T18">
        <f>IFERROR(AVERAGE(INDEX(benchmark!T:T, (ROW()-2)*$B18+2):INDEX(benchmark!T:T, (ROW()-2)*$B18 + $B18+1)), "")</f>
        <v>391</v>
      </c>
      <c r="U18">
        <f>IFERROR(AVERAGE(INDEX(benchmark!U:U, (ROW()-2)*$B18+2):INDEX(benchmark!U:U, (ROW()-2)*$B18 + $B18+1)), "")</f>
        <v>341</v>
      </c>
      <c r="V18">
        <f>IFERROR(AVERAGE(INDEX(benchmark!V:V, (ROW()-2)*$B18+2):INDEX(benchmark!V:V, (ROW()-2)*$B18 + $B18+1)), "")</f>
        <v>0</v>
      </c>
      <c r="W18">
        <f>IFERROR(AVERAGE(INDEX(benchmark!W:W, (ROW()-2)*$B18+2):INDEX(benchmark!W:W, (ROW()-2)*$B18 + $B18+1)), "")</f>
        <v>0.19540000000000007</v>
      </c>
      <c r="X18">
        <f>IFERROR(AVERAGE(INDEX(benchmark!X:X, (ROW()-2)*$B18+2):INDEX(benchmark!X:X, (ROW()-2)*$B18 + $B18+1)), "")</f>
        <v>3.5937499999999997E-2</v>
      </c>
      <c r="Y18">
        <f>IFERROR(AVERAGE(INDEX(benchmark!Y:Y, (ROW()-2)*$B18+2):INDEX(benchmark!Y:Y, (ROW()-2)*$B18 + $B18+1)), "")</f>
        <v>3.7499999999999999E-2</v>
      </c>
      <c r="Z18">
        <f>IFERROR(AVERAGE(INDEX(benchmark!Z:Z, (ROW()-2)*$B18+2):INDEX(benchmark!Z:Z, (ROW()-2)*$B18 + $B18+1)), "")</f>
        <v>7.3437500000000003E-2</v>
      </c>
      <c r="AA18">
        <f>IFERROR(AVERAGE(INDEX(benchmark!AA:AA, (ROW()-2)*$B18+2):INDEX(benchmark!AA:AA, (ROW()-2)*$B18 + $B18+1)), "")</f>
        <v>0.74049999999999994</v>
      </c>
      <c r="AB18">
        <f>IFERROR(AVERAGE(INDEX(benchmark!AB:AB, (ROW()-2)*$B18+2):INDEX(benchmark!AB:AB, (ROW()-2)*$B18 + $B18+1)), "")</f>
        <v>3.90625E-2</v>
      </c>
      <c r="AC18">
        <f>IFERROR(AVERAGE(INDEX(benchmark!AC:AC, (ROW()-2)*$B18+2):INDEX(benchmark!AC:AC, (ROW()-2)*$B18 + $B18+1)), "")</f>
        <v>0.67500000000000004</v>
      </c>
      <c r="AD18">
        <f>IFERROR(AVERAGE(INDEX(benchmark!AD:AD, (ROW()-2)*$B18+2):INDEX(benchmark!AD:AD, (ROW()-2)*$B18 + $B18+1)), "")</f>
        <v>0.71406250000000004</v>
      </c>
      <c r="AE18">
        <f>IFERROR(AVERAGE(INDEX(benchmark!AE:AE, (ROW()-2)*$B18+2):INDEX(benchmark!AE:AE, (ROW()-2)*$B18 + $B18+1)), "")</f>
        <v>16623</v>
      </c>
      <c r="AF18">
        <f>IFERROR(AVERAGE(INDEX(benchmark!AF:AF, (ROW()-2)*$B18+2):INDEX(benchmark!AF:AF, (ROW()-2)*$B18 + $B18+1)), "")</f>
        <v>391</v>
      </c>
      <c r="AG18">
        <f>IFERROR(AVERAGE(INDEX(benchmark!AG:AG, (ROW()-2)*$B18+2):INDEX(benchmark!AG:AG, (ROW()-2)*$B18 + $B18+1)), "")</f>
        <v>16624</v>
      </c>
      <c r="AH18">
        <f>IFERROR(AVERAGE(INDEX(benchmark!AH:AH, (ROW()-2)*$B18+2):INDEX(benchmark!AH:AH, (ROW()-2)*$B18 + $B18+1)), "")</f>
        <v>341</v>
      </c>
      <c r="AI18">
        <f>IFERROR(AVERAGE(INDEX(benchmark!AI:AI, (ROW()-2)*$B18+2):INDEX(benchmark!AI:AI, (ROW()-2)*$B18 + $B18+1)), "")</f>
        <v>1.9903321759259261E-2</v>
      </c>
      <c r="AJ18">
        <f>IFERROR(AVERAGE(INDEX(benchmark!AJ:AJ, (ROW()-2)*$B18+2):INDEX(benchmark!AJ:AJ, (ROW()-2)*$B18 + $B18+1)), "")</f>
        <v>1.9915636574074073E-2</v>
      </c>
      <c r="AK18" cm="1">
        <f t="array" ref="AK18">IFERROR(AVERAGE(INDEX(benchmark!W:W, (ROW()-2)*$B18+2):INDEX(benchmark!W:W, (ROW()-2)*$B18 + $B18+1) + INDEX(benchmark!AA:AA, (ROW()-2)*$B18+2):INDEX(benchmark!AA:AA, (ROW()-2)*$B18 + $B18+1)), "")</f>
        <v>0.93589999999999984</v>
      </c>
      <c r="AL18" cm="1">
        <f t="array" ref="AL18">IFERROR(MIN(INDEX(benchmark!W:W, (ROW()-2)*$B18+2):INDEX(benchmark!W:W, (ROW()-2)*$B18 + $B18+1) + INDEX(benchmark!AA:AA, (ROW()-2)*$B18+2):INDEX(benchmark!AA:AA, (ROW()-2)*$B18 + $B18+1)), "")</f>
        <v>0.875</v>
      </c>
      <c r="AM18" cm="1">
        <f t="array" ref="AM18">IFERROR(MAX(INDEX(benchmark!W:W, (ROW()-2)*$B18+2):INDEX(benchmark!W:W, (ROW()-2)*$B18 + $B18+1) + INDEX(benchmark!AA:AA, (ROW()-2)*$B18+2):INDEX(benchmark!AA:AA, (ROW()-2)*$B18 + $B18+1)), "")</f>
        <v>1.0629999999999999</v>
      </c>
      <c r="AN18" cm="1">
        <f t="array" ref="AN18">IFERROR(AVERAGE(MOD(VALUE(INDEX(benchmark!AJ:AJ, (ROW()-2)*$B18+2):INDEX(benchmark!AJ:AJ, (ROW()-2)*$B18 + $B18+1)) - VALUE(INDEX(benchmark!AI:AI, (ROW()-2)*$B18+2):INDEX(benchmark!AI:AI, (ROW()-2)*$B18 + $B18+1)), 1) * 86400), "")</f>
        <v>1.0639999999999561</v>
      </c>
      <c r="AO18" cm="1">
        <f t="array" ref="AO18">IFERROR(MIN(MOD(VALUE(INDEX(benchmark!AJ:AJ, (ROW()-2)*$B18+2):INDEX(benchmark!AJ:AJ, (ROW()-2)*$B18 + $B18+1)) - VALUE(INDEX(benchmark!AI:AI, (ROW()-2)*$B18+2):INDEX(benchmark!AI:AI, (ROW()-2)*$B18 + $B18+1)), 1) * 86400), "")</f>
        <v>0.95999999999999419</v>
      </c>
      <c r="AP18" cm="1">
        <f t="array" ref="AP18">IFERROR(MAX(MOD(VALUE(INDEX(benchmark!AJ:AJ, (ROW()-2)*$B18+2):INDEX(benchmark!AJ:AJ, (ROW()-2)*$B18 + $B18+1)) - VALUE(INDEX(benchmark!AI:AI, (ROW()-2)*$B18+2):INDEX(benchmark!AI:AI, (ROW()-2)*$B18 + $B18+1)), 1) * 86400), "")</f>
        <v>1.1999999999997679</v>
      </c>
      <c r="AQ18">
        <f>IFERROR(AVERAGE(INDEX(benchmark!S:S, (ROW()-2)*$B18+2):INDEX(benchmark!S:S, (ROW()-2)*$B18 + $B18+1)), "")</f>
        <v>4.179999999999999E-2</v>
      </c>
      <c r="AR18">
        <f>IFERROR(MIN(INDEX(benchmark!S:S, (ROW()-2)*$B18+2):INDEX(benchmark!S:S, (ROW()-2)*$B18 + $B18+1)), "")</f>
        <v>2.8000000000000001E-2</v>
      </c>
      <c r="AS18">
        <f>IFERROR(MAX(INDEX(benchmark!S:S, (ROW()-2)*$B18+2):INDEX(benchmark!S:S, (ROW()-2)*$B18 + $B18+1)), "")</f>
        <v>0.05</v>
      </c>
    </row>
    <row r="19" spans="1:45" x14ac:dyDescent="0.25">
      <c r="A19" t="str" cm="1">
        <f t="array" ref="A19">INDEX(benchmark!A:A, (ROW()-2)*$B19+2)</f>
        <v>kinematic-car-knitro</v>
      </c>
      <c r="B19">
        <f>COUNTIF(benchmark!A:A, benchmark!A19)</f>
        <v>10</v>
      </c>
      <c r="C19" t="str" cm="1">
        <f t="array" ref="C19">INDEX(benchmark!C:C, (ROW()-2)*$B19+2)</f>
        <v>Knitro</v>
      </c>
      <c r="D19" t="str" cm="1">
        <f t="array" ref="D19">INDEX(benchmark!D:D, (ROW()-2)*$B19+2)</f>
        <v>14.2.0</v>
      </c>
      <c r="E19" t="str" cm="1">
        <f t="array" ref="E19">INDEX(benchmark!E:E, (ROW()-2)*$B19+2)</f>
        <v/>
      </c>
      <c r="F19" t="str">
        <f>IFERROR(AVERAGE(INDEX(benchmark!F:F, (ROW()-2)*$B19+2):INDEX(benchmark!F:F, (ROW()-2)*$B19 + $B19+1)), "")</f>
        <v/>
      </c>
      <c r="G19" t="str">
        <f>IFERROR(AVERAGE(INDEX(benchmark!G:G, (ROW()-2)*$B19+2):INDEX(benchmark!G:G, (ROW()-2)*$B19 + $B19+1)), "")</f>
        <v/>
      </c>
      <c r="H19" t="str">
        <f>IFERROR(AVERAGE(INDEX(benchmark!H:H, (ROW()-2)*$B19+2):INDEX(benchmark!H:H, (ROW()-2)*$B19 + $B19+1)), "")</f>
        <v/>
      </c>
      <c r="I19" t="str">
        <f>IFERROR(AVERAGE(INDEX(benchmark!I:I, (ROW()-2)*$B19+2):INDEX(benchmark!I:I, (ROW()-2)*$B19 + $B19+1)), "")</f>
        <v/>
      </c>
      <c r="J19" t="str">
        <f>IFERROR(AVERAGE(INDEX(benchmark!J:J, (ROW()-2)*$B19+2):INDEX(benchmark!J:J, (ROW()-2)*$B19 + $B19+1)), "")</f>
        <v/>
      </c>
      <c r="K19" t="str">
        <f>IFERROR(AVERAGE(INDEX(benchmark!K:K, (ROW()-2)*$B19+2):INDEX(benchmark!K:K, (ROW()-2)*$B19 + $B19+1)), "")</f>
        <v/>
      </c>
      <c r="L19" t="str">
        <f>IFERROR(AVERAGE(INDEX(benchmark!L:L, (ROW()-2)*$B19+2):INDEX(benchmark!L:L, (ROW()-2)*$B19 + $B19+1)), "")</f>
        <v/>
      </c>
      <c r="M19" t="str">
        <f>IFERROR(AVERAGE(INDEX(benchmark!M:M, (ROW()-2)*$B19+2):INDEX(benchmark!M:M, (ROW()-2)*$B19 + $B19+1)), "")</f>
        <v/>
      </c>
      <c r="N19" t="str">
        <f>IFERROR(AVERAGE(INDEX(benchmark!N:N, (ROW()-2)*$B19+2):INDEX(benchmark!N:N, (ROW()-2)*$B19 + $B19+1)), "")</f>
        <v/>
      </c>
      <c r="O19" t="str">
        <f>IFERROR(AVERAGE(INDEX(benchmark!O:O, (ROW()-2)*$B19+2):INDEX(benchmark!O:O, (ROW()-2)*$B19 + $B19+1)), "")</f>
        <v/>
      </c>
      <c r="P19" t="str">
        <f>IFERROR(AVERAGE(INDEX(benchmark!P:P, (ROW()-2)*$B19+2):INDEX(benchmark!P:P, (ROW()-2)*$B19 + $B19+1)), "")</f>
        <v/>
      </c>
      <c r="Q19" t="str">
        <f>IFERROR(AVERAGE(INDEX(benchmark!Q:Q, (ROW()-2)*$B19+2):INDEX(benchmark!Q:Q, (ROW()-2)*$B19 + $B19+1)), "")</f>
        <v/>
      </c>
      <c r="R19" t="str">
        <f>IFERROR(AVERAGE(INDEX(benchmark!R:R, (ROW()-2)*$B19+2):INDEX(benchmark!R:R, (ROW()-2)*$B19 + $B19+1)), "")</f>
        <v/>
      </c>
      <c r="S19" t="str">
        <f>IFERROR(AVERAGE(INDEX(benchmark!S:S, (ROW()-2)*$B19+2):INDEX(benchmark!S:S, (ROW()-2)*$B19 + $B19+1)), "")</f>
        <v/>
      </c>
      <c r="T19" t="str">
        <f>IFERROR(AVERAGE(INDEX(benchmark!T:T, (ROW()-2)*$B19+2):INDEX(benchmark!T:T, (ROW()-2)*$B19 + $B19+1)), "")</f>
        <v/>
      </c>
      <c r="U19" t="str">
        <f>IFERROR(AVERAGE(INDEX(benchmark!U:U, (ROW()-2)*$B19+2):INDEX(benchmark!U:U, (ROW()-2)*$B19 + $B19+1)), "")</f>
        <v/>
      </c>
      <c r="V19" t="str">
        <f>IFERROR(AVERAGE(INDEX(benchmark!V:V, (ROW()-2)*$B19+2):INDEX(benchmark!V:V, (ROW()-2)*$B19 + $B19+1)), "")</f>
        <v/>
      </c>
      <c r="W19" t="str">
        <f>IFERROR(AVERAGE(INDEX(benchmark!W:W, (ROW()-2)*$B19+2):INDEX(benchmark!W:W, (ROW()-2)*$B19 + $B19+1)), "")</f>
        <v/>
      </c>
      <c r="X19" t="str">
        <f>IFERROR(AVERAGE(INDEX(benchmark!X:X, (ROW()-2)*$B19+2):INDEX(benchmark!X:X, (ROW()-2)*$B19 + $B19+1)), "")</f>
        <v/>
      </c>
      <c r="Y19" t="str">
        <f>IFERROR(AVERAGE(INDEX(benchmark!Y:Y, (ROW()-2)*$B19+2):INDEX(benchmark!Y:Y, (ROW()-2)*$B19 + $B19+1)), "")</f>
        <v/>
      </c>
      <c r="Z19" t="str">
        <f>IFERROR(AVERAGE(INDEX(benchmark!Z:Z, (ROW()-2)*$B19+2):INDEX(benchmark!Z:Z, (ROW()-2)*$B19 + $B19+1)), "")</f>
        <v/>
      </c>
      <c r="AA19" t="str">
        <f>IFERROR(AVERAGE(INDEX(benchmark!AA:AA, (ROW()-2)*$B19+2):INDEX(benchmark!AA:AA, (ROW()-2)*$B19 + $B19+1)), "")</f>
        <v/>
      </c>
      <c r="AB19" t="str">
        <f>IFERROR(AVERAGE(INDEX(benchmark!AB:AB, (ROW()-2)*$B19+2):INDEX(benchmark!AB:AB, (ROW()-2)*$B19 + $B19+1)), "")</f>
        <v/>
      </c>
      <c r="AC19" t="str">
        <f>IFERROR(AVERAGE(INDEX(benchmark!AC:AC, (ROW()-2)*$B19+2):INDEX(benchmark!AC:AC, (ROW()-2)*$B19 + $B19+1)), "")</f>
        <v/>
      </c>
      <c r="AD19" t="str">
        <f>IFERROR(AVERAGE(INDEX(benchmark!AD:AD, (ROW()-2)*$B19+2):INDEX(benchmark!AD:AD, (ROW()-2)*$B19 + $B19+1)), "")</f>
        <v/>
      </c>
      <c r="AE19" t="str">
        <f>IFERROR(AVERAGE(INDEX(benchmark!AE:AE, (ROW()-2)*$B19+2):INDEX(benchmark!AE:AE, (ROW()-2)*$B19 + $B19+1)), "")</f>
        <v/>
      </c>
      <c r="AF19" t="str">
        <f>IFERROR(AVERAGE(INDEX(benchmark!AF:AF, (ROW()-2)*$B19+2):INDEX(benchmark!AF:AF, (ROW()-2)*$B19 + $B19+1)), "")</f>
        <v/>
      </c>
      <c r="AG19" t="str">
        <f>IFERROR(AVERAGE(INDEX(benchmark!AG:AG, (ROW()-2)*$B19+2):INDEX(benchmark!AG:AG, (ROW()-2)*$B19 + $B19+1)), "")</f>
        <v/>
      </c>
      <c r="AH19" t="str">
        <f>IFERROR(AVERAGE(INDEX(benchmark!AH:AH, (ROW()-2)*$B19+2):INDEX(benchmark!AH:AH, (ROW()-2)*$B19 + $B19+1)), "")</f>
        <v/>
      </c>
      <c r="AI19">
        <f>IFERROR(AVERAGE(INDEX(benchmark!AI:AI, (ROW()-2)*$B19+2):INDEX(benchmark!AI:AI, (ROW()-2)*$B19 + $B19+1)), "")</f>
        <v>2.0003564814814818E-2</v>
      </c>
      <c r="AJ19">
        <f>IFERROR(AVERAGE(INDEX(benchmark!AJ:AJ, (ROW()-2)*$B19+2):INDEX(benchmark!AJ:AJ, (ROW()-2)*$B19 + $B19+1)), "")</f>
        <v>2.0006145833333329E-2</v>
      </c>
      <c r="AK19" cm="1">
        <f t="array" ref="AK19">IFERROR(AVERAGE(INDEX(benchmark!W:W, (ROW()-2)*$B19+2):INDEX(benchmark!W:W, (ROW()-2)*$B19 + $B19+1) + INDEX(benchmark!AA:AA, (ROW()-2)*$B19+2):INDEX(benchmark!AA:AA, (ROW()-2)*$B19 + $B19+1)), "")</f>
        <v>0</v>
      </c>
      <c r="AL19" cm="1">
        <f t="array" ref="AL19">IFERROR(MIN(INDEX(benchmark!W:W, (ROW()-2)*$B19+2):INDEX(benchmark!W:W, (ROW()-2)*$B19 + $B19+1) + INDEX(benchmark!AA:AA, (ROW()-2)*$B19+2):INDEX(benchmark!AA:AA, (ROW()-2)*$B19 + $B19+1)), "")</f>
        <v>0</v>
      </c>
      <c r="AM19" cm="1">
        <f t="array" ref="AM19">IFERROR(MAX(INDEX(benchmark!W:W, (ROW()-2)*$B19+2):INDEX(benchmark!W:W, (ROW()-2)*$B19 + $B19+1) + INDEX(benchmark!AA:AA, (ROW()-2)*$B19+2):INDEX(benchmark!AA:AA, (ROW()-2)*$B19 + $B19+1)), "")</f>
        <v>0</v>
      </c>
      <c r="AN19" cm="1">
        <f t="array" ref="AN19">IFERROR(AVERAGE(MOD(VALUE(INDEX(benchmark!AJ:AJ, (ROW()-2)*$B19+2):INDEX(benchmark!AJ:AJ, (ROW()-2)*$B19 + $B19+1)) - VALUE(INDEX(benchmark!AI:AI, (ROW()-2)*$B19+2):INDEX(benchmark!AI:AI, (ROW()-2)*$B19 + $B19+1)), 1) * 86400), "")</f>
        <v>0.22299999999996212</v>
      </c>
      <c r="AO19" cm="1">
        <f t="array" ref="AO19">IFERROR(MIN(MOD(VALUE(INDEX(benchmark!AJ:AJ, (ROW()-2)*$B19+2):INDEX(benchmark!AJ:AJ, (ROW()-2)*$B19 + $B19+1)) - VALUE(INDEX(benchmark!AI:AI, (ROW()-2)*$B19+2):INDEX(benchmark!AI:AI, (ROW()-2)*$B19 + $B19+1)), 1) * 86400), "")</f>
        <v>0.19000000000004569</v>
      </c>
      <c r="AP19" cm="1">
        <f t="array" ref="AP19">IFERROR(MAX(MOD(VALUE(INDEX(benchmark!AJ:AJ, (ROW()-2)*$B19+2):INDEX(benchmark!AJ:AJ, (ROW()-2)*$B19 + $B19+1)) - VALUE(INDEX(benchmark!AI:AI, (ROW()-2)*$B19+2):INDEX(benchmark!AI:AI, (ROW()-2)*$B19 + $B19+1)), 1) * 86400), "")</f>
        <v>0.25999999999990475</v>
      </c>
      <c r="AQ19" t="str">
        <f>IFERROR(AVERAGE(INDEX(benchmark!S:S, (ROW()-2)*$B19+2):INDEX(benchmark!S:S, (ROW()-2)*$B19 + $B19+1)), "")</f>
        <v/>
      </c>
      <c r="AR19">
        <f>IFERROR(MIN(INDEX(benchmark!S:S, (ROW()-2)*$B19+2):INDEX(benchmark!S:S, (ROW()-2)*$B19 + $B19+1)), "")</f>
        <v>0</v>
      </c>
      <c r="AS19">
        <f>IFERROR(MAX(INDEX(benchmark!S:S, (ROW()-2)*$B19+2):INDEX(benchmark!S:S, (ROW()-2)*$B19 + $B19+1)), "")</f>
        <v>0</v>
      </c>
    </row>
    <row r="20" spans="1:45" x14ac:dyDescent="0.25">
      <c r="A20" t="str" cm="1">
        <f t="array" ref="A20">INDEX(benchmark!A:A, (ROW()-2)*$B20+2)</f>
        <v>kinematic-car-lancelot</v>
      </c>
      <c r="B20">
        <f>COUNTIF(benchmark!A:A, benchmark!A20)</f>
        <v>10</v>
      </c>
      <c r="C20" t="str" cm="1">
        <f t="array" ref="C20">INDEX(benchmark!C:C, (ROW()-2)*$B20+2)</f>
        <v/>
      </c>
      <c r="D20" t="str" cm="1">
        <f t="array" ref="D20">INDEX(benchmark!D:D, (ROW()-2)*$B20+2)</f>
        <v/>
      </c>
      <c r="E20" t="str" cm="1">
        <f t="array" ref="E20">INDEX(benchmark!E:E, (ROW()-2)*$B20+2)</f>
        <v>failure</v>
      </c>
      <c r="F20">
        <f>IFERROR(AVERAGE(INDEX(benchmark!F:F, (ROW()-2)*$B20+2):INDEX(benchmark!F:F, (ROW()-2)*$B20 + $B20+1)), "")</f>
        <v>999</v>
      </c>
      <c r="G20">
        <f>IFERROR(AVERAGE(INDEX(benchmark!G:G, (ROW()-2)*$B20+2):INDEX(benchmark!G:G, (ROW()-2)*$B20 + $B20+1)), "")</f>
        <v>0</v>
      </c>
      <c r="H20" t="str">
        <f>IFERROR(AVERAGE(INDEX(benchmark!H:H, (ROW()-2)*$B20+2):INDEX(benchmark!H:H, (ROW()-2)*$B20 + $B20+1)), "")</f>
        <v/>
      </c>
      <c r="I20" t="str">
        <f>IFERROR(AVERAGE(INDEX(benchmark!I:I, (ROW()-2)*$B20+2):INDEX(benchmark!I:I, (ROW()-2)*$B20 + $B20+1)), "")</f>
        <v/>
      </c>
      <c r="J20" t="str">
        <f>IFERROR(AVERAGE(INDEX(benchmark!J:J, (ROW()-2)*$B20+2):INDEX(benchmark!J:J, (ROW()-2)*$B20 + $B20+1)), "")</f>
        <v/>
      </c>
      <c r="K20" t="str">
        <f>IFERROR(AVERAGE(INDEX(benchmark!K:K, (ROW()-2)*$B20+2):INDEX(benchmark!K:K, (ROW()-2)*$B20 + $B20+1)), "")</f>
        <v/>
      </c>
      <c r="L20" t="str">
        <f>IFERROR(AVERAGE(INDEX(benchmark!L:L, (ROW()-2)*$B20+2):INDEX(benchmark!L:L, (ROW()-2)*$B20 + $B20+1)), "")</f>
        <v/>
      </c>
      <c r="M20" t="str">
        <f>IFERROR(AVERAGE(INDEX(benchmark!M:M, (ROW()-2)*$B20+2):INDEX(benchmark!M:M, (ROW()-2)*$B20 + $B20+1)), "")</f>
        <v/>
      </c>
      <c r="N20" t="str">
        <f>IFERROR(AVERAGE(INDEX(benchmark!N:N, (ROW()-2)*$B20+2):INDEX(benchmark!N:N, (ROW()-2)*$B20 + $B20+1)), "")</f>
        <v/>
      </c>
      <c r="O20" t="str">
        <f>IFERROR(AVERAGE(INDEX(benchmark!O:O, (ROW()-2)*$B20+2):INDEX(benchmark!O:O, (ROW()-2)*$B20 + $B20+1)), "")</f>
        <v/>
      </c>
      <c r="P20" t="str">
        <f>IFERROR(AVERAGE(INDEX(benchmark!P:P, (ROW()-2)*$B20+2):INDEX(benchmark!P:P, (ROW()-2)*$B20 + $B20+1)), "")</f>
        <v/>
      </c>
      <c r="Q20" t="str">
        <f>IFERROR(AVERAGE(INDEX(benchmark!Q:Q, (ROW()-2)*$B20+2):INDEX(benchmark!Q:Q, (ROW()-2)*$B20 + $B20+1)), "")</f>
        <v/>
      </c>
      <c r="R20" t="str">
        <f>IFERROR(AVERAGE(INDEX(benchmark!R:R, (ROW()-2)*$B20+2):INDEX(benchmark!R:R, (ROW()-2)*$B20 + $B20+1)), "")</f>
        <v/>
      </c>
      <c r="S20" t="str">
        <f>IFERROR(AVERAGE(INDEX(benchmark!S:S, (ROW()-2)*$B20+2):INDEX(benchmark!S:S, (ROW()-2)*$B20 + $B20+1)), "")</f>
        <v/>
      </c>
      <c r="T20" t="str">
        <f>IFERROR(AVERAGE(INDEX(benchmark!T:T, (ROW()-2)*$B20+2):INDEX(benchmark!T:T, (ROW()-2)*$B20 + $B20+1)), "")</f>
        <v/>
      </c>
      <c r="U20" t="str">
        <f>IFERROR(AVERAGE(INDEX(benchmark!U:U, (ROW()-2)*$B20+2):INDEX(benchmark!U:U, (ROW()-2)*$B20 + $B20+1)), "")</f>
        <v/>
      </c>
      <c r="V20" t="str">
        <f>IFERROR(AVERAGE(INDEX(benchmark!V:V, (ROW()-2)*$B20+2):INDEX(benchmark!V:V, (ROW()-2)*$B20 + $B20+1)), "")</f>
        <v/>
      </c>
      <c r="W20">
        <f>IFERROR(AVERAGE(INDEX(benchmark!W:W, (ROW()-2)*$B20+2):INDEX(benchmark!W:W, (ROW()-2)*$B20 + $B20+1)), "")</f>
        <v>4.6899999999999997E-2</v>
      </c>
      <c r="X20">
        <f>IFERROR(AVERAGE(INDEX(benchmark!X:X, (ROW()-2)*$B20+2):INDEX(benchmark!X:X, (ROW()-2)*$B20 + $B20+1)), "")</f>
        <v>2.5000000000000001E-2</v>
      </c>
      <c r="Y20">
        <f>IFERROR(AVERAGE(INDEX(benchmark!Y:Y, (ROW()-2)*$B20+2):INDEX(benchmark!Y:Y, (ROW()-2)*$B20 + $B20+1)), "")</f>
        <v>3.2812500000000001E-2</v>
      </c>
      <c r="Z20">
        <f>IFERROR(AVERAGE(INDEX(benchmark!Z:Z, (ROW()-2)*$B20+2):INDEX(benchmark!Z:Z, (ROW()-2)*$B20 + $B20+1)), "")</f>
        <v>5.7812500000000003E-2</v>
      </c>
      <c r="AA20">
        <f>IFERROR(AVERAGE(INDEX(benchmark!AA:AA, (ROW()-2)*$B20+2):INDEX(benchmark!AA:AA, (ROW()-2)*$B20 + $B20+1)), "")</f>
        <v>1.6000000000000001E-3</v>
      </c>
      <c r="AB20">
        <f>IFERROR(AVERAGE(INDEX(benchmark!AB:AB, (ROW()-2)*$B20+2):INDEX(benchmark!AB:AB, (ROW()-2)*$B20 + $B20+1)), "")</f>
        <v>0</v>
      </c>
      <c r="AC20">
        <f>IFERROR(AVERAGE(INDEX(benchmark!AC:AC, (ROW()-2)*$B20+2):INDEX(benchmark!AC:AC, (ROW()-2)*$B20 + $B20+1)), "")</f>
        <v>0</v>
      </c>
      <c r="AD20">
        <f>IFERROR(AVERAGE(INDEX(benchmark!AD:AD, (ROW()-2)*$B20+2):INDEX(benchmark!AD:AD, (ROW()-2)*$B20 + $B20+1)), "")</f>
        <v>0</v>
      </c>
      <c r="AE20">
        <f>IFERROR(AVERAGE(INDEX(benchmark!AE:AE, (ROW()-2)*$B20+2):INDEX(benchmark!AE:AE, (ROW()-2)*$B20 + $B20+1)), "")</f>
        <v>16623</v>
      </c>
      <c r="AF20">
        <f>IFERROR(AVERAGE(INDEX(benchmark!AF:AF, (ROW()-2)*$B20+2):INDEX(benchmark!AF:AF, (ROW()-2)*$B20 + $B20+1)), "")</f>
        <v>391</v>
      </c>
      <c r="AG20">
        <f>IFERROR(AVERAGE(INDEX(benchmark!AG:AG, (ROW()-2)*$B20+2):INDEX(benchmark!AG:AG, (ROW()-2)*$B20 + $B20+1)), "")</f>
        <v>16624</v>
      </c>
      <c r="AH20">
        <f>IFERROR(AVERAGE(INDEX(benchmark!AH:AH, (ROW()-2)*$B20+2):INDEX(benchmark!AH:AH, (ROW()-2)*$B20 + $B20+1)), "")</f>
        <v>341</v>
      </c>
      <c r="AI20">
        <f>IFERROR(AVERAGE(INDEX(benchmark!AI:AI, (ROW()-2)*$B20+2):INDEX(benchmark!AI:AI, (ROW()-2)*$B20 + $B20+1)), "")</f>
        <v>2.0043333333333333E-2</v>
      </c>
      <c r="AJ20">
        <f>IFERROR(AVERAGE(INDEX(benchmark!AJ:AJ, (ROW()-2)*$B20+2):INDEX(benchmark!AJ:AJ, (ROW()-2)*$B20 + $B20+1)), "")</f>
        <v>2.0044953703703704E-2</v>
      </c>
      <c r="AK20" cm="1">
        <f t="array" ref="AK20">IFERROR(AVERAGE(INDEX(benchmark!W:W, (ROW()-2)*$B20+2):INDEX(benchmark!W:W, (ROW()-2)*$B20 + $B20+1) + INDEX(benchmark!AA:AA, (ROW()-2)*$B20+2):INDEX(benchmark!AA:AA, (ROW()-2)*$B20 + $B20+1)), "")</f>
        <v>4.8499999999999995E-2</v>
      </c>
      <c r="AL20" cm="1">
        <f t="array" ref="AL20">IFERROR(MIN(INDEX(benchmark!W:W, (ROW()-2)*$B20+2):INDEX(benchmark!W:W, (ROW()-2)*$B20 + $B20+1) + INDEX(benchmark!AA:AA, (ROW()-2)*$B20+2):INDEX(benchmark!AA:AA, (ROW()-2)*$B20 + $B20+1)), "")</f>
        <v>3.1E-2</v>
      </c>
      <c r="AM20" cm="1">
        <f t="array" ref="AM20">IFERROR(MAX(INDEX(benchmark!W:W, (ROW()-2)*$B20+2):INDEX(benchmark!W:W, (ROW()-2)*$B20 + $B20+1) + INDEX(benchmark!AA:AA, (ROW()-2)*$B20+2):INDEX(benchmark!AA:AA, (ROW()-2)*$B20 + $B20+1)), "")</f>
        <v>6.3E-2</v>
      </c>
      <c r="AN20" cm="1">
        <f t="array" ref="AN20">IFERROR(AVERAGE(MOD(VALUE(INDEX(benchmark!AJ:AJ, (ROW()-2)*$B20+2):INDEX(benchmark!AJ:AJ, (ROW()-2)*$B20 + $B20+1)) - VALUE(INDEX(benchmark!AI:AI, (ROW()-2)*$B20+2):INDEX(benchmark!AI:AI, (ROW()-2)*$B20 + $B20+1)), 1) * 86400), "")</f>
        <v>0.13999999999998791</v>
      </c>
      <c r="AO20" cm="1">
        <f t="array" ref="AO20">IFERROR(MIN(MOD(VALUE(INDEX(benchmark!AJ:AJ, (ROW()-2)*$B20+2):INDEX(benchmark!AJ:AJ, (ROW()-2)*$B20 + $B20+1)) - VALUE(INDEX(benchmark!AI:AI, (ROW()-2)*$B20+2):INDEX(benchmark!AI:AI, (ROW()-2)*$B20 + $B20+1)), 1) * 86400), "")</f>
        <v>0.12999999999995238</v>
      </c>
      <c r="AP20" cm="1">
        <f t="array" ref="AP20">IFERROR(MAX(MOD(VALUE(INDEX(benchmark!AJ:AJ, (ROW()-2)*$B20+2):INDEX(benchmark!AJ:AJ, (ROW()-2)*$B20 + $B20+1)) - VALUE(INDEX(benchmark!AI:AI, (ROW()-2)*$B20+2):INDEX(benchmark!AI:AI, (ROW()-2)*$B20 + $B20+1)), 1) * 86400), "")</f>
        <v>0.16000000000014891</v>
      </c>
      <c r="AQ20" t="str">
        <f>IFERROR(AVERAGE(INDEX(benchmark!S:S, (ROW()-2)*$B20+2):INDEX(benchmark!S:S, (ROW()-2)*$B20 + $B20+1)), "")</f>
        <v/>
      </c>
      <c r="AR20">
        <f>IFERROR(MIN(INDEX(benchmark!S:S, (ROW()-2)*$B20+2):INDEX(benchmark!S:S, (ROW()-2)*$B20 + $B20+1)), "")</f>
        <v>0</v>
      </c>
      <c r="AS20">
        <f>IFERROR(MAX(INDEX(benchmark!S:S, (ROW()-2)*$B20+2):INDEX(benchmark!S:S, (ROW()-2)*$B20 + $B20+1)), "")</f>
        <v>0</v>
      </c>
    </row>
    <row r="21" spans="1:45" x14ac:dyDescent="0.25">
      <c r="A21" t="str" cm="1">
        <f t="array" ref="A21">INDEX(benchmark!A:A, (ROW()-2)*$B21+2)</f>
        <v>kinematic-car-loqo</v>
      </c>
      <c r="B21">
        <f>COUNTIF(benchmark!A:A, benchmark!A21)</f>
        <v>10</v>
      </c>
      <c r="C21" t="str" cm="1">
        <f t="array" ref="C21">INDEX(benchmark!C:C, (ROW()-2)*$B21+2)</f>
        <v/>
      </c>
      <c r="D21" t="str" cm="1">
        <f t="array" ref="D21">INDEX(benchmark!D:D, (ROW()-2)*$B21+2)</f>
        <v/>
      </c>
      <c r="E21" t="str" cm="1">
        <f t="array" ref="E21">INDEX(benchmark!E:E, (ROW()-2)*$B21+2)</f>
        <v>solved</v>
      </c>
      <c r="F21">
        <f>IFERROR(AVERAGE(INDEX(benchmark!F:F, (ROW()-2)*$B21+2):INDEX(benchmark!F:F, (ROW()-2)*$B21 + $B21+1)), "")</f>
        <v>0</v>
      </c>
      <c r="G21">
        <f>IFERROR(AVERAGE(INDEX(benchmark!G:G, (ROW()-2)*$B21+2):INDEX(benchmark!G:G, (ROW()-2)*$B21 + $B21+1)), "")</f>
        <v>1.9589703821413571</v>
      </c>
      <c r="H21" t="str">
        <f>IFERROR(AVERAGE(INDEX(benchmark!H:H, (ROW()-2)*$B21+2):INDEX(benchmark!H:H, (ROW()-2)*$B21 + $B21+1)), "")</f>
        <v/>
      </c>
      <c r="I21" t="str">
        <f>IFERROR(AVERAGE(INDEX(benchmark!I:I, (ROW()-2)*$B21+2):INDEX(benchmark!I:I, (ROW()-2)*$B21 + $B21+1)), "")</f>
        <v/>
      </c>
      <c r="J21" t="str">
        <f>IFERROR(AVERAGE(INDEX(benchmark!J:J, (ROW()-2)*$B21+2):INDEX(benchmark!J:J, (ROW()-2)*$B21 + $B21+1)), "")</f>
        <v/>
      </c>
      <c r="K21" t="str">
        <f>IFERROR(AVERAGE(INDEX(benchmark!K:K, (ROW()-2)*$B21+2):INDEX(benchmark!K:K, (ROW()-2)*$B21 + $B21+1)), "")</f>
        <v/>
      </c>
      <c r="L21" t="str">
        <f>IFERROR(AVERAGE(INDEX(benchmark!L:L, (ROW()-2)*$B21+2):INDEX(benchmark!L:L, (ROW()-2)*$B21 + $B21+1)), "")</f>
        <v/>
      </c>
      <c r="M21" t="str">
        <f>IFERROR(AVERAGE(INDEX(benchmark!M:M, (ROW()-2)*$B21+2):INDEX(benchmark!M:M, (ROW()-2)*$B21 + $B21+1)), "")</f>
        <v/>
      </c>
      <c r="N21" t="str">
        <f>IFERROR(AVERAGE(INDEX(benchmark!N:N, (ROW()-2)*$B21+2):INDEX(benchmark!N:N, (ROW()-2)*$B21 + $B21+1)), "")</f>
        <v/>
      </c>
      <c r="O21" t="str">
        <f>IFERROR(AVERAGE(INDEX(benchmark!O:O, (ROW()-2)*$B21+2):INDEX(benchmark!O:O, (ROW()-2)*$B21 + $B21+1)), "")</f>
        <v/>
      </c>
      <c r="P21" t="str">
        <f>IFERROR(AVERAGE(INDEX(benchmark!P:P, (ROW()-2)*$B21+2):INDEX(benchmark!P:P, (ROW()-2)*$B21 + $B21+1)), "")</f>
        <v/>
      </c>
      <c r="Q21" t="str">
        <f>IFERROR(AVERAGE(INDEX(benchmark!Q:Q, (ROW()-2)*$B21+2):INDEX(benchmark!Q:Q, (ROW()-2)*$B21 + $B21+1)), "")</f>
        <v/>
      </c>
      <c r="R21" t="str">
        <f>IFERROR(AVERAGE(INDEX(benchmark!R:R, (ROW()-2)*$B21+2):INDEX(benchmark!R:R, (ROW()-2)*$B21 + $B21+1)), "")</f>
        <v/>
      </c>
      <c r="S21" t="str">
        <f>IFERROR(AVERAGE(INDEX(benchmark!S:S, (ROW()-2)*$B21+2):INDEX(benchmark!S:S, (ROW()-2)*$B21 + $B21+1)), "")</f>
        <v/>
      </c>
      <c r="T21" t="str">
        <f>IFERROR(AVERAGE(INDEX(benchmark!T:T, (ROW()-2)*$B21+2):INDEX(benchmark!T:T, (ROW()-2)*$B21 + $B21+1)), "")</f>
        <v/>
      </c>
      <c r="U21" t="str">
        <f>IFERROR(AVERAGE(INDEX(benchmark!U:U, (ROW()-2)*$B21+2):INDEX(benchmark!U:U, (ROW()-2)*$B21 + $B21+1)), "")</f>
        <v/>
      </c>
      <c r="V21" t="str">
        <f>IFERROR(AVERAGE(INDEX(benchmark!V:V, (ROW()-2)*$B21+2):INDEX(benchmark!V:V, (ROW()-2)*$B21 + $B21+1)), "")</f>
        <v/>
      </c>
      <c r="W21">
        <f>IFERROR(AVERAGE(INDEX(benchmark!W:W, (ROW()-2)*$B21+2):INDEX(benchmark!W:W, (ROW()-2)*$B21 + $B21+1)), "")</f>
        <v>0.16389999999999999</v>
      </c>
      <c r="X21">
        <f>IFERROR(AVERAGE(INDEX(benchmark!X:X, (ROW()-2)*$B21+2):INDEX(benchmark!X:X, (ROW()-2)*$B21 + $B21+1)), "")</f>
        <v>2.9687499999999999E-2</v>
      </c>
      <c r="Y21">
        <f>IFERROR(AVERAGE(INDEX(benchmark!Y:Y, (ROW()-2)*$B21+2):INDEX(benchmark!Y:Y, (ROW()-2)*$B21 + $B21+1)), "")</f>
        <v>5.1562499999999997E-2</v>
      </c>
      <c r="Z21">
        <f>IFERROR(AVERAGE(INDEX(benchmark!Z:Z, (ROW()-2)*$B21+2):INDEX(benchmark!Z:Z, (ROW()-2)*$B21 + $B21+1)), "")</f>
        <v>8.1250000000000003E-2</v>
      </c>
      <c r="AA21">
        <f>IFERROR(AVERAGE(INDEX(benchmark!AA:AA, (ROW()-2)*$B21+2):INDEX(benchmark!AA:AA, (ROW()-2)*$B21 + $B21+1)), "")</f>
        <v>0.1328</v>
      </c>
      <c r="AB21">
        <f>IFERROR(AVERAGE(INDEX(benchmark!AB:AB, (ROW()-2)*$B21+2):INDEX(benchmark!AB:AB, (ROW()-2)*$B21 + $B21+1)), "")</f>
        <v>1.7187500000000001E-2</v>
      </c>
      <c r="AC21">
        <f>IFERROR(AVERAGE(INDEX(benchmark!AC:AC, (ROW()-2)*$B21+2):INDEX(benchmark!AC:AC, (ROW()-2)*$B21 + $B21+1)), "")</f>
        <v>1.5625E-2</v>
      </c>
      <c r="AD21">
        <f>IFERROR(AVERAGE(INDEX(benchmark!AD:AD, (ROW()-2)*$B21+2):INDEX(benchmark!AD:AD, (ROW()-2)*$B21 + $B21+1)), "")</f>
        <v>3.2812500000000001E-2</v>
      </c>
      <c r="AE21">
        <f>IFERROR(AVERAGE(INDEX(benchmark!AE:AE, (ROW()-2)*$B21+2):INDEX(benchmark!AE:AE, (ROW()-2)*$B21 + $B21+1)), "")</f>
        <v>16623</v>
      </c>
      <c r="AF21">
        <f>IFERROR(AVERAGE(INDEX(benchmark!AF:AF, (ROW()-2)*$B21+2):INDEX(benchmark!AF:AF, (ROW()-2)*$B21 + $B21+1)), "")</f>
        <v>391</v>
      </c>
      <c r="AG21">
        <f>IFERROR(AVERAGE(INDEX(benchmark!AG:AG, (ROW()-2)*$B21+2):INDEX(benchmark!AG:AG, (ROW()-2)*$B21 + $B21+1)), "")</f>
        <v>16624</v>
      </c>
      <c r="AH21">
        <f>IFERROR(AVERAGE(INDEX(benchmark!AH:AH, (ROW()-2)*$B21+2):INDEX(benchmark!AH:AH, (ROW()-2)*$B21 + $B21+1)), "")</f>
        <v>341</v>
      </c>
      <c r="AI21">
        <f>IFERROR(AVERAGE(INDEX(benchmark!AI:AI, (ROW()-2)*$B21+2):INDEX(benchmark!AI:AI, (ROW()-2)*$B21 + $B21+1)), "")</f>
        <v>2.0094467592592591E-2</v>
      </c>
      <c r="AJ21">
        <f>IFERROR(AVERAGE(INDEX(benchmark!AJ:AJ, (ROW()-2)*$B21+2):INDEX(benchmark!AJ:AJ, (ROW()-2)*$B21 + $B21+1)), "")</f>
        <v>2.0099305555555554E-2</v>
      </c>
      <c r="AK21" cm="1">
        <f t="array" ref="AK21">IFERROR(AVERAGE(INDEX(benchmark!W:W, (ROW()-2)*$B21+2):INDEX(benchmark!W:W, (ROW()-2)*$B21 + $B21+1) + INDEX(benchmark!AA:AA, (ROW()-2)*$B21+2):INDEX(benchmark!AA:AA, (ROW()-2)*$B21 + $B21+1)), "")</f>
        <v>0.29670000000000002</v>
      </c>
      <c r="AL21" cm="1">
        <f t="array" ref="AL21">IFERROR(MIN(INDEX(benchmark!W:W, (ROW()-2)*$B21+2):INDEX(benchmark!W:W, (ROW()-2)*$B21 + $B21+1) + INDEX(benchmark!AA:AA, (ROW()-2)*$B21+2):INDEX(benchmark!AA:AA, (ROW()-2)*$B21 + $B21+1)), "")</f>
        <v>0.21900000000000003</v>
      </c>
      <c r="AM21" cm="1">
        <f t="array" ref="AM21">IFERROR(MAX(INDEX(benchmark!W:W, (ROW()-2)*$B21+2):INDEX(benchmark!W:W, (ROW()-2)*$B21 + $B21+1) + INDEX(benchmark!AA:AA, (ROW()-2)*$B21+2):INDEX(benchmark!AA:AA, (ROW()-2)*$B21 + $B21+1)), "")</f>
        <v>0.79600000000000004</v>
      </c>
      <c r="AN21" cm="1">
        <f t="array" ref="AN21">IFERROR(AVERAGE(MOD(VALUE(INDEX(benchmark!AJ:AJ, (ROW()-2)*$B21+2):INDEX(benchmark!AJ:AJ, (ROW()-2)*$B21 + $B21+1)) - VALUE(INDEX(benchmark!AI:AI, (ROW()-2)*$B21+2):INDEX(benchmark!AI:AI, (ROW()-2)*$B21 + $B21+1)), 1) * 86400), "")</f>
        <v>0.41800000000004056</v>
      </c>
      <c r="AO21" cm="1">
        <f t="array" ref="AO21">IFERROR(MIN(MOD(VALUE(INDEX(benchmark!AJ:AJ, (ROW()-2)*$B21+2):INDEX(benchmark!AJ:AJ, (ROW()-2)*$B21 + $B21+1)) - VALUE(INDEX(benchmark!AI:AI, (ROW()-2)*$B21+2):INDEX(benchmark!AI:AI, (ROW()-2)*$B21 + $B21+1)), 1) * 86400), "")</f>
        <v>0.33999999999982933</v>
      </c>
      <c r="AP21" cm="1">
        <f t="array" ref="AP21">IFERROR(MAX(MOD(VALUE(INDEX(benchmark!AJ:AJ, (ROW()-2)*$B21+2):INDEX(benchmark!AJ:AJ, (ROW()-2)*$B21 + $B21+1)) - VALUE(INDEX(benchmark!AI:AI, (ROW()-2)*$B21+2):INDEX(benchmark!AI:AI, (ROW()-2)*$B21 + $B21+1)), 1) * 86400), "")</f>
        <v>0.89000000000013513</v>
      </c>
      <c r="AQ21" t="str">
        <f>IFERROR(AVERAGE(INDEX(benchmark!S:S, (ROW()-2)*$B21+2):INDEX(benchmark!S:S, (ROW()-2)*$B21 + $B21+1)), "")</f>
        <v/>
      </c>
      <c r="AR21">
        <f>IFERROR(MIN(INDEX(benchmark!S:S, (ROW()-2)*$B21+2):INDEX(benchmark!S:S, (ROW()-2)*$B21 + $B21+1)), "")</f>
        <v>0</v>
      </c>
      <c r="AS21">
        <f>IFERROR(MAX(INDEX(benchmark!S:S, (ROW()-2)*$B21+2):INDEX(benchmark!S:S, (ROW()-2)*$B21 + $B21+1)), "")</f>
        <v>0</v>
      </c>
    </row>
    <row r="22" spans="1:45" x14ac:dyDescent="0.25">
      <c r="A22" t="str" cm="1">
        <f t="array" ref="A22">INDEX(benchmark!A:A, (ROW()-2)*$B22+2)</f>
        <v>kinematic-car-minos</v>
      </c>
      <c r="B22">
        <f>COUNTIF(benchmark!A:A, benchmark!A22)</f>
        <v>10</v>
      </c>
      <c r="C22" t="str" cm="1">
        <f t="array" ref="C22">INDEX(benchmark!C:C, (ROW()-2)*$B22+2)</f>
        <v/>
      </c>
      <c r="D22" t="str" cm="1">
        <f t="array" ref="D22">INDEX(benchmark!D:D, (ROW()-2)*$B22+2)</f>
        <v/>
      </c>
      <c r="E22" t="str" cm="1">
        <f t="array" ref="E22">INDEX(benchmark!E:E, (ROW()-2)*$B22+2)</f>
        <v>infeasible</v>
      </c>
      <c r="F22">
        <f>IFERROR(AVERAGE(INDEX(benchmark!F:F, (ROW()-2)*$B22+2):INDEX(benchmark!F:F, (ROW()-2)*$B22 + $B22+1)), "")</f>
        <v>200</v>
      </c>
      <c r="G22">
        <f>IFERROR(AVERAGE(INDEX(benchmark!G:G, (ROW()-2)*$B22+2):INDEX(benchmark!G:G, (ROW()-2)*$B22 + $B22+1)), "")</f>
        <v>0</v>
      </c>
      <c r="H22" t="str">
        <f>IFERROR(AVERAGE(INDEX(benchmark!H:H, (ROW()-2)*$B22+2):INDEX(benchmark!H:H, (ROW()-2)*$B22 + $B22+1)), "")</f>
        <v/>
      </c>
      <c r="I22" t="str">
        <f>IFERROR(AVERAGE(INDEX(benchmark!I:I, (ROW()-2)*$B22+2):INDEX(benchmark!I:I, (ROW()-2)*$B22 + $B22+1)), "")</f>
        <v/>
      </c>
      <c r="J22" t="str">
        <f>IFERROR(AVERAGE(INDEX(benchmark!J:J, (ROW()-2)*$B22+2):INDEX(benchmark!J:J, (ROW()-2)*$B22 + $B22+1)), "")</f>
        <v/>
      </c>
      <c r="K22" t="str">
        <f>IFERROR(AVERAGE(INDEX(benchmark!K:K, (ROW()-2)*$B22+2):INDEX(benchmark!K:K, (ROW()-2)*$B22 + $B22+1)), "")</f>
        <v/>
      </c>
      <c r="L22" t="str">
        <f>IFERROR(AVERAGE(INDEX(benchmark!L:L, (ROW()-2)*$B22+2):INDEX(benchmark!L:L, (ROW()-2)*$B22 + $B22+1)), "")</f>
        <v/>
      </c>
      <c r="M22" t="str">
        <f>IFERROR(AVERAGE(INDEX(benchmark!M:M, (ROW()-2)*$B22+2):INDEX(benchmark!M:M, (ROW()-2)*$B22 + $B22+1)), "")</f>
        <v/>
      </c>
      <c r="N22" t="str">
        <f>IFERROR(AVERAGE(INDEX(benchmark!N:N, (ROW()-2)*$B22+2):INDEX(benchmark!N:N, (ROW()-2)*$B22 + $B22+1)), "")</f>
        <v/>
      </c>
      <c r="O22" t="str">
        <f>IFERROR(AVERAGE(INDEX(benchmark!O:O, (ROW()-2)*$B22+2):INDEX(benchmark!O:O, (ROW()-2)*$B22 + $B22+1)), "")</f>
        <v/>
      </c>
      <c r="P22" t="str">
        <f>IFERROR(AVERAGE(INDEX(benchmark!P:P, (ROW()-2)*$B22+2):INDEX(benchmark!P:P, (ROW()-2)*$B22 + $B22+1)), "")</f>
        <v/>
      </c>
      <c r="Q22" t="str">
        <f>IFERROR(AVERAGE(INDEX(benchmark!Q:Q, (ROW()-2)*$B22+2):INDEX(benchmark!Q:Q, (ROW()-2)*$B22 + $B22+1)), "")</f>
        <v/>
      </c>
      <c r="R22" t="str">
        <f>IFERROR(AVERAGE(INDEX(benchmark!R:R, (ROW()-2)*$B22+2):INDEX(benchmark!R:R, (ROW()-2)*$B22 + $B22+1)), "")</f>
        <v/>
      </c>
      <c r="S22" t="str">
        <f>IFERROR(AVERAGE(INDEX(benchmark!S:S, (ROW()-2)*$B22+2):INDEX(benchmark!S:S, (ROW()-2)*$B22 + $B22+1)), "")</f>
        <v/>
      </c>
      <c r="T22" t="str">
        <f>IFERROR(AVERAGE(INDEX(benchmark!T:T, (ROW()-2)*$B22+2):INDEX(benchmark!T:T, (ROW()-2)*$B22 + $B22+1)), "")</f>
        <v/>
      </c>
      <c r="U22" t="str">
        <f>IFERROR(AVERAGE(INDEX(benchmark!U:U, (ROW()-2)*$B22+2):INDEX(benchmark!U:U, (ROW()-2)*$B22 + $B22+1)), "")</f>
        <v/>
      </c>
      <c r="V22" t="str">
        <f>IFERROR(AVERAGE(INDEX(benchmark!V:V, (ROW()-2)*$B22+2):INDEX(benchmark!V:V, (ROW()-2)*$B22 + $B22+1)), "")</f>
        <v/>
      </c>
      <c r="W22">
        <f>IFERROR(AVERAGE(INDEX(benchmark!W:W, (ROW()-2)*$B22+2):INDEX(benchmark!W:W, (ROW()-2)*$B22 + $B22+1)), "")</f>
        <v>0.1794</v>
      </c>
      <c r="X22">
        <f>IFERROR(AVERAGE(INDEX(benchmark!X:X, (ROW()-2)*$B22+2):INDEX(benchmark!X:X, (ROW()-2)*$B22 + $B22+1)), "")</f>
        <v>3.7499999999999999E-2</v>
      </c>
      <c r="Y22">
        <f>IFERROR(AVERAGE(INDEX(benchmark!Y:Y, (ROW()-2)*$B22+2):INDEX(benchmark!Y:Y, (ROW()-2)*$B22 + $B22+1)), "")</f>
        <v>4.0625000000000001E-2</v>
      </c>
      <c r="Z22">
        <f>IFERROR(AVERAGE(INDEX(benchmark!Z:Z, (ROW()-2)*$B22+2):INDEX(benchmark!Z:Z, (ROW()-2)*$B22 + $B22+1)), "")</f>
        <v>7.8125E-2</v>
      </c>
      <c r="AA22">
        <f>IFERROR(AVERAGE(INDEX(benchmark!AA:AA, (ROW()-2)*$B22+2):INDEX(benchmark!AA:AA, (ROW()-2)*$B22 + $B22+1)), "")</f>
        <v>0.14090000000000003</v>
      </c>
      <c r="AB22">
        <f>IFERROR(AVERAGE(INDEX(benchmark!AB:AB, (ROW()-2)*$B22+2):INDEX(benchmark!AB:AB, (ROW()-2)*$B22 + $B22+1)), "")</f>
        <v>2.6562499999999999E-2</v>
      </c>
      <c r="AC22">
        <f>IFERROR(AVERAGE(INDEX(benchmark!AC:AC, (ROW()-2)*$B22+2):INDEX(benchmark!AC:AC, (ROW()-2)*$B22 + $B22+1)), "")</f>
        <v>4.0625000000000001E-2</v>
      </c>
      <c r="AD22">
        <f>IFERROR(AVERAGE(INDEX(benchmark!AD:AD, (ROW()-2)*$B22+2):INDEX(benchmark!AD:AD, (ROW()-2)*$B22 + $B22+1)), "")</f>
        <v>6.7187499999999997E-2</v>
      </c>
      <c r="AE22">
        <f>IFERROR(AVERAGE(INDEX(benchmark!AE:AE, (ROW()-2)*$B22+2):INDEX(benchmark!AE:AE, (ROW()-2)*$B22 + $B22+1)), "")</f>
        <v>16623</v>
      </c>
      <c r="AF22">
        <f>IFERROR(AVERAGE(INDEX(benchmark!AF:AF, (ROW()-2)*$B22+2):INDEX(benchmark!AF:AF, (ROW()-2)*$B22 + $B22+1)), "")</f>
        <v>391</v>
      </c>
      <c r="AG22">
        <f>IFERROR(AVERAGE(INDEX(benchmark!AG:AG, (ROW()-2)*$B22+2):INDEX(benchmark!AG:AG, (ROW()-2)*$B22 + $B22+1)), "")</f>
        <v>16624</v>
      </c>
      <c r="AH22">
        <f>IFERROR(AVERAGE(INDEX(benchmark!AH:AH, (ROW()-2)*$B22+2):INDEX(benchmark!AH:AH, (ROW()-2)*$B22 + $B22+1)), "")</f>
        <v>341</v>
      </c>
      <c r="AI22">
        <f>IFERROR(AVERAGE(INDEX(benchmark!AI:AI, (ROW()-2)*$B22+2):INDEX(benchmark!AI:AI, (ROW()-2)*$B22 + $B22+1)), "")</f>
        <v>2.0161296296296295E-2</v>
      </c>
      <c r="AJ22">
        <f>IFERROR(AVERAGE(INDEX(benchmark!AJ:AJ, (ROW()-2)*$B22+2):INDEX(benchmark!AJ:AJ, (ROW()-2)*$B22 + $B22+1)), "")</f>
        <v>2.0166203703703704E-2</v>
      </c>
      <c r="AK22" cm="1">
        <f t="array" ref="AK22">IFERROR(AVERAGE(INDEX(benchmark!W:W, (ROW()-2)*$B22+2):INDEX(benchmark!W:W, (ROW()-2)*$B22 + $B22+1) + INDEX(benchmark!AA:AA, (ROW()-2)*$B22+2):INDEX(benchmark!AA:AA, (ROW()-2)*$B22 + $B22+1)), "")</f>
        <v>0.32030000000000008</v>
      </c>
      <c r="AL22" cm="1">
        <f t="array" ref="AL22">IFERROR(MIN(INDEX(benchmark!W:W, (ROW()-2)*$B22+2):INDEX(benchmark!W:W, (ROW()-2)*$B22 + $B22+1) + INDEX(benchmark!AA:AA, (ROW()-2)*$B22+2):INDEX(benchmark!AA:AA, (ROW()-2)*$B22 + $B22+1)), "")</f>
        <v>0.28100000000000003</v>
      </c>
      <c r="AM22" cm="1">
        <f t="array" ref="AM22">IFERROR(MAX(INDEX(benchmark!W:W, (ROW()-2)*$B22+2):INDEX(benchmark!W:W, (ROW()-2)*$B22 + $B22+1) + INDEX(benchmark!AA:AA, (ROW()-2)*$B22+2):INDEX(benchmark!AA:AA, (ROW()-2)*$B22 + $B22+1)), "")</f>
        <v>0.51500000000000001</v>
      </c>
      <c r="AN22" cm="1">
        <f t="array" ref="AN22">IFERROR(AVERAGE(MOD(VALUE(INDEX(benchmark!AJ:AJ, (ROW()-2)*$B22+2):INDEX(benchmark!AJ:AJ, (ROW()-2)*$B22 + $B22+1)) - VALUE(INDEX(benchmark!AI:AI, (ROW()-2)*$B22+2):INDEX(benchmark!AI:AI, (ROW()-2)*$B22 + $B22+1)), 1) * 86400), "")</f>
        <v>0.42399999999998988</v>
      </c>
      <c r="AO22" cm="1">
        <f t="array" ref="AO22">IFERROR(MIN(MOD(VALUE(INDEX(benchmark!AJ:AJ, (ROW()-2)*$B22+2):INDEX(benchmark!AJ:AJ, (ROW()-2)*$B22 + $B22+1)) - VALUE(INDEX(benchmark!AI:AI, (ROW()-2)*$B22+2):INDEX(benchmark!AI:AI, (ROW()-2)*$B22 + $B22+1)), 1) * 86400), "")</f>
        <v>0.37000000000002586</v>
      </c>
      <c r="AP22" cm="1">
        <f t="array" ref="AP22">IFERROR(MAX(MOD(VALUE(INDEX(benchmark!AJ:AJ, (ROW()-2)*$B22+2):INDEX(benchmark!AJ:AJ, (ROW()-2)*$B22 + $B22+1)) - VALUE(INDEX(benchmark!AI:AI, (ROW()-2)*$B22+2):INDEX(benchmark!AI:AI, (ROW()-2)*$B22 + $B22+1)), 1) * 86400), "")</f>
        <v>0.58999999999996833</v>
      </c>
      <c r="AQ22" t="str">
        <f>IFERROR(AVERAGE(INDEX(benchmark!S:S, (ROW()-2)*$B22+2):INDEX(benchmark!S:S, (ROW()-2)*$B22 + $B22+1)), "")</f>
        <v/>
      </c>
      <c r="AR22">
        <f>IFERROR(MIN(INDEX(benchmark!S:S, (ROW()-2)*$B22+2):INDEX(benchmark!S:S, (ROW()-2)*$B22 + $B22+1)), "")</f>
        <v>0</v>
      </c>
      <c r="AS22">
        <f>IFERROR(MAX(INDEX(benchmark!S:S, (ROW()-2)*$B22+2):INDEX(benchmark!S:S, (ROW()-2)*$B22 + $B22+1)), "")</f>
        <v>0</v>
      </c>
    </row>
    <row r="23" spans="1:45" x14ac:dyDescent="0.25">
      <c r="A23" t="str" cm="1">
        <f t="array" ref="A23">INDEX(benchmark!A:A, (ROW()-2)*$B23+2)</f>
        <v>kinematic-car-snopt</v>
      </c>
      <c r="B23">
        <f>COUNTIF(benchmark!A:A, benchmark!A23)</f>
        <v>10</v>
      </c>
      <c r="C23" t="str" cm="1">
        <f t="array" ref="C23">INDEX(benchmark!C:C, (ROW()-2)*$B23+2)</f>
        <v/>
      </c>
      <c r="D23" t="str" cm="1">
        <f t="array" ref="D23">INDEX(benchmark!D:D, (ROW()-2)*$B23+2)</f>
        <v/>
      </c>
      <c r="E23" t="str" cm="1">
        <f t="array" ref="E23">INDEX(benchmark!E:E, (ROW()-2)*$B23+2)</f>
        <v>infeasible</v>
      </c>
      <c r="F23">
        <f>IFERROR(AVERAGE(INDEX(benchmark!F:F, (ROW()-2)*$B23+2):INDEX(benchmark!F:F, (ROW()-2)*$B23 + $B23+1)), "")</f>
        <v>204</v>
      </c>
      <c r="G23">
        <f>IFERROR(AVERAGE(INDEX(benchmark!G:G, (ROW()-2)*$B23+2):INDEX(benchmark!G:G, (ROW()-2)*$B23 + $B23+1)), "")</f>
        <v>0</v>
      </c>
      <c r="H23" t="str">
        <f>IFERROR(AVERAGE(INDEX(benchmark!H:H, (ROW()-2)*$B23+2):INDEX(benchmark!H:H, (ROW()-2)*$B23 + $B23+1)), "")</f>
        <v/>
      </c>
      <c r="I23" t="str">
        <f>IFERROR(AVERAGE(INDEX(benchmark!I:I, (ROW()-2)*$B23+2):INDEX(benchmark!I:I, (ROW()-2)*$B23 + $B23+1)), "")</f>
        <v/>
      </c>
      <c r="J23" t="str">
        <f>IFERROR(AVERAGE(INDEX(benchmark!J:J, (ROW()-2)*$B23+2):INDEX(benchmark!J:J, (ROW()-2)*$B23 + $B23+1)), "")</f>
        <v/>
      </c>
      <c r="K23" t="str">
        <f>IFERROR(AVERAGE(INDEX(benchmark!K:K, (ROW()-2)*$B23+2):INDEX(benchmark!K:K, (ROW()-2)*$B23 + $B23+1)), "")</f>
        <v/>
      </c>
      <c r="L23" t="str">
        <f>IFERROR(AVERAGE(INDEX(benchmark!L:L, (ROW()-2)*$B23+2):INDEX(benchmark!L:L, (ROW()-2)*$B23 + $B23+1)), "")</f>
        <v/>
      </c>
      <c r="M23" t="str">
        <f>IFERROR(AVERAGE(INDEX(benchmark!M:M, (ROW()-2)*$B23+2):INDEX(benchmark!M:M, (ROW()-2)*$B23 + $B23+1)), "")</f>
        <v/>
      </c>
      <c r="N23" t="str">
        <f>IFERROR(AVERAGE(INDEX(benchmark!N:N, (ROW()-2)*$B23+2):INDEX(benchmark!N:N, (ROW()-2)*$B23 + $B23+1)), "")</f>
        <v/>
      </c>
      <c r="O23" t="str">
        <f>IFERROR(AVERAGE(INDEX(benchmark!O:O, (ROW()-2)*$B23+2):INDEX(benchmark!O:O, (ROW()-2)*$B23 + $B23+1)), "")</f>
        <v/>
      </c>
      <c r="P23" t="str">
        <f>IFERROR(AVERAGE(INDEX(benchmark!P:P, (ROW()-2)*$B23+2):INDEX(benchmark!P:P, (ROW()-2)*$B23 + $B23+1)), "")</f>
        <v/>
      </c>
      <c r="Q23" t="str">
        <f>IFERROR(AVERAGE(INDEX(benchmark!Q:Q, (ROW()-2)*$B23+2):INDEX(benchmark!Q:Q, (ROW()-2)*$B23 + $B23+1)), "")</f>
        <v/>
      </c>
      <c r="R23" t="str">
        <f>IFERROR(AVERAGE(INDEX(benchmark!R:R, (ROW()-2)*$B23+2):INDEX(benchmark!R:R, (ROW()-2)*$B23 + $B23+1)), "")</f>
        <v/>
      </c>
      <c r="S23" t="str">
        <f>IFERROR(AVERAGE(INDEX(benchmark!S:S, (ROW()-2)*$B23+2):INDEX(benchmark!S:S, (ROW()-2)*$B23 + $B23+1)), "")</f>
        <v/>
      </c>
      <c r="T23" t="str">
        <f>IFERROR(AVERAGE(INDEX(benchmark!T:T, (ROW()-2)*$B23+2):INDEX(benchmark!T:T, (ROW()-2)*$B23 + $B23+1)), "")</f>
        <v/>
      </c>
      <c r="U23" t="str">
        <f>IFERROR(AVERAGE(INDEX(benchmark!U:U, (ROW()-2)*$B23+2):INDEX(benchmark!U:U, (ROW()-2)*$B23 + $B23+1)), "")</f>
        <v/>
      </c>
      <c r="V23" t="str">
        <f>IFERROR(AVERAGE(INDEX(benchmark!V:V, (ROW()-2)*$B23+2):INDEX(benchmark!V:V, (ROW()-2)*$B23 + $B23+1)), "")</f>
        <v/>
      </c>
      <c r="W23">
        <f>IFERROR(AVERAGE(INDEX(benchmark!W:W, (ROW()-2)*$B23+2):INDEX(benchmark!W:W, (ROW()-2)*$B23 + $B23+1)), "")</f>
        <v>0.16589999999999999</v>
      </c>
      <c r="X23">
        <f>IFERROR(AVERAGE(INDEX(benchmark!X:X, (ROW()-2)*$B23+2):INDEX(benchmark!X:X, (ROW()-2)*$B23 + $B23+1)), "")</f>
        <v>2.9687499999999999E-2</v>
      </c>
      <c r="Y23">
        <f>IFERROR(AVERAGE(INDEX(benchmark!Y:Y, (ROW()-2)*$B23+2):INDEX(benchmark!Y:Y, (ROW()-2)*$B23 + $B23+1)), "")</f>
        <v>4.2187500000000003E-2</v>
      </c>
      <c r="Z23">
        <f>IFERROR(AVERAGE(INDEX(benchmark!Z:Z, (ROW()-2)*$B23+2):INDEX(benchmark!Z:Z, (ROW()-2)*$B23 + $B23+1)), "")</f>
        <v>7.1874999999999994E-2</v>
      </c>
      <c r="AA23">
        <f>IFERROR(AVERAGE(INDEX(benchmark!AA:AA, (ROW()-2)*$B23+2):INDEX(benchmark!AA:AA, (ROW()-2)*$B23 + $B23+1)), "")</f>
        <v>7.9499999999999987E-2</v>
      </c>
      <c r="AB23">
        <f>IFERROR(AVERAGE(INDEX(benchmark!AB:AB, (ROW()-2)*$B23+2):INDEX(benchmark!AB:AB, (ROW()-2)*$B23 + $B23+1)), "")</f>
        <v>1.2500000000000001E-2</v>
      </c>
      <c r="AC23">
        <f>IFERROR(AVERAGE(INDEX(benchmark!AC:AC, (ROW()-2)*$B23+2):INDEX(benchmark!AC:AC, (ROW()-2)*$B23 + $B23+1)), "")</f>
        <v>1.2500000000000001E-2</v>
      </c>
      <c r="AD23">
        <f>IFERROR(AVERAGE(INDEX(benchmark!AD:AD, (ROW()-2)*$B23+2):INDEX(benchmark!AD:AD, (ROW()-2)*$B23 + $B23+1)), "")</f>
        <v>2.5000000000000001E-2</v>
      </c>
      <c r="AE23">
        <f>IFERROR(AVERAGE(INDEX(benchmark!AE:AE, (ROW()-2)*$B23+2):INDEX(benchmark!AE:AE, (ROW()-2)*$B23 + $B23+1)), "")</f>
        <v>16623</v>
      </c>
      <c r="AF23">
        <f>IFERROR(AVERAGE(INDEX(benchmark!AF:AF, (ROW()-2)*$B23+2):INDEX(benchmark!AF:AF, (ROW()-2)*$B23 + $B23+1)), "")</f>
        <v>391</v>
      </c>
      <c r="AG23">
        <f>IFERROR(AVERAGE(INDEX(benchmark!AG:AG, (ROW()-2)*$B23+2):INDEX(benchmark!AG:AG, (ROW()-2)*$B23 + $B23+1)), "")</f>
        <v>16624</v>
      </c>
      <c r="AH23">
        <f>IFERROR(AVERAGE(INDEX(benchmark!AH:AH, (ROW()-2)*$B23+2):INDEX(benchmark!AH:AH, (ROW()-2)*$B23 + $B23+1)), "")</f>
        <v>341</v>
      </c>
      <c r="AI23">
        <f>IFERROR(AVERAGE(INDEX(benchmark!AI:AI, (ROW()-2)*$B23+2):INDEX(benchmark!AI:AI, (ROW()-2)*$B23 + $B23+1)), "")</f>
        <v>2.0227291666666668E-2</v>
      </c>
      <c r="AJ23">
        <f>IFERROR(AVERAGE(INDEX(benchmark!AJ:AJ, (ROW()-2)*$B23+2):INDEX(benchmark!AJ:AJ, (ROW()-2)*$B23 + $B23+1)), "")</f>
        <v>2.0231296296296296E-2</v>
      </c>
      <c r="AK23" cm="1">
        <f t="array" ref="AK23">IFERROR(AVERAGE(INDEX(benchmark!W:W, (ROW()-2)*$B23+2):INDEX(benchmark!W:W, (ROW()-2)*$B23 + $B23+1) + INDEX(benchmark!AA:AA, (ROW()-2)*$B23+2):INDEX(benchmark!AA:AA, (ROW()-2)*$B23 + $B23+1)), "")</f>
        <v>0.24540000000000001</v>
      </c>
      <c r="AL23" cm="1">
        <f t="array" ref="AL23">IFERROR(MIN(INDEX(benchmark!W:W, (ROW()-2)*$B23+2):INDEX(benchmark!W:W, (ROW()-2)*$B23 + $B23+1) + INDEX(benchmark!AA:AA, (ROW()-2)*$B23+2):INDEX(benchmark!AA:AA, (ROW()-2)*$B23 + $B23+1)), "")</f>
        <v>0.21899999999999997</v>
      </c>
      <c r="AM23" cm="1">
        <f t="array" ref="AM23">IFERROR(MAX(INDEX(benchmark!W:W, (ROW()-2)*$B23+2):INDEX(benchmark!W:W, (ROW()-2)*$B23 + $B23+1) + INDEX(benchmark!AA:AA, (ROW()-2)*$B23+2):INDEX(benchmark!AA:AA, (ROW()-2)*$B23 + $B23+1)), "")</f>
        <v>0.375</v>
      </c>
      <c r="AN23" cm="1">
        <f t="array" ref="AN23">IFERROR(AVERAGE(MOD(VALUE(INDEX(benchmark!AJ:AJ, (ROW()-2)*$B23+2):INDEX(benchmark!AJ:AJ, (ROW()-2)*$B23 + $B23+1)) - VALUE(INDEX(benchmark!AI:AI, (ROW()-2)*$B23+2):INDEX(benchmark!AI:AI, (ROW()-2)*$B23 + $B23+1)), 1) * 86400), "")</f>
        <v>0.34599999999992859</v>
      </c>
      <c r="AO23" cm="1">
        <f t="array" ref="AO23">IFERROR(MIN(MOD(VALUE(INDEX(benchmark!AJ:AJ, (ROW()-2)*$B23+2):INDEX(benchmark!AJ:AJ, (ROW()-2)*$B23 + $B23+1)) - VALUE(INDEX(benchmark!AI:AI, (ROW()-2)*$B23+2):INDEX(benchmark!AI:AI, (ROW()-2)*$B23 + $B23+1)), 1) * 86400), "")</f>
        <v>0.28999999999980153</v>
      </c>
      <c r="AP23" cm="1">
        <f t="array" ref="AP23">IFERROR(MAX(MOD(VALUE(INDEX(benchmark!AJ:AJ, (ROW()-2)*$B23+2):INDEX(benchmark!AJ:AJ, (ROW()-2)*$B23 + $B23+1)) - VALUE(INDEX(benchmark!AI:AI, (ROW()-2)*$B23+2):INDEX(benchmark!AI:AI, (ROW()-2)*$B23 + $B23+1)), 1) * 86400), "")</f>
        <v>0.46000000000001595</v>
      </c>
      <c r="AQ23" t="str">
        <f>IFERROR(AVERAGE(INDEX(benchmark!S:S, (ROW()-2)*$B23+2):INDEX(benchmark!S:S, (ROW()-2)*$B23 + $B23+1)), "")</f>
        <v/>
      </c>
      <c r="AR23">
        <f>IFERROR(MIN(INDEX(benchmark!S:S, (ROW()-2)*$B23+2):INDEX(benchmark!S:S, (ROW()-2)*$B23 + $B23+1)), "")</f>
        <v>0</v>
      </c>
      <c r="AS23">
        <f>IFERROR(MAX(INDEX(benchmark!S:S, (ROW()-2)*$B23+2):INDEX(benchmark!S:S, (ROW()-2)*$B23 + $B23+1)), "")</f>
        <v>0</v>
      </c>
    </row>
    <row r="24" spans="1:45" x14ac:dyDescent="0.25">
      <c r="A24" t="str" cm="1">
        <f t="array" ref="A24">INDEX(benchmark!A:A, (ROW()-2)*$B24+2)</f>
        <v>moving-block</v>
      </c>
      <c r="B24">
        <f>COUNTIF(benchmark!A:A, benchmark!A24)</f>
        <v>10</v>
      </c>
      <c r="C24" t="str" cm="1">
        <f t="array" ref="C24">INDEX(benchmark!C:C, (ROW()-2)*$B24+2)</f>
        <v>Ipopt</v>
      </c>
      <c r="D24" t="str" cm="1">
        <f t="array" ref="D24">INDEX(benchmark!D:D, (ROW()-2)*$B24+2)</f>
        <v>3.12.13</v>
      </c>
      <c r="E24" t="str" cm="1">
        <f t="array" ref="E24">INDEX(benchmark!E:E, (ROW()-2)*$B24+2)</f>
        <v>solved</v>
      </c>
      <c r="F24">
        <f>IFERROR(AVERAGE(INDEX(benchmark!F:F, (ROW()-2)*$B24+2):INDEX(benchmark!F:F, (ROW()-2)*$B24 + $B24+1)), "")</f>
        <v>0</v>
      </c>
      <c r="G24">
        <f>IFERROR(AVERAGE(INDEX(benchmark!G:G, (ROW()-2)*$B24+2):INDEX(benchmark!G:G, (ROW()-2)*$B24 + $B24+1)), "")</f>
        <v>12.055857637172497</v>
      </c>
      <c r="H24" t="str">
        <f>IFERROR(AVERAGE(INDEX(benchmark!H:H, (ROW()-2)*$B24+2):INDEX(benchmark!H:H, (ROW()-2)*$B24 + $B24+1)), "")</f>
        <v/>
      </c>
      <c r="I24">
        <f>IFERROR(AVERAGE(INDEX(benchmark!I:I, (ROW()-2)*$B24+2):INDEX(benchmark!I:I, (ROW()-2)*$B24 + $B24+1)), "")</f>
        <v>7</v>
      </c>
      <c r="J24">
        <f>IFERROR(AVERAGE(INDEX(benchmark!J:J, (ROW()-2)*$B24+2):INDEX(benchmark!J:J, (ROW()-2)*$B24 + $B24+1)), "")</f>
        <v>8</v>
      </c>
      <c r="K24">
        <f>IFERROR(AVERAGE(INDEX(benchmark!K:K, (ROW()-2)*$B24+2):INDEX(benchmark!K:K, (ROW()-2)*$B24 + $B24+1)), "")</f>
        <v>8</v>
      </c>
      <c r="L24">
        <f>IFERROR(AVERAGE(INDEX(benchmark!L:L, (ROW()-2)*$B24+2):INDEX(benchmark!L:L, (ROW()-2)*$B24 + $B24+1)), "")</f>
        <v>8</v>
      </c>
      <c r="M24">
        <f>IFERROR(AVERAGE(INDEX(benchmark!M:M, (ROW()-2)*$B24+2):INDEX(benchmark!M:M, (ROW()-2)*$B24 + $B24+1)), "")</f>
        <v>0</v>
      </c>
      <c r="N24">
        <f>IFERROR(AVERAGE(INDEX(benchmark!N:N, (ROW()-2)*$B24+2):INDEX(benchmark!N:N, (ROW()-2)*$B24 + $B24+1)), "")</f>
        <v>8</v>
      </c>
      <c r="O24">
        <f>IFERROR(AVERAGE(INDEX(benchmark!O:O, (ROW()-2)*$B24+2):INDEX(benchmark!O:O, (ROW()-2)*$B24 + $B24+1)), "")</f>
        <v>0</v>
      </c>
      <c r="P24">
        <f>IFERROR(AVERAGE(INDEX(benchmark!P:P, (ROW()-2)*$B24+2):INDEX(benchmark!P:P, (ROW()-2)*$B24 + $B24+1)), "")</f>
        <v>7</v>
      </c>
      <c r="Q24">
        <f>IFERROR(AVERAGE(INDEX(benchmark!Q:Q, (ROW()-2)*$B24+2):INDEX(benchmark!Q:Q, (ROW()-2)*$B24 + $B24+1)), "")</f>
        <v>1.8735013540549517E-16</v>
      </c>
      <c r="R24">
        <f>IFERROR(AVERAGE(INDEX(benchmark!R:R, (ROW()-2)*$B24+2):INDEX(benchmark!R:R, (ROW()-2)*$B24 + $B24+1)), "")</f>
        <v>3.6000000000000003E-3</v>
      </c>
      <c r="S24">
        <f>IFERROR(AVERAGE(INDEX(benchmark!S:S, (ROW()-2)*$B24+2):INDEX(benchmark!S:S, (ROW()-2)*$B24 + $B24+1)), "")</f>
        <v>0</v>
      </c>
      <c r="T24">
        <f>IFERROR(AVERAGE(INDEX(benchmark!T:T, (ROW()-2)*$B24+2):INDEX(benchmark!T:T, (ROW()-2)*$B24 + $B24+1)), "")</f>
        <v>116</v>
      </c>
      <c r="U24">
        <f>IFERROR(AVERAGE(INDEX(benchmark!U:U, (ROW()-2)*$B24+2):INDEX(benchmark!U:U, (ROW()-2)*$B24 + $B24+1)), "")</f>
        <v>88</v>
      </c>
      <c r="V24">
        <f>IFERROR(AVERAGE(INDEX(benchmark!V:V, (ROW()-2)*$B24+2):INDEX(benchmark!V:V, (ROW()-2)*$B24 + $B24+1)), "")</f>
        <v>0</v>
      </c>
      <c r="W24">
        <f>IFERROR(AVERAGE(INDEX(benchmark!W:W, (ROW()-2)*$B24+2):INDEX(benchmark!W:W, (ROW()-2)*$B24 + $B24+1)), "")</f>
        <v>0.15939999999999999</v>
      </c>
      <c r="X24">
        <f>IFERROR(AVERAGE(INDEX(benchmark!X:X, (ROW()-2)*$B24+2):INDEX(benchmark!X:X, (ROW()-2)*$B24 + $B24+1)), "")</f>
        <v>1.0937499999999999E-2</v>
      </c>
      <c r="Y24">
        <f>IFERROR(AVERAGE(INDEX(benchmark!Y:Y, (ROW()-2)*$B24+2):INDEX(benchmark!Y:Y, (ROW()-2)*$B24 + $B24+1)), "")</f>
        <v>1.2500000000000001E-2</v>
      </c>
      <c r="Z24">
        <f>IFERROR(AVERAGE(INDEX(benchmark!Z:Z, (ROW()-2)*$B24+2):INDEX(benchmark!Z:Z, (ROW()-2)*$B24 + $B24+1)), "")</f>
        <v>2.34375E-2</v>
      </c>
      <c r="AA24">
        <f>IFERROR(AVERAGE(INDEX(benchmark!AA:AA, (ROW()-2)*$B24+2):INDEX(benchmark!AA:AA, (ROW()-2)*$B24 + $B24+1)), "")</f>
        <v>1.8700000000000005E-2</v>
      </c>
      <c r="AB24">
        <f>IFERROR(AVERAGE(INDEX(benchmark!AB:AB, (ROW()-2)*$B24+2):INDEX(benchmark!AB:AB, (ROW()-2)*$B24 + $B24+1)), "")</f>
        <v>1.2500000000000001E-2</v>
      </c>
      <c r="AC24">
        <f>IFERROR(AVERAGE(INDEX(benchmark!AC:AC, (ROW()-2)*$B24+2):INDEX(benchmark!AC:AC, (ROW()-2)*$B24 + $B24+1)), "")</f>
        <v>3.1250000000000002E-3</v>
      </c>
      <c r="AD24">
        <f>IFERROR(AVERAGE(INDEX(benchmark!AD:AD, (ROW()-2)*$B24+2):INDEX(benchmark!AD:AD, (ROW()-2)*$B24 + $B24+1)), "")</f>
        <v>1.5625E-2</v>
      </c>
      <c r="AE24">
        <f>IFERROR(AVERAGE(INDEX(benchmark!AE:AE, (ROW()-2)*$B24+2):INDEX(benchmark!AE:AE, (ROW()-2)*$B24 + $B24+1)), "")</f>
        <v>6689</v>
      </c>
      <c r="AF24">
        <f>IFERROR(AVERAGE(INDEX(benchmark!AF:AF, (ROW()-2)*$B24+2):INDEX(benchmark!AF:AF, (ROW()-2)*$B24 + $B24+1)), "")</f>
        <v>116</v>
      </c>
      <c r="AG24">
        <f>IFERROR(AVERAGE(INDEX(benchmark!AG:AG, (ROW()-2)*$B24+2):INDEX(benchmark!AG:AG, (ROW()-2)*$B24 + $B24+1)), "")</f>
        <v>6722</v>
      </c>
      <c r="AH24">
        <f>IFERROR(AVERAGE(INDEX(benchmark!AH:AH, (ROW()-2)*$B24+2):INDEX(benchmark!AH:AH, (ROW()-2)*$B24 + $B24+1)), "")</f>
        <v>88</v>
      </c>
      <c r="AI24">
        <f>IFERROR(AVERAGE(INDEX(benchmark!AI:AI, (ROW()-2)*$B24+2):INDEX(benchmark!AI:AI, (ROW()-2)*$B24 + $B24+1)), "")</f>
        <v>2.0286053240740738E-2</v>
      </c>
      <c r="AJ24">
        <f>IFERROR(AVERAGE(INDEX(benchmark!AJ:AJ, (ROW()-2)*$B24+2):INDEX(benchmark!AJ:AJ, (ROW()-2)*$B24 + $B24+1)), "")</f>
        <v>2.0289305555555557E-2</v>
      </c>
      <c r="AK24" cm="1">
        <f t="array" ref="AK24">IFERROR(AVERAGE(INDEX(benchmark!W:W, (ROW()-2)*$B24+2):INDEX(benchmark!W:W, (ROW()-2)*$B24 + $B24+1) + INDEX(benchmark!AA:AA, (ROW()-2)*$B24+2):INDEX(benchmark!AA:AA, (ROW()-2)*$B24 + $B24+1)), "")</f>
        <v>0.17810000000000001</v>
      </c>
      <c r="AL24" cm="1">
        <f t="array" ref="AL24">IFERROR(MIN(INDEX(benchmark!W:W, (ROW()-2)*$B24+2):INDEX(benchmark!W:W, (ROW()-2)*$B24 + $B24+1) + INDEX(benchmark!AA:AA, (ROW()-2)*$B24+2):INDEX(benchmark!AA:AA, (ROW()-2)*$B24 + $B24+1)), "")</f>
        <v>0.156</v>
      </c>
      <c r="AM24" cm="1">
        <f t="array" ref="AM24">IFERROR(MAX(INDEX(benchmark!W:W, (ROW()-2)*$B24+2):INDEX(benchmark!W:W, (ROW()-2)*$B24 + $B24+1) + INDEX(benchmark!AA:AA, (ROW()-2)*$B24+2):INDEX(benchmark!AA:AA, (ROW()-2)*$B24 + $B24+1)), "")</f>
        <v>0.20300000000000001</v>
      </c>
      <c r="AN24" cm="1">
        <f t="array" ref="AN24">IFERROR(AVERAGE(MOD(VALUE(INDEX(benchmark!AJ:AJ, (ROW()-2)*$B24+2):INDEX(benchmark!AJ:AJ, (ROW()-2)*$B24 + $B24+1)) - VALUE(INDEX(benchmark!AI:AI, (ROW()-2)*$B24+2):INDEX(benchmark!AI:AI, (ROW()-2)*$B24 + $B24+1)), 1) * 86400), "")</f>
        <v>0.2809999999999524</v>
      </c>
      <c r="AO24" cm="1">
        <f t="array" ref="AO24">IFERROR(MIN(MOD(VALUE(INDEX(benchmark!AJ:AJ, (ROW()-2)*$B24+2):INDEX(benchmark!AJ:AJ, (ROW()-2)*$B24 + $B24+1)) - VALUE(INDEX(benchmark!AI:AI, (ROW()-2)*$B24+2):INDEX(benchmark!AI:AI, (ROW()-2)*$B24 + $B24+1)), 1) * 86400), "")</f>
        <v>0.26000000000020451</v>
      </c>
      <c r="AP24" cm="1">
        <f t="array" ref="AP24">IFERROR(MAX(MOD(VALUE(INDEX(benchmark!AJ:AJ, (ROW()-2)*$B24+2):INDEX(benchmark!AJ:AJ, (ROW()-2)*$B24 + $B24+1)) - VALUE(INDEX(benchmark!AI:AI, (ROW()-2)*$B24+2):INDEX(benchmark!AI:AI, (ROW()-2)*$B24 + $B24+1)), 1) * 86400), "")</f>
        <v>0.3000000000001668</v>
      </c>
      <c r="AQ24">
        <f>IFERROR(AVERAGE(INDEX(benchmark!S:S, (ROW()-2)*$B24+2):INDEX(benchmark!S:S, (ROW()-2)*$B24 + $B24+1)), "")</f>
        <v>0</v>
      </c>
      <c r="AR24">
        <f>IFERROR(MIN(INDEX(benchmark!S:S, (ROW()-2)*$B24+2):INDEX(benchmark!S:S, (ROW()-2)*$B24 + $B24+1)), "")</f>
        <v>0</v>
      </c>
      <c r="AS24">
        <f>IFERROR(MAX(INDEX(benchmark!S:S, (ROW()-2)*$B24+2):INDEX(benchmark!S:S, (ROW()-2)*$B24 + $B24+1)), "")</f>
        <v>0</v>
      </c>
    </row>
    <row r="25" spans="1:45" x14ac:dyDescent="0.25">
      <c r="A25" t="str" cm="1">
        <f t="array" ref="A25">INDEX(benchmark!A:A, (ROW()-2)*$B25+2)</f>
        <v>spot-col3</v>
      </c>
      <c r="B25">
        <f>COUNTIF(benchmark!A:A, benchmark!A25)</f>
        <v>10</v>
      </c>
      <c r="C25" t="str" cm="1">
        <f t="array" ref="C25">INDEX(benchmark!C:C, (ROW()-2)*$B25+2)</f>
        <v>Ipopt</v>
      </c>
      <c r="D25" t="str" cm="1">
        <f t="array" ref="D25">INDEX(benchmark!D:D, (ROW()-2)*$B25+2)</f>
        <v>3.12.13</v>
      </c>
      <c r="E25" t="str" cm="1">
        <f t="array" ref="E25">INDEX(benchmark!E:E, (ROW()-2)*$B25+2)</f>
        <v>solved</v>
      </c>
      <c r="F25">
        <f>IFERROR(AVERAGE(INDEX(benchmark!F:F, (ROW()-2)*$B25+2):INDEX(benchmark!F:F, (ROW()-2)*$B25 + $B25+1)), "")</f>
        <v>0</v>
      </c>
      <c r="G25">
        <f>IFERROR(AVERAGE(INDEX(benchmark!G:G, (ROW()-2)*$B25+2):INDEX(benchmark!G:G, (ROW()-2)*$B25 + $B25+1)), "")</f>
        <v>52328.58047445619</v>
      </c>
      <c r="H25">
        <f>IFERROR(AVERAGE(INDEX(benchmark!H:H, (ROW()-2)*$B25+2):INDEX(benchmark!H:H, (ROW()-2)*$B25 + $B25+1)), "")</f>
        <v>13250.852894543201</v>
      </c>
      <c r="I25">
        <f>IFERROR(AVERAGE(INDEX(benchmark!I:I, (ROW()-2)*$B25+2):INDEX(benchmark!I:I, (ROW()-2)*$B25 + $B25+1)), "")</f>
        <v>172</v>
      </c>
      <c r="J25">
        <f>IFERROR(AVERAGE(INDEX(benchmark!J:J, (ROW()-2)*$B25+2):INDEX(benchmark!J:J, (ROW()-2)*$B25 + $B25+1)), "")</f>
        <v>187</v>
      </c>
      <c r="K25">
        <f>IFERROR(AVERAGE(INDEX(benchmark!K:K, (ROW()-2)*$B25+2):INDEX(benchmark!K:K, (ROW()-2)*$B25 + $B25+1)), "")</f>
        <v>171</v>
      </c>
      <c r="L25">
        <f>IFERROR(AVERAGE(INDEX(benchmark!L:L, (ROW()-2)*$B25+2):INDEX(benchmark!L:L, (ROW()-2)*$B25 + $B25+1)), "")</f>
        <v>187</v>
      </c>
      <c r="M25">
        <f>IFERROR(AVERAGE(INDEX(benchmark!M:M, (ROW()-2)*$B25+2):INDEX(benchmark!M:M, (ROW()-2)*$B25 + $B25+1)), "")</f>
        <v>187</v>
      </c>
      <c r="N25">
        <f>IFERROR(AVERAGE(INDEX(benchmark!N:N, (ROW()-2)*$B25+2):INDEX(benchmark!N:N, (ROW()-2)*$B25 + $B25+1)), "")</f>
        <v>175</v>
      </c>
      <c r="O25">
        <f>IFERROR(AVERAGE(INDEX(benchmark!O:O, (ROW()-2)*$B25+2):INDEX(benchmark!O:O, (ROW()-2)*$B25 + $B25+1)), "")</f>
        <v>175</v>
      </c>
      <c r="P25">
        <f>IFERROR(AVERAGE(INDEX(benchmark!P:P, (ROW()-2)*$B25+2):INDEX(benchmark!P:P, (ROW()-2)*$B25 + $B25+1)), "")</f>
        <v>172</v>
      </c>
      <c r="Q25">
        <f>IFERROR(AVERAGE(INDEX(benchmark!Q:Q, (ROW()-2)*$B25+2):INDEX(benchmark!Q:Q, (ROW()-2)*$B25 + $B25+1)), "")</f>
        <v>4.2721381987576024E-11</v>
      </c>
      <c r="R25">
        <f>IFERROR(AVERAGE(INDEX(benchmark!R:R, (ROW()-2)*$B25+2):INDEX(benchmark!R:R, (ROW()-2)*$B25 + $B25+1)), "")</f>
        <v>33.558</v>
      </c>
      <c r="S25">
        <f>IFERROR(AVERAGE(INDEX(benchmark!S:S, (ROW()-2)*$B25+2):INDEX(benchmark!S:S, (ROW()-2)*$B25 + $B25+1)), "")</f>
        <v>152.01589999999999</v>
      </c>
      <c r="T25">
        <f>IFERROR(AVERAGE(INDEX(benchmark!T:T, (ROW()-2)*$B25+2):INDEX(benchmark!T:T, (ROW()-2)*$B25 + $B25+1)), "")</f>
        <v>14854</v>
      </c>
      <c r="U25">
        <f>IFERROR(AVERAGE(INDEX(benchmark!U:U, (ROW()-2)*$B25+2):INDEX(benchmark!U:U, (ROW()-2)*$B25 + $B25+1)), "")</f>
        <v>14228</v>
      </c>
      <c r="V25">
        <f>IFERROR(AVERAGE(INDEX(benchmark!V:V, (ROW()-2)*$B25+2):INDEX(benchmark!V:V, (ROW()-2)*$B25 + $B25+1)), "")</f>
        <v>480</v>
      </c>
      <c r="W25">
        <f>IFERROR(AVERAGE(INDEX(benchmark!W:W, (ROW()-2)*$B25+2):INDEX(benchmark!W:W, (ROW()-2)*$B25 + $B25+1)), "")</f>
        <v>13.170300000000006</v>
      </c>
      <c r="X25">
        <f>IFERROR(AVERAGE(INDEX(benchmark!X:X, (ROW()-2)*$B25+2):INDEX(benchmark!X:X, (ROW()-2)*$B25 + $B25+1)), "")</f>
        <v>1.9156249999999999</v>
      </c>
      <c r="Y25">
        <f>IFERROR(AVERAGE(INDEX(benchmark!Y:Y, (ROW()-2)*$B25+2):INDEX(benchmark!Y:Y, (ROW()-2)*$B25 + $B25+1)), "")</f>
        <v>10.828125</v>
      </c>
      <c r="Z25">
        <f>IFERROR(AVERAGE(INDEX(benchmark!Z:Z, (ROW()-2)*$B25+2):INDEX(benchmark!Z:Z, (ROW()-2)*$B25 + $B25+1)), "")</f>
        <v>12.74375</v>
      </c>
      <c r="AA25">
        <f>IFERROR(AVERAGE(INDEX(benchmark!AA:AA, (ROW()-2)*$B25+2):INDEX(benchmark!AA:AA, (ROW()-2)*$B25 + $B25+1)), "")</f>
        <v>186.56869999999998</v>
      </c>
      <c r="AB25">
        <f>IFERROR(AVERAGE(INDEX(benchmark!AB:AB, (ROW()-2)*$B25+2):INDEX(benchmark!AB:AB, (ROW()-2)*$B25 + $B25+1)), "")</f>
        <v>2.0249999999999999</v>
      </c>
      <c r="AC25">
        <f>IFERROR(AVERAGE(INDEX(benchmark!AC:AC, (ROW()-2)*$B25+2):INDEX(benchmark!AC:AC, (ROW()-2)*$B25 + $B25+1)), "")</f>
        <v>183.71562499999999</v>
      </c>
      <c r="AD25">
        <f>IFERROR(AVERAGE(INDEX(benchmark!AD:AD, (ROW()-2)*$B25+2):INDEX(benchmark!AD:AD, (ROW()-2)*$B25 + $B25+1)), "")</f>
        <v>185.74062499999999</v>
      </c>
      <c r="AE25">
        <f>IFERROR(AVERAGE(INDEX(benchmark!AE:AE, (ROW()-2)*$B25+2):INDEX(benchmark!AE:AE, (ROW()-2)*$B25 + $B25+1)), "")</f>
        <v>2460541</v>
      </c>
      <c r="AF25">
        <f>IFERROR(AVERAGE(INDEX(benchmark!AF:AF, (ROW()-2)*$B25+2):INDEX(benchmark!AF:AF, (ROW()-2)*$B25 + $B25+1)), "")</f>
        <v>14854</v>
      </c>
      <c r="AG25">
        <f>IFERROR(AVERAGE(INDEX(benchmark!AG:AG, (ROW()-2)*$B25+2):INDEX(benchmark!AG:AG, (ROW()-2)*$B25 + $B25+1)), "")</f>
        <v>2467453</v>
      </c>
      <c r="AH25">
        <f>IFERROR(AVERAGE(INDEX(benchmark!AH:AH, (ROW()-2)*$B25+2):INDEX(benchmark!AH:AH, (ROW()-2)*$B25 + $B25+1)), "")</f>
        <v>14708</v>
      </c>
      <c r="AI25">
        <f>IFERROR(AVERAGE(INDEX(benchmark!AI:AI, (ROW()-2)*$B25+2):INDEX(benchmark!AI:AI, (ROW()-2)*$B25 + $B25+1)), "")</f>
        <v>3.0793969907407411E-2</v>
      </c>
      <c r="AJ25">
        <f>IFERROR(AVERAGE(INDEX(benchmark!AJ:AJ, (ROW()-2)*$B25+2):INDEX(benchmark!AJ:AJ, (ROW()-2)*$B25 + $B25+1)), "")</f>
        <v>3.3111400462962959E-2</v>
      </c>
      <c r="AK25" cm="1">
        <f t="array" ref="AK25">IFERROR(AVERAGE(INDEX(benchmark!W:W, (ROW()-2)*$B25+2):INDEX(benchmark!W:W, (ROW()-2)*$B25 + $B25+1) + INDEX(benchmark!AA:AA, (ROW()-2)*$B25+2):INDEX(benchmark!AA:AA, (ROW()-2)*$B25 + $B25+1)), "")</f>
        <v>199.73899999999998</v>
      </c>
      <c r="AL25" cm="1">
        <f t="array" ref="AL25">IFERROR(MIN(INDEX(benchmark!W:W, (ROW()-2)*$B25+2):INDEX(benchmark!W:W, (ROW()-2)*$B25 + $B25+1) + INDEX(benchmark!AA:AA, (ROW()-2)*$B25+2):INDEX(benchmark!AA:AA, (ROW()-2)*$B25 + $B25+1)), "")</f>
        <v>196.48400000000001</v>
      </c>
      <c r="AM25" cm="1">
        <f t="array" ref="AM25">IFERROR(MAX(INDEX(benchmark!W:W, (ROW()-2)*$B25+2):INDEX(benchmark!W:W, (ROW()-2)*$B25 + $B25+1) + INDEX(benchmark!AA:AA, (ROW()-2)*$B25+2):INDEX(benchmark!AA:AA, (ROW()-2)*$B25 + $B25+1)), "")</f>
        <v>203.56300000000002</v>
      </c>
      <c r="AN25" cm="1">
        <f t="array" ref="AN25">IFERROR(AVERAGE(MOD(VALUE(INDEX(benchmark!AJ:AJ, (ROW()-2)*$B25+2):INDEX(benchmark!AJ:AJ, (ROW()-2)*$B25 + $B25+1)) - VALUE(INDEX(benchmark!AI:AI, (ROW()-2)*$B25+2):INDEX(benchmark!AI:AI, (ROW()-2)*$B25 + $B25+1)), 1) * 86400), "")</f>
        <v>200.22599999999989</v>
      </c>
      <c r="AO25" cm="1">
        <f t="array" ref="AO25">IFERROR(MIN(MOD(VALUE(INDEX(benchmark!AJ:AJ, (ROW()-2)*$B25+2):INDEX(benchmark!AJ:AJ, (ROW()-2)*$B25 + $B25+1)) - VALUE(INDEX(benchmark!AI:AI, (ROW()-2)*$B25+2):INDEX(benchmark!AI:AI, (ROW()-2)*$B25 + $B25+1)), 1) * 86400), "")</f>
        <v>196.92999999999995</v>
      </c>
      <c r="AP25" cm="1">
        <f t="array" ref="AP25">IFERROR(MAX(MOD(VALUE(INDEX(benchmark!AJ:AJ, (ROW()-2)*$B25+2):INDEX(benchmark!AJ:AJ, (ROW()-2)*$B25 + $B25+1)) - VALUE(INDEX(benchmark!AI:AI, (ROW()-2)*$B25+2):INDEX(benchmark!AI:AI, (ROW()-2)*$B25 + $B25+1)), 1) * 86400), "")</f>
        <v>204.01999999999964</v>
      </c>
      <c r="AQ25">
        <f>IFERROR(AVERAGE(INDEX(benchmark!S:S, (ROW()-2)*$B25+2):INDEX(benchmark!S:S, (ROW()-2)*$B25 + $B25+1)), "")</f>
        <v>152.01589999999999</v>
      </c>
      <c r="AR25">
        <f>IFERROR(MIN(INDEX(benchmark!S:S, (ROW()-2)*$B25+2):INDEX(benchmark!S:S, (ROW()-2)*$B25 + $B25+1)), "")</f>
        <v>150.34</v>
      </c>
      <c r="AS25">
        <f>IFERROR(MAX(INDEX(benchmark!S:S, (ROW()-2)*$B25+2):INDEX(benchmark!S:S, (ROW()-2)*$B25 + $B25+1)), "")</f>
        <v>154.44300000000001</v>
      </c>
    </row>
    <row r="26" spans="1:45" x14ac:dyDescent="0.25">
      <c r="A26" t="str" cm="1">
        <f t="array" ref="A26">INDEX(benchmark!A:A, (ROW()-2)*$B26+2)</f>
        <v>spot-rk1</v>
      </c>
      <c r="B26">
        <f>COUNTIF(benchmark!A:A, benchmark!A26)</f>
        <v>10</v>
      </c>
      <c r="C26" t="str" cm="1">
        <f t="array" ref="C26">INDEX(benchmark!C:C, (ROW()-2)*$B26+2)</f>
        <v>Ipopt</v>
      </c>
      <c r="D26" t="str" cm="1">
        <f t="array" ref="D26">INDEX(benchmark!D:D, (ROW()-2)*$B26+2)</f>
        <v>3.12.13</v>
      </c>
      <c r="E26" t="str" cm="1">
        <f t="array" ref="E26">INDEX(benchmark!E:E, (ROW()-2)*$B26+2)</f>
        <v>solved</v>
      </c>
      <c r="F26">
        <f>IFERROR(AVERAGE(INDEX(benchmark!F:F, (ROW()-2)*$B26+2):INDEX(benchmark!F:F, (ROW()-2)*$B26 + $B26+1)), "")</f>
        <v>0</v>
      </c>
      <c r="G26">
        <f>IFERROR(AVERAGE(INDEX(benchmark!G:G, (ROW()-2)*$B26+2):INDEX(benchmark!G:G, (ROW()-2)*$B26 + $B26+1)), "")</f>
        <v>13329.318929267814</v>
      </c>
      <c r="H26">
        <f>IFERROR(AVERAGE(INDEX(benchmark!H:H, (ROW()-2)*$B26+2):INDEX(benchmark!H:H, (ROW()-2)*$B26 + $B26+1)), "")</f>
        <v>13087.318929267831</v>
      </c>
      <c r="I26">
        <f>IFERROR(AVERAGE(INDEX(benchmark!I:I, (ROW()-2)*$B26+2):INDEX(benchmark!I:I, (ROW()-2)*$B26 + $B26+1)), "")</f>
        <v>201</v>
      </c>
      <c r="J26">
        <f>IFERROR(AVERAGE(INDEX(benchmark!J:J, (ROW()-2)*$B26+2):INDEX(benchmark!J:J, (ROW()-2)*$B26 + $B26+1)), "")</f>
        <v>228</v>
      </c>
      <c r="K26">
        <f>IFERROR(AVERAGE(INDEX(benchmark!K:K, (ROW()-2)*$B26+2):INDEX(benchmark!K:K, (ROW()-2)*$B26 + $B26+1)), "")</f>
        <v>199</v>
      </c>
      <c r="L26">
        <f>IFERROR(AVERAGE(INDEX(benchmark!L:L, (ROW()-2)*$B26+2):INDEX(benchmark!L:L, (ROW()-2)*$B26 + $B26+1)), "")</f>
        <v>228</v>
      </c>
      <c r="M26">
        <f>IFERROR(AVERAGE(INDEX(benchmark!M:M, (ROW()-2)*$B26+2):INDEX(benchmark!M:M, (ROW()-2)*$B26 + $B26+1)), "")</f>
        <v>228</v>
      </c>
      <c r="N26">
        <f>IFERROR(AVERAGE(INDEX(benchmark!N:N, (ROW()-2)*$B26+2):INDEX(benchmark!N:N, (ROW()-2)*$B26 + $B26+1)), "")</f>
        <v>209</v>
      </c>
      <c r="O26">
        <f>IFERROR(AVERAGE(INDEX(benchmark!O:O, (ROW()-2)*$B26+2):INDEX(benchmark!O:O, (ROW()-2)*$B26 + $B26+1)), "")</f>
        <v>209</v>
      </c>
      <c r="P26">
        <f>IFERROR(AVERAGE(INDEX(benchmark!P:P, (ROW()-2)*$B26+2):INDEX(benchmark!P:P, (ROW()-2)*$B26 + $B26+1)), "")</f>
        <v>201</v>
      </c>
      <c r="Q26">
        <f>IFERROR(AVERAGE(INDEX(benchmark!Q:Q, (ROW()-2)*$B26+2):INDEX(benchmark!Q:Q, (ROW()-2)*$B26 + $B26+1)), "")</f>
        <v>2.9597518880208895E-11</v>
      </c>
      <c r="R26">
        <f>IFERROR(AVERAGE(INDEX(benchmark!R:R, (ROW()-2)*$B26+2):INDEX(benchmark!R:R, (ROW()-2)*$B26 + $B26+1)), "")</f>
        <v>44.316199999999995</v>
      </c>
      <c r="S26">
        <f>IFERROR(AVERAGE(INDEX(benchmark!S:S, (ROW()-2)*$B26+2):INDEX(benchmark!S:S, (ROW()-2)*$B26 + $B26+1)), "")</f>
        <v>168.97460000000001</v>
      </c>
      <c r="T26">
        <f>IFERROR(AVERAGE(INDEX(benchmark!T:T, (ROW()-2)*$B26+2):INDEX(benchmark!T:T, (ROW()-2)*$B26 + $B26+1)), "")</f>
        <v>3706</v>
      </c>
      <c r="U26">
        <f>IFERROR(AVERAGE(INDEX(benchmark!U:U, (ROW()-2)*$B26+2):INDEX(benchmark!U:U, (ROW()-2)*$B26 + $B26+1)), "")</f>
        <v>3080</v>
      </c>
      <c r="V26">
        <f>IFERROR(AVERAGE(INDEX(benchmark!V:V, (ROW()-2)*$B26+2):INDEX(benchmark!V:V, (ROW()-2)*$B26 + $B26+1)), "")</f>
        <v>480</v>
      </c>
      <c r="W26">
        <f>IFERROR(AVERAGE(INDEX(benchmark!W:W, (ROW()-2)*$B26+2):INDEX(benchmark!W:W, (ROW()-2)*$B26 + $B26+1)), "")</f>
        <v>3.2344000000000022</v>
      </c>
      <c r="X26">
        <f>IFERROR(AVERAGE(INDEX(benchmark!X:X, (ROW()-2)*$B26+2):INDEX(benchmark!X:X, (ROW()-2)*$B26 + $B26+1)), "")</f>
        <v>0.5078125</v>
      </c>
      <c r="Y26">
        <f>IFERROR(AVERAGE(INDEX(benchmark!Y:Y, (ROW()-2)*$B26+2):INDEX(benchmark!Y:Y, (ROW()-2)*$B26 + $B26+1)), "")</f>
        <v>2.3390624999999998</v>
      </c>
      <c r="Z26">
        <f>IFERROR(AVERAGE(INDEX(benchmark!Z:Z, (ROW()-2)*$B26+2):INDEX(benchmark!Z:Z, (ROW()-2)*$B26 + $B26+1)), "")</f>
        <v>2.8468749999999998</v>
      </c>
      <c r="AA26">
        <f>IFERROR(AVERAGE(INDEX(benchmark!AA:AA, (ROW()-2)*$B26+2):INDEX(benchmark!AA:AA, (ROW()-2)*$B26 + $B26+1)), "")</f>
        <v>214.3297</v>
      </c>
      <c r="AB26">
        <f>IFERROR(AVERAGE(INDEX(benchmark!AB:AB, (ROW()-2)*$B26+2):INDEX(benchmark!AB:AB, (ROW()-2)*$B26 + $B26+1)), "")</f>
        <v>2.1906249999999998</v>
      </c>
      <c r="AC26">
        <f>IFERROR(AVERAGE(INDEX(benchmark!AC:AC, (ROW()-2)*$B26+2):INDEX(benchmark!AC:AC, (ROW()-2)*$B26 + $B26+1)), "")</f>
        <v>211.1484375</v>
      </c>
      <c r="AD26">
        <f>IFERROR(AVERAGE(INDEX(benchmark!AD:AD, (ROW()-2)*$B26+2):INDEX(benchmark!AD:AD, (ROW()-2)*$B26 + $B26+1)), "")</f>
        <v>213.33906250000001</v>
      </c>
      <c r="AE26">
        <f>IFERROR(AVERAGE(INDEX(benchmark!AE:AE, (ROW()-2)*$B26+2):INDEX(benchmark!AE:AE, (ROW()-2)*$B26 + $B26+1)), "")</f>
        <v>624391</v>
      </c>
      <c r="AF26">
        <f>IFERROR(AVERAGE(INDEX(benchmark!AF:AF, (ROW()-2)*$B26+2):INDEX(benchmark!AF:AF, (ROW()-2)*$B26 + $B26+1)), "")</f>
        <v>3706</v>
      </c>
      <c r="AG26">
        <f>IFERROR(AVERAGE(INDEX(benchmark!AG:AG, (ROW()-2)*$B26+2):INDEX(benchmark!AG:AG, (ROW()-2)*$B26 + $B26+1)), "")</f>
        <v>627703</v>
      </c>
      <c r="AH26">
        <f>IFERROR(AVERAGE(INDEX(benchmark!AH:AH, (ROW()-2)*$B26+2):INDEX(benchmark!AH:AH, (ROW()-2)*$B26 + $B26+1)), "")</f>
        <v>3560</v>
      </c>
      <c r="AI26">
        <f>IFERROR(AVERAGE(INDEX(benchmark!AI:AI, (ROW()-2)*$B26+2):INDEX(benchmark!AI:AI, (ROW()-2)*$B26 + $B26+1)), "")</f>
        <v>5.4762476851851857E-2</v>
      </c>
      <c r="AJ26">
        <f>IFERROR(AVERAGE(INDEX(benchmark!AJ:AJ, (ROW()-2)*$B26+2):INDEX(benchmark!AJ:AJ, (ROW()-2)*$B26 + $B26+1)), "")</f>
        <v>5.728315972222222E-2</v>
      </c>
      <c r="AK26" cm="1">
        <f t="array" ref="AK26">IFERROR(AVERAGE(INDEX(benchmark!W:W, (ROW()-2)*$B26+2):INDEX(benchmark!W:W, (ROW()-2)*$B26 + $B26+1) + INDEX(benchmark!AA:AA, (ROW()-2)*$B26+2):INDEX(benchmark!AA:AA, (ROW()-2)*$B26 + $B26+1)), "")</f>
        <v>217.5641</v>
      </c>
      <c r="AL26" cm="1">
        <f t="array" ref="AL26">IFERROR(MIN(INDEX(benchmark!W:W, (ROW()-2)*$B26+2):INDEX(benchmark!W:W, (ROW()-2)*$B26 + $B26+1) + INDEX(benchmark!AA:AA, (ROW()-2)*$B26+2):INDEX(benchmark!AA:AA, (ROW()-2)*$B26 + $B26+1)), "")</f>
        <v>212.46899999999999</v>
      </c>
      <c r="AM26" cm="1">
        <f t="array" ref="AM26">IFERROR(MAX(INDEX(benchmark!W:W, (ROW()-2)*$B26+2):INDEX(benchmark!W:W, (ROW()-2)*$B26 + $B26+1) + INDEX(benchmark!AA:AA, (ROW()-2)*$B26+2):INDEX(benchmark!AA:AA, (ROW()-2)*$B26 + $B26+1)), "")</f>
        <v>226.953</v>
      </c>
      <c r="AN26" cm="1">
        <f t="array" ref="AN26">IFERROR(AVERAGE(MOD(VALUE(INDEX(benchmark!AJ:AJ, (ROW()-2)*$B26+2):INDEX(benchmark!AJ:AJ, (ROW()-2)*$B26 + $B26+1)) - VALUE(INDEX(benchmark!AI:AI, (ROW()-2)*$B26+2):INDEX(benchmark!AI:AI, (ROW()-2)*$B26 + $B26+1)), 1) * 86400), "")</f>
        <v>217.78699999999981</v>
      </c>
      <c r="AO26" cm="1">
        <f t="array" ref="AO26">IFERROR(MIN(MOD(VALUE(INDEX(benchmark!AJ:AJ, (ROW()-2)*$B26+2):INDEX(benchmark!AJ:AJ, (ROW()-2)*$B26 + $B26+1)) - VALUE(INDEX(benchmark!AI:AI, (ROW()-2)*$B26+2):INDEX(benchmark!AI:AI, (ROW()-2)*$B26 + $B26+1)), 1) * 86400), "")</f>
        <v>212.70000000000016</v>
      </c>
      <c r="AP26" cm="1">
        <f t="array" ref="AP26">IFERROR(MAX(MOD(VALUE(INDEX(benchmark!AJ:AJ, (ROW()-2)*$B26+2):INDEX(benchmark!AJ:AJ, (ROW()-2)*$B26 + $B26+1)) - VALUE(INDEX(benchmark!AI:AI, (ROW()-2)*$B26+2):INDEX(benchmark!AI:AI, (ROW()-2)*$B26 + $B26+1)), 1) * 86400), "")</f>
        <v>227.19999999999922</v>
      </c>
      <c r="AQ26">
        <f>IFERROR(AVERAGE(INDEX(benchmark!S:S, (ROW()-2)*$B26+2):INDEX(benchmark!S:S, (ROW()-2)*$B26 + $B26+1)), "")</f>
        <v>168.97460000000001</v>
      </c>
      <c r="AR26">
        <f>IFERROR(MIN(INDEX(benchmark!S:S, (ROW()-2)*$B26+2):INDEX(benchmark!S:S, (ROW()-2)*$B26 + $B26+1)), "")</f>
        <v>165.077</v>
      </c>
      <c r="AS26">
        <f>IFERROR(MAX(INDEX(benchmark!S:S, (ROW()-2)*$B26+2):INDEX(benchmark!S:S, (ROW()-2)*$B26 + $B26+1)), "")</f>
        <v>177.81200000000001</v>
      </c>
    </row>
    <row r="27" spans="1:45" x14ac:dyDescent="0.25">
      <c r="A27" t="str" cm="1">
        <f t="array" ref="A27">INDEX(benchmark!A:A, (ROW()-2)*$B27+2)</f>
        <v>spot-rk4</v>
      </c>
      <c r="B27">
        <f>COUNTIF(benchmark!A:A, benchmark!A261)</f>
        <v>10</v>
      </c>
      <c r="C27" t="str" cm="1">
        <f t="array" ref="C27">INDEX(benchmark!C:C, (ROW()-2)*$B27+2)</f>
        <v>Ipopt</v>
      </c>
      <c r="D27" t="str" cm="1">
        <f t="array" ref="D27">INDEX(benchmark!D:D, (ROW()-2)*$B27+2)</f>
        <v>3.12.13</v>
      </c>
      <c r="E27" t="str" cm="1">
        <f t="array" ref="E27">INDEX(benchmark!E:E, (ROW()-2)*$B27+2)</f>
        <v>solved</v>
      </c>
      <c r="G27">
        <f>IFERROR(AVERAGE(INDEX(benchmark!G:G, (ROW()-2)*$B27+2):INDEX(benchmark!G:G, (ROW()-2)*$B27 + $B27+1)), "")</f>
        <v>52580.538726007435</v>
      </c>
      <c r="H27">
        <f>IFERROR(AVERAGE(INDEX(benchmark!H:H, (ROW()-2)*$B27+2):INDEX(benchmark!H:H, (ROW()-2)*$B27 + $B27+1)), "")</f>
        <v>13343.081305464602</v>
      </c>
      <c r="I27">
        <f>IFERROR(AVERAGE(INDEX(benchmark!I:I, (ROW()-2)*$B27+2):INDEX(benchmark!I:I, (ROW()-2)*$B27 + $B27+1)), "")</f>
        <v>136</v>
      </c>
      <c r="J27">
        <f>IFERROR(AVERAGE(INDEX(benchmark!J:J, (ROW()-2)*$B27+2):INDEX(benchmark!J:J, (ROW()-2)*$B27 + $B27+1)), "")</f>
        <v>149</v>
      </c>
      <c r="K27">
        <f>IFERROR(AVERAGE(INDEX(benchmark!K:K, (ROW()-2)*$B27+2):INDEX(benchmark!K:K, (ROW()-2)*$B27 + $B27+1)), "")</f>
        <v>135</v>
      </c>
      <c r="L27">
        <f>IFERROR(AVERAGE(INDEX(benchmark!L:L, (ROW()-2)*$B27+2):INDEX(benchmark!L:L, (ROW()-2)*$B27 + $B27+1)), "")</f>
        <v>149</v>
      </c>
      <c r="M27">
        <f>IFERROR(AVERAGE(INDEX(benchmark!M:M, (ROW()-2)*$B27+2):INDEX(benchmark!M:M, (ROW()-2)*$B27 + $B27+1)), "")</f>
        <v>149</v>
      </c>
      <c r="N27">
        <f>IFERROR(AVERAGE(INDEX(benchmark!N:N, (ROW()-2)*$B27+2):INDEX(benchmark!N:N, (ROW()-2)*$B27 + $B27+1)), "")</f>
        <v>139</v>
      </c>
      <c r="O27">
        <f>IFERROR(AVERAGE(INDEX(benchmark!O:O, (ROW()-2)*$B27+2):INDEX(benchmark!O:O, (ROW()-2)*$B27 + $B27+1)), "")</f>
        <v>139</v>
      </c>
      <c r="P27">
        <f>IFERROR(AVERAGE(INDEX(benchmark!P:P, (ROW()-2)*$B27+2):INDEX(benchmark!P:P, (ROW()-2)*$B27 + $B27+1)), "")</f>
        <v>136</v>
      </c>
      <c r="Q27">
        <f>IFERROR(AVERAGE(INDEX(benchmark!Q:Q, (ROW()-2)*$B27+2):INDEX(benchmark!Q:Q, (ROW()-2)*$B27 + $B27+1)), "")</f>
        <v>1.4488517731479217E-10</v>
      </c>
      <c r="R27">
        <f>IFERROR(AVERAGE(INDEX(benchmark!R:R, (ROW()-2)*$B27+2):INDEX(benchmark!R:R, (ROW()-2)*$B27 + $B27+1)), "")</f>
        <v>26.005200000000002</v>
      </c>
      <c r="S27">
        <f>IFERROR(AVERAGE(INDEX(benchmark!S:S, (ROW()-2)*$B27+2):INDEX(benchmark!S:S, (ROW()-2)*$B27 + $B27+1)), "")</f>
        <v>119.6144</v>
      </c>
      <c r="T27">
        <f>IFERROR(AVERAGE(INDEX(benchmark!T:T, (ROW()-2)*$B27+2):INDEX(benchmark!T:T, (ROW()-2)*$B27 + $B27+1)), "")</f>
        <v>14836</v>
      </c>
      <c r="U27">
        <f>IFERROR(AVERAGE(INDEX(benchmark!U:U, (ROW()-2)*$B27+2):INDEX(benchmark!U:U, (ROW()-2)*$B27 + $B27+1)), "")</f>
        <v>14210</v>
      </c>
      <c r="V27">
        <f>IFERROR(AVERAGE(INDEX(benchmark!V:V, (ROW()-2)*$B27+2):INDEX(benchmark!V:V, (ROW()-2)*$B27 + $B27+1)), "")</f>
        <v>480</v>
      </c>
      <c r="W27">
        <f>IFERROR(AVERAGE(INDEX(benchmark!W:W, (ROW()-2)*$B27+2):INDEX(benchmark!W:W, (ROW()-2)*$B27 + $B27+1)), "")</f>
        <v>13.253200000000007</v>
      </c>
      <c r="X27">
        <f>IFERROR(AVERAGE(INDEX(benchmark!X:X, (ROW()-2)*$B27+2):INDEX(benchmark!X:X, (ROW()-2)*$B27 + $B27+1)), "")</f>
        <v>1.7859375</v>
      </c>
      <c r="Y27">
        <f>IFERROR(AVERAGE(INDEX(benchmark!Y:Y, (ROW()-2)*$B27+2):INDEX(benchmark!Y:Y, (ROW()-2)*$B27 + $B27+1)), "")</f>
        <v>10.840624999999999</v>
      </c>
      <c r="Z27">
        <f>IFERROR(AVERAGE(INDEX(benchmark!Z:Z, (ROW()-2)*$B27+2):INDEX(benchmark!Z:Z, (ROW()-2)*$B27 + $B27+1)), "")</f>
        <v>12.6265625</v>
      </c>
      <c r="AA27">
        <f>IFERROR(AVERAGE(INDEX(benchmark!AA:AA, (ROW()-2)*$B27+2):INDEX(benchmark!AA:AA, (ROW()-2)*$B27 + $B27+1)), "")</f>
        <v>146.57670000000002</v>
      </c>
      <c r="AB27">
        <f>IFERROR(AVERAGE(INDEX(benchmark!AB:AB, (ROW()-2)*$B27+2):INDEX(benchmark!AB:AB, (ROW()-2)*$B27 + $B27+1)), "")</f>
        <v>1.8625</v>
      </c>
      <c r="AC27">
        <f>IFERROR(AVERAGE(INDEX(benchmark!AC:AC, (ROW()-2)*$B27+2):INDEX(benchmark!AC:AC, (ROW()-2)*$B27 + $B27+1)), "")</f>
        <v>144.08125000000001</v>
      </c>
      <c r="AD27">
        <f>IFERROR(AVERAGE(INDEX(benchmark!AD:AD, (ROW()-2)*$B27+2):INDEX(benchmark!AD:AD, (ROW()-2)*$B27 + $B27+1)), "")</f>
        <v>145.94374999999999</v>
      </c>
      <c r="AE27">
        <f>IFERROR(AVERAGE(INDEX(benchmark!AE:AE, (ROW()-2)*$B27+2):INDEX(benchmark!AE:AE, (ROW()-2)*$B27 + $B27+1)), "")</f>
        <v>2460541</v>
      </c>
      <c r="AF27">
        <f>IFERROR(AVERAGE(INDEX(benchmark!AF:AF, (ROW()-2)*$B27+2):INDEX(benchmark!AF:AF, (ROW()-2)*$B27 + $B27+1)), "")</f>
        <v>14836</v>
      </c>
      <c r="AG27">
        <f>IFERROR(AVERAGE(INDEX(benchmark!AG:AG, (ROW()-2)*$B27+2):INDEX(benchmark!AG:AG, (ROW()-2)*$B27 + $B27+1)), "")</f>
        <v>2467453</v>
      </c>
      <c r="AH27">
        <f>IFERROR(AVERAGE(INDEX(benchmark!AH:AH, (ROW()-2)*$B27+2):INDEX(benchmark!AH:AH, (ROW()-2)*$B27 + $B27+1)), "")</f>
        <v>14690</v>
      </c>
      <c r="AI27">
        <f>IFERROR(AVERAGE(INDEX(benchmark!AI:AI, (ROW()-2)*$B27+2):INDEX(benchmark!AI:AI, (ROW()-2)*$B27 + $B27+1)), "")</f>
        <v>7.7161898148148139E-2</v>
      </c>
      <c r="AJ27">
        <f>IFERROR(AVERAGE(INDEX(benchmark!AJ:AJ, (ROW()-2)*$B27+2):INDEX(benchmark!AJ:AJ, (ROW()-2)*$B27 + $B27+1)), "")</f>
        <v>7.9017615740740746E-2</v>
      </c>
      <c r="AK27" cm="1">
        <f t="array" ref="AK27">IFERROR(AVERAGE(INDEX(benchmark!W:W, (ROW()-2)*$B27+2):INDEX(benchmark!W:W, (ROW()-2)*$B27 + $B27+1) + INDEX(benchmark!AA:AA, (ROW()-2)*$B27+2):INDEX(benchmark!AA:AA, (ROW()-2)*$B27 + $B27+1)), "")</f>
        <v>159.82990000000001</v>
      </c>
      <c r="AL27" cm="1">
        <f t="array" ref="AL27">IFERROR(MIN(INDEX(benchmark!W:W, (ROW()-2)*$B27+2):INDEX(benchmark!W:W, (ROW()-2)*$B27 + $B27+1) + INDEX(benchmark!AA:AA, (ROW()-2)*$B27+2):INDEX(benchmark!AA:AA, (ROW()-2)*$B27 + $B27+1)), "")</f>
        <v>157.34399999999999</v>
      </c>
      <c r="AM27" cm="1">
        <f t="array" ref="AM27">IFERROR(MAX(INDEX(benchmark!W:W, (ROW()-2)*$B27+2):INDEX(benchmark!W:W, (ROW()-2)*$B27 + $B27+1) + INDEX(benchmark!AA:AA, (ROW()-2)*$B27+2):INDEX(benchmark!AA:AA, (ROW()-2)*$B27 + $B27+1)), "")</f>
        <v>167.34400000000002</v>
      </c>
      <c r="AN27" cm="1">
        <f t="array" ref="AN27">IFERROR(AVERAGE(MOD(VALUE(INDEX(benchmark!AJ:AJ, (ROW()-2)*$B27+2):INDEX(benchmark!AJ:AJ, (ROW()-2)*$B27 + $B27+1)) - VALUE(INDEX(benchmark!AI:AI, (ROW()-2)*$B27+2):INDEX(benchmark!AI:AI, (ROW()-2)*$B27 + $B27+1)), 1) * 86400), "")</f>
        <v>160.334</v>
      </c>
      <c r="AO27" cm="1">
        <f t="array" ref="AO27">IFERROR(MIN(MOD(VALUE(INDEX(benchmark!AJ:AJ, (ROW()-2)*$B27+2):INDEX(benchmark!AJ:AJ, (ROW()-2)*$B27 + $B27+1)) - VALUE(INDEX(benchmark!AI:AI, (ROW()-2)*$B27+2):INDEX(benchmark!AI:AI, (ROW()-2)*$B27 + $B27+1)), 1) * 86400), "")</f>
        <v>157.83000000000041</v>
      </c>
      <c r="AP27" cm="1">
        <f t="array" ref="AP27">IFERROR(MAX(MOD(VALUE(INDEX(benchmark!AJ:AJ, (ROW()-2)*$B27+2):INDEX(benchmark!AJ:AJ, (ROW()-2)*$B27 + $B27+1)) - VALUE(INDEX(benchmark!AI:AI, (ROW()-2)*$B27+2):INDEX(benchmark!AI:AI, (ROW()-2)*$B27 + $B27+1)), 1) * 86400), "")</f>
        <v>167.93000000000063</v>
      </c>
      <c r="AQ27">
        <f>IFERROR(AVERAGE(INDEX(benchmark!S:S, (ROW()-2)*$B27+2):INDEX(benchmark!S:S, (ROW()-2)*$B27 + $B27+1)), "")</f>
        <v>119.6144</v>
      </c>
      <c r="AR27">
        <f>IFERROR(MIN(INDEX(benchmark!S:S, (ROW()-2)*$B27+2):INDEX(benchmark!S:S, (ROW()-2)*$B27 + $B27+1)), "")</f>
        <v>115.982</v>
      </c>
      <c r="AS27">
        <f>IFERROR(MAX(INDEX(benchmark!S:S, (ROW()-2)*$B27+2):INDEX(benchmark!S:S, (ROW()-2)*$B27 + $B27+1)), "")</f>
        <v>124.925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4B61-C83F-4BC2-B27E-4D0685BBE321}">
  <dimension ref="A1:AM27"/>
  <sheetViews>
    <sheetView topLeftCell="AB1" zoomScale="120" zoomScaleNormal="120" workbookViewId="0">
      <selection activeCell="AK15" sqref="AK15"/>
    </sheetView>
  </sheetViews>
  <sheetFormatPr defaultRowHeight="15" x14ac:dyDescent="0.25"/>
  <cols>
    <col min="1" max="1" width="21.5703125" bestFit="1" customWidth="1"/>
    <col min="2" max="2" width="4" bestFit="1" customWidth="1"/>
    <col min="3" max="3" width="7" bestFit="1" customWidth="1"/>
    <col min="4" max="4" width="7.7109375" bestFit="1" customWidth="1"/>
    <col min="5" max="5" width="42.42578125" bestFit="1" customWidth="1"/>
    <col min="6" max="7" width="12.85546875" bestFit="1" customWidth="1"/>
    <col min="8" max="8" width="9.42578125" bestFit="1" customWidth="1"/>
    <col min="9" max="9" width="8.28515625" bestFit="1" customWidth="1"/>
    <col min="10" max="10" width="9.42578125" bestFit="1" customWidth="1"/>
    <col min="11" max="11" width="7.5703125" bestFit="1" customWidth="1"/>
    <col min="12" max="12" width="9.28515625" bestFit="1" customWidth="1"/>
    <col min="13" max="13" width="6.7109375" bestFit="1" customWidth="1"/>
    <col min="14" max="14" width="8.42578125" bestFit="1" customWidth="1"/>
    <col min="15" max="15" width="9.5703125" bestFit="1" customWidth="1"/>
    <col min="16" max="16" width="28.140625" bestFit="1" customWidth="1"/>
    <col min="17" max="18" width="12.85546875" bestFit="1" customWidth="1"/>
    <col min="19" max="19" width="11.5703125" bestFit="1" customWidth="1"/>
    <col min="20" max="20" width="13.7109375" bestFit="1" customWidth="1"/>
    <col min="21" max="21" width="7.5703125" bestFit="1" customWidth="1"/>
    <col min="22" max="22" width="10" bestFit="1" customWidth="1"/>
    <col min="23" max="23" width="10.5703125" bestFit="1" customWidth="1"/>
    <col min="24" max="24" width="11" bestFit="1" customWidth="1"/>
    <col min="25" max="25" width="11.42578125" bestFit="1" customWidth="1"/>
    <col min="26" max="26" width="9.7109375" bestFit="1" customWidth="1"/>
    <col min="27" max="27" width="18.42578125" bestFit="1" customWidth="1"/>
    <col min="28" max="28" width="17.5703125" bestFit="1" customWidth="1"/>
    <col min="29" max="29" width="15.140625" bestFit="1" customWidth="1"/>
    <col min="30" max="30" width="12.85546875" bestFit="1" customWidth="1"/>
    <col min="31" max="31" width="18.42578125" bestFit="1" customWidth="1"/>
    <col min="32" max="32" width="17.5703125" bestFit="1" customWidth="1"/>
    <col min="33" max="33" width="15.140625" bestFit="1" customWidth="1"/>
    <col min="34" max="34" width="12.85546875" bestFit="1" customWidth="1"/>
    <col min="35" max="35" width="5.85546875" bestFit="1" customWidth="1"/>
    <col min="36" max="36" width="6.85546875" bestFit="1" customWidth="1"/>
    <col min="37" max="37" width="16.42578125" bestFit="1" customWidth="1"/>
    <col min="38" max="38" width="10.5703125" bestFit="1" customWidth="1"/>
    <col min="39" max="39" width="12.85546875" bestFit="1" customWidth="1"/>
  </cols>
  <sheetData>
    <row r="1" spans="1:39" x14ac:dyDescent="0.25">
      <c r="A1" t="str">
        <f>benchmark!A1</f>
        <v>model</v>
      </c>
      <c r="B1" t="str">
        <f>benchmark!B1</f>
        <v>run</v>
      </c>
      <c r="C1" t="str">
        <f>benchmark!C1</f>
        <v>solver</v>
      </c>
      <c r="D1" t="str">
        <f>benchmark!D1</f>
        <v>version</v>
      </c>
      <c r="E1" t="str">
        <f>benchmark!E1</f>
        <v>exit_status</v>
      </c>
      <c r="F1" t="str">
        <f>benchmark!F1</f>
        <v>exit_code</v>
      </c>
      <c r="G1" t="str">
        <f>benchmark!G1</f>
        <v>obj1</v>
      </c>
      <c r="H1" t="str">
        <f>benchmark!H1</f>
        <v>obj2</v>
      </c>
      <c r="I1" t="str">
        <f>benchmark!I1</f>
        <v>iterations</v>
      </c>
      <c r="J1" t="str">
        <f>benchmark!J1</f>
        <v>obj_eval</v>
      </c>
      <c r="K1" t="str">
        <f>benchmark!K1</f>
        <v>grad_eval</v>
      </c>
      <c r="L1" t="str">
        <f>benchmark!L1</f>
        <v>eq_eval</v>
      </c>
      <c r="M1" t="str">
        <f>benchmark!M1</f>
        <v>ineq_eval</v>
      </c>
      <c r="N1" t="str">
        <f>benchmark!N1</f>
        <v>eq_jac</v>
      </c>
      <c r="O1" t="str">
        <f>benchmark!O1</f>
        <v>ineq_jac</v>
      </c>
      <c r="P1" t="str">
        <f>benchmark!P1</f>
        <v>hess_eval</v>
      </c>
      <c r="Q1" t="str">
        <f>benchmark!Q1</f>
        <v>constraint_violation_unscaled</v>
      </c>
      <c r="R1" t="str">
        <f>benchmark!R1</f>
        <v>cpu_ipopt</v>
      </c>
      <c r="S1" t="str">
        <f>benchmark!S1</f>
        <v>cpu_nlp</v>
      </c>
      <c r="T1" t="str">
        <f>benchmark!T1</f>
        <v>total_vars</v>
      </c>
      <c r="U1" t="str">
        <f>benchmark!U1</f>
        <v>total_eq</v>
      </c>
      <c r="V1" t="str">
        <f>benchmark!V1</f>
        <v>total_ineq</v>
      </c>
      <c r="W1" t="str">
        <f>benchmark!W1</f>
        <v>ampl_elapsed_time</v>
      </c>
      <c r="X1" t="str">
        <f>benchmark!X1</f>
        <v>ampl_system_time</v>
      </c>
      <c r="Y1" t="str">
        <f>benchmark!Y1</f>
        <v>ampl_user_time</v>
      </c>
      <c r="Z1" t="str">
        <f>benchmark!Z1</f>
        <v>ampl_time</v>
      </c>
      <c r="AA1" t="str">
        <f>benchmark!AA1</f>
        <v>solve_elapsed_time</v>
      </c>
      <c r="AB1" t="str">
        <f>benchmark!AB1</f>
        <v>solve_system_time</v>
      </c>
      <c r="AC1" t="str">
        <f>benchmark!AC1</f>
        <v>solve_user_time</v>
      </c>
      <c r="AD1" t="str">
        <f>benchmark!AD1</f>
        <v>solve_time</v>
      </c>
      <c r="AE1" t="str">
        <f>benchmark!AE1</f>
        <v>nvars</v>
      </c>
      <c r="AF1" t="str">
        <f>benchmark!AF1</f>
        <v>snvars</v>
      </c>
      <c r="AG1" t="str">
        <f>benchmark!AG1</f>
        <v>ncons</v>
      </c>
      <c r="AH1" t="str">
        <f>benchmark!AH1</f>
        <v>sncons</v>
      </c>
      <c r="AI1" t="str">
        <f>benchmark!AI1</f>
        <v>tic</v>
      </c>
      <c r="AJ1" t="str">
        <f>benchmark!AJ1</f>
        <v>toc</v>
      </c>
      <c r="AK1" s="2" t="s">
        <v>141</v>
      </c>
      <c r="AL1" s="2" t="s">
        <v>50</v>
      </c>
      <c r="AM1" s="2" t="s">
        <v>85</v>
      </c>
    </row>
    <row r="2" spans="1:39" x14ac:dyDescent="0.25">
      <c r="A2" t="str" cm="1">
        <f t="array" ref="A2">INDEX(benchmark!A:A, (ROW()-2)*$B2+2)</f>
        <v>acrobot</v>
      </c>
      <c r="B2">
        <f>COUNTIF(benchmark!A:A, benchmark!A2)</f>
        <v>10</v>
      </c>
      <c r="C2" t="str" cm="1">
        <f t="array" ref="C2">INDEX(benchmark!C:C, (ROW()-2)*$B2+2)</f>
        <v>Ipopt</v>
      </c>
      <c r="D2" t="str" cm="1">
        <f t="array" ref="D2">INDEX(benchmark!D:D, (ROW()-2)*$B2+2)</f>
        <v>3.12.13</v>
      </c>
      <c r="E2" t="str" cm="1">
        <f t="array" ref="E2">INDEX(benchmark!E:E, (ROW()-2)*$B2+2)</f>
        <v>solved</v>
      </c>
      <c r="F2">
        <f>IFERROR(_xlfn.STDEV.S(INDEX(benchmark!F:F, (ROW()-2)*averages!$B2+2):INDEX(benchmark!F:F, (ROW()-2)*averages!$B2+averages!$B2+1)), "")</f>
        <v>0</v>
      </c>
      <c r="G2">
        <f>IFERROR(_xlfn.STDEV.S(INDEX(benchmark!G:G, (ROW()-2)*averages!$B2+2):INDEX(benchmark!G:G, (ROW()-2)*averages!$B2+averages!$B2+1)), "")</f>
        <v>1.4979556132593925E-14</v>
      </c>
      <c r="H2" t="str">
        <f>IFERROR(_xlfn.STDEV.S(INDEX(benchmark!H:H, (ROW()-2)*averages!$B2+2):INDEX(benchmark!H:H, (ROW()-2)*averages!$B2+averages!$B2+1)), "")</f>
        <v/>
      </c>
      <c r="I2">
        <f>IFERROR(_xlfn.STDEV.S(INDEX(benchmark!I:I, (ROW()-2)*averages!$B2+2):INDEX(benchmark!I:I, (ROW()-2)*averages!$B2+averages!$B2+1)), "")</f>
        <v>0</v>
      </c>
      <c r="J2">
        <f>IFERROR(_xlfn.STDEV.S(INDEX(benchmark!J:J, (ROW()-2)*averages!$B2+2):INDEX(benchmark!J:J, (ROW()-2)*averages!$B2+averages!$B2+1)), "")</f>
        <v>0</v>
      </c>
      <c r="K2">
        <f>IFERROR(_xlfn.STDEV.S(INDEX(benchmark!K:K, (ROW()-2)*averages!$B2+2):INDEX(benchmark!K:K, (ROW()-2)*averages!$B2+averages!$B2+1)), "")</f>
        <v>0</v>
      </c>
      <c r="L2">
        <f>IFERROR(_xlfn.STDEV.S(INDEX(benchmark!L:L, (ROW()-2)*averages!$B2+2):INDEX(benchmark!L:L, (ROW()-2)*averages!$B2+averages!$B2+1)), "")</f>
        <v>0</v>
      </c>
      <c r="M2">
        <f>IFERROR(_xlfn.STDEV.S(INDEX(benchmark!M:M, (ROW()-2)*averages!$B2+2):INDEX(benchmark!M:M, (ROW()-2)*averages!$B2+averages!$B2+1)), "")</f>
        <v>0</v>
      </c>
      <c r="N2">
        <f>IFERROR(_xlfn.STDEV.S(INDEX(benchmark!N:N, (ROW()-2)*averages!$B2+2):INDEX(benchmark!N:N, (ROW()-2)*averages!$B2+averages!$B2+1)), "")</f>
        <v>0</v>
      </c>
      <c r="O2">
        <f>IFERROR(_xlfn.STDEV.S(INDEX(benchmark!O:O, (ROW()-2)*averages!$B2+2):INDEX(benchmark!O:O, (ROW()-2)*averages!$B2+averages!$B2+1)), "")</f>
        <v>0</v>
      </c>
      <c r="P2">
        <f>IFERROR(_xlfn.STDEV.S(INDEX(benchmark!P:P, (ROW()-2)*averages!$B2+2):INDEX(benchmark!P:P, (ROW()-2)*averages!$B2+averages!$B2+1)), "")</f>
        <v>0</v>
      </c>
      <c r="Q2">
        <f>IFERROR(_xlfn.STDEV.S(INDEX(benchmark!Q:Q, (ROW()-2)*averages!$B2+2):INDEX(benchmark!Q:Q, (ROW()-2)*averages!$B2+averages!$B2+1)), "")</f>
        <v>0</v>
      </c>
      <c r="R2">
        <f>IFERROR(_xlfn.STDEV.S(INDEX(benchmark!R:R, (ROW()-2)*averages!$B2+2):INDEX(benchmark!R:R, (ROW()-2)*averages!$B2+averages!$B2+1)), "")</f>
        <v>3.407508050043479E-3</v>
      </c>
      <c r="S2">
        <f>IFERROR(_xlfn.STDEV.S(INDEX(benchmark!S:S, (ROW()-2)*averages!$B2+2):INDEX(benchmark!S:S, (ROW()-2)*averages!$B2+averages!$B2+1)), "")</f>
        <v>1.7029386365926401E-3</v>
      </c>
      <c r="T2">
        <f>IFERROR(_xlfn.STDEV.S(INDEX(benchmark!T:T, (ROW()-2)*averages!$B2+2):INDEX(benchmark!T:T, (ROW()-2)*averages!$B2+averages!$B2+1)), "")</f>
        <v>0</v>
      </c>
      <c r="U2">
        <f>IFERROR(_xlfn.STDEV.S(INDEX(benchmark!U:U, (ROW()-2)*averages!$B2+2):INDEX(benchmark!U:U, (ROW()-2)*averages!$B2+averages!$B2+1)), "")</f>
        <v>0</v>
      </c>
      <c r="V2">
        <f>IFERROR(_xlfn.STDEV.S(INDEX(benchmark!V:V, (ROW()-2)*averages!$B2+2):INDEX(benchmark!V:V, (ROW()-2)*averages!$B2+averages!$B2+1)), "")</f>
        <v>0</v>
      </c>
      <c r="W2">
        <f>IFERROR(_xlfn.STDEV.S(INDEX(benchmark!W:W, (ROW()-2)*averages!$B2+2):INDEX(benchmark!W:W, (ROW()-2)*averages!$B2+averages!$B2+1)), "")</f>
        <v>2.5100022133677492E-2</v>
      </c>
      <c r="X2">
        <f>IFERROR(_xlfn.STDEV.S(INDEX(benchmark!X:X, (ROW()-2)*averages!$B2+2):INDEX(benchmark!X:X, (ROW()-2)*averages!$B2+averages!$B2+1)), "")</f>
        <v>1.473139127471974E-2</v>
      </c>
      <c r="Y2">
        <f>IFERROR(_xlfn.STDEV.S(INDEX(benchmark!Y:Y, (ROW()-2)*averages!$B2+2):INDEX(benchmark!Y:Y, (ROW()-2)*averages!$B2+averages!$B2+1)), "")</f>
        <v>2.2642776165920996E-2</v>
      </c>
      <c r="Z2">
        <f>IFERROR(_xlfn.STDEV.S(INDEX(benchmark!Z:Z, (ROW()-2)*averages!$B2+2):INDEX(benchmark!Z:Z, (ROW()-2)*averages!$B2+averages!$B2+1)), "")</f>
        <v>1.7195389603353314E-2</v>
      </c>
      <c r="AA2">
        <f>IFERROR(_xlfn.STDEV.S(INDEX(benchmark!AA:AA, (ROW()-2)*averages!$B2+2):INDEX(benchmark!AA:AA, (ROW()-2)*averages!$B2+averages!$B2+1)), "")</f>
        <v>1.2609079621006792E-2</v>
      </c>
      <c r="AB2">
        <f>IFERROR(_xlfn.STDEV.S(INDEX(benchmark!AB:AB, (ROW()-2)*averages!$B2+2):INDEX(benchmark!AB:AB, (ROW()-2)*averages!$B2+averages!$B2+1)), "")</f>
        <v>1.4358384116760648E-2</v>
      </c>
      <c r="AC2">
        <f>IFERROR(_xlfn.STDEV.S(INDEX(benchmark!AC:AC, (ROW()-2)*averages!$B2+2):INDEX(benchmark!AC:AC, (ROW()-2)*averages!$B2+averages!$B2+1)), "")</f>
        <v>8.235098073355155E-3</v>
      </c>
      <c r="AD2">
        <f>IFERROR(_xlfn.STDEV.S(INDEX(benchmark!AD:AD, (ROW()-2)*averages!$B2+2):INDEX(benchmark!AD:AD, (ROW()-2)*averages!$B2+averages!$B2+1)), "")</f>
        <v>1.0546071214227392E-2</v>
      </c>
      <c r="AE2">
        <f>IFERROR(_xlfn.STDEV.S(INDEX(benchmark!AE:AE, (ROW()-2)*averages!$B2+2):INDEX(benchmark!AE:AE, (ROW()-2)*averages!$B2+averages!$B2+1)), "")</f>
        <v>0</v>
      </c>
      <c r="AF2">
        <f>IFERROR(_xlfn.STDEV.S(INDEX(benchmark!AF:AF, (ROW()-2)*averages!$B2+2):INDEX(benchmark!AF:AF, (ROW()-2)*averages!$B2+averages!$B2+1)), "")</f>
        <v>0</v>
      </c>
      <c r="AG2">
        <f>IFERROR(_xlfn.STDEV.S(INDEX(benchmark!AG:AG, (ROW()-2)*averages!$B2+2):INDEX(benchmark!AG:AG, (ROW()-2)*averages!$B2+averages!$B2+1)), "")</f>
        <v>0</v>
      </c>
      <c r="AH2">
        <f>IFERROR(_xlfn.STDEV.S(INDEX(benchmark!AH:AH, (ROW()-2)*averages!$B2+2):INDEX(benchmark!AH:AH, (ROW()-2)*averages!$B2+averages!$B2+1)), "")</f>
        <v>0</v>
      </c>
      <c r="AI2">
        <f>IFERROR(_xlfn.STDEV.S(INDEX(benchmark!AI:AI, (ROW()-2)*averages!$B2+2):INDEX(benchmark!AI:AI, (ROW()-2)*averages!$B2+averages!$B2+1)), "")</f>
        <v>1.8430943259862265E-5</v>
      </c>
      <c r="AJ2">
        <f>IFERROR(_xlfn.STDEV.S(INDEX(benchmark!AJ:AJ, (ROW()-2)*averages!$B2+2):INDEX(benchmark!AJ:AJ, (ROW()-2)*averages!$B2+averages!$B2+1)), "")</f>
        <v>1.8357067716729841E-5</v>
      </c>
      <c r="AK2" cm="1">
        <f t="array" ref="AK2">IFERROR(_xlfn.STDEV.S(INDEX(benchmark!W:W, (ROW()-2)*$B2+2):INDEX(benchmark!W:W, (ROW()-2)*$B2 + $B2+1) + INDEX(benchmark!AA:AA, (ROW()-2)*$B2+2):INDEX(benchmark!AA:AA, (ROW()-2)*$B2 + $B2+1)), "")</f>
        <v>2.9977028242009849E-2</v>
      </c>
      <c r="AL2" cm="1">
        <f t="array" ref="AL2">IFERROR(_xlfn.STDEV.S(MOD(VALUE(INDEX(benchmark!AJ:AJ, (ROW()-2)*$B2+2):INDEX(benchmark!AJ:AJ, (ROW()-2)*$B2 + $B2+1)) - VALUE(INDEX(benchmark!AI:AI, (ROW()-2)*$B2+2):INDEX(benchmark!AI:AI, (ROW()-2)*$B2 + $B2+1)), 1) * 86400), "")</f>
        <v>3.6224607965056888E-2</v>
      </c>
      <c r="AM2">
        <f>IFERROR(_xlfn.STDEV.S(INDEX(benchmark!S:S, (ROW()-2)*$B2+2):INDEX(benchmark!S:S, (ROW()-2)*$B2 + $B2+1)), "")</f>
        <v>1.7029386365926401E-3</v>
      </c>
    </row>
    <row r="3" spans="1:39" x14ac:dyDescent="0.25">
      <c r="A3" t="str" cm="1">
        <f t="array" ref="A3">INDEX(benchmark!A:A, (ROW()-2)*$B3+2)</f>
        <v>cart-pendulum-time</v>
      </c>
      <c r="B3">
        <f>COUNTIF(benchmark!A:A, benchmark!A3)</f>
        <v>10</v>
      </c>
      <c r="C3" t="str" cm="1">
        <f t="array" ref="C3">INDEX(benchmark!C:C, (ROW()-2)*$B3+2)</f>
        <v>Ipopt</v>
      </c>
      <c r="D3" t="str" cm="1">
        <f t="array" ref="D3">INDEX(benchmark!D:D, (ROW()-2)*$B3+2)</f>
        <v>3.12.13</v>
      </c>
      <c r="E3" t="str" cm="1">
        <f t="array" ref="E3">INDEX(benchmark!E:E, (ROW()-2)*$B3+2)</f>
        <v>solved</v>
      </c>
      <c r="F3">
        <f>IFERROR(_xlfn.STDEV.S(INDEX(benchmark!F:F, (ROW()-2)*averages!$B3+2):INDEX(benchmark!F:F, (ROW()-2)*averages!$B3+averages!$B3+1)), "")</f>
        <v>0</v>
      </c>
      <c r="G3">
        <f>IFERROR(_xlfn.STDEV.S(INDEX(benchmark!G:G, (ROW()-2)*averages!$B3+2):INDEX(benchmark!G:G, (ROW()-2)*averages!$B3+averages!$B3+1)), "")</f>
        <v>0</v>
      </c>
      <c r="H3" t="str">
        <f>IFERROR(_xlfn.STDEV.S(INDEX(benchmark!H:H, (ROW()-2)*averages!$B3+2):INDEX(benchmark!H:H, (ROW()-2)*averages!$B3+averages!$B3+1)), "")</f>
        <v/>
      </c>
      <c r="I3">
        <f>IFERROR(_xlfn.STDEV.S(INDEX(benchmark!I:I, (ROW()-2)*averages!$B3+2):INDEX(benchmark!I:I, (ROW()-2)*averages!$B3+averages!$B3+1)), "")</f>
        <v>0</v>
      </c>
      <c r="J3">
        <f>IFERROR(_xlfn.STDEV.S(INDEX(benchmark!J:J, (ROW()-2)*averages!$B3+2):INDEX(benchmark!J:J, (ROW()-2)*averages!$B3+averages!$B3+1)), "")</f>
        <v>0</v>
      </c>
      <c r="K3">
        <f>IFERROR(_xlfn.STDEV.S(INDEX(benchmark!K:K, (ROW()-2)*averages!$B3+2):INDEX(benchmark!K:K, (ROW()-2)*averages!$B3+averages!$B3+1)), "")</f>
        <v>0</v>
      </c>
      <c r="L3">
        <f>IFERROR(_xlfn.STDEV.S(INDEX(benchmark!L:L, (ROW()-2)*averages!$B3+2):INDEX(benchmark!L:L, (ROW()-2)*averages!$B3+averages!$B3+1)), "")</f>
        <v>0</v>
      </c>
      <c r="M3">
        <f>IFERROR(_xlfn.STDEV.S(INDEX(benchmark!M:M, (ROW()-2)*averages!$B3+2):INDEX(benchmark!M:M, (ROW()-2)*averages!$B3+averages!$B3+1)), "")</f>
        <v>0</v>
      </c>
      <c r="N3">
        <f>IFERROR(_xlfn.STDEV.S(INDEX(benchmark!N:N, (ROW()-2)*averages!$B3+2):INDEX(benchmark!N:N, (ROW()-2)*averages!$B3+averages!$B3+1)), "")</f>
        <v>0</v>
      </c>
      <c r="O3">
        <f>IFERROR(_xlfn.STDEV.S(INDEX(benchmark!O:O, (ROW()-2)*averages!$B3+2):INDEX(benchmark!O:O, (ROW()-2)*averages!$B3+averages!$B3+1)), "")</f>
        <v>0</v>
      </c>
      <c r="P3">
        <f>IFERROR(_xlfn.STDEV.S(INDEX(benchmark!P:P, (ROW()-2)*averages!$B3+2):INDEX(benchmark!P:P, (ROW()-2)*averages!$B3+averages!$B3+1)), "")</f>
        <v>0</v>
      </c>
      <c r="Q3">
        <f>IFERROR(_xlfn.STDEV.S(INDEX(benchmark!Q:Q, (ROW()-2)*averages!$B3+2):INDEX(benchmark!Q:Q, (ROW()-2)*averages!$B3+averages!$B3+1)), "")</f>
        <v>0</v>
      </c>
      <c r="R3">
        <f>IFERROR(_xlfn.STDEV.S(INDEX(benchmark!R:R, (ROW()-2)*averages!$B3+2):INDEX(benchmark!R:R, (ROW()-2)*averages!$B3+averages!$B3+1)), "")</f>
        <v>1.7919573407620818E-3</v>
      </c>
      <c r="S3">
        <f>IFERROR(_xlfn.STDEV.S(INDEX(benchmark!S:S, (ROW()-2)*averages!$B3+2):INDEX(benchmark!S:S, (ROW()-2)*averages!$B3+averages!$B3+1)), "")</f>
        <v>1.1005049346146116E-3</v>
      </c>
      <c r="T3">
        <f>IFERROR(_xlfn.STDEV.S(INDEX(benchmark!T:T, (ROW()-2)*averages!$B3+2):INDEX(benchmark!T:T, (ROW()-2)*averages!$B3+averages!$B3+1)), "")</f>
        <v>0</v>
      </c>
      <c r="U3">
        <f>IFERROR(_xlfn.STDEV.S(INDEX(benchmark!U:U, (ROW()-2)*averages!$B3+2):INDEX(benchmark!U:U, (ROW()-2)*averages!$B3+averages!$B3+1)), "")</f>
        <v>0</v>
      </c>
      <c r="V3">
        <f>IFERROR(_xlfn.STDEV.S(INDEX(benchmark!V:V, (ROW()-2)*averages!$B3+2):INDEX(benchmark!V:V, (ROW()-2)*averages!$B3+averages!$B3+1)), "")</f>
        <v>0</v>
      </c>
      <c r="W3">
        <f>IFERROR(_xlfn.STDEV.S(INDEX(benchmark!W:W, (ROW()-2)*averages!$B3+2):INDEX(benchmark!W:W, (ROW()-2)*averages!$B3+averages!$B3+1)), "")</f>
        <v>2.0016937272664622E-2</v>
      </c>
      <c r="X3">
        <f>IFERROR(_xlfn.STDEV.S(INDEX(benchmark!X:X, (ROW()-2)*averages!$B3+2):INDEX(benchmark!X:X, (ROW()-2)*averages!$B3+averages!$B3+1)), "")</f>
        <v>1.0546071214227388E-2</v>
      </c>
      <c r="Y3">
        <f>IFERROR(_xlfn.STDEV.S(INDEX(benchmark!Y:Y, (ROW()-2)*averages!$B3+2):INDEX(benchmark!Y:Y, (ROW()-2)*averages!$B3+averages!$B3+1)), "")</f>
        <v>1.0416666666666666E-2</v>
      </c>
      <c r="Z3">
        <f>IFERROR(_xlfn.STDEV.S(INDEX(benchmark!Z:Z, (ROW()-2)*averages!$B3+2):INDEX(benchmark!Z:Z, (ROW()-2)*averages!$B3+averages!$B3+1)), "")</f>
        <v>1.2863634411696323E-2</v>
      </c>
      <c r="AA3">
        <f>IFERROR(_xlfn.STDEV.S(INDEX(benchmark!AA:AA, (ROW()-2)*averages!$B3+2):INDEX(benchmark!AA:AA, (ROW()-2)*averages!$B3+averages!$B3+1)), "")</f>
        <v>8.2327260234857005E-3</v>
      </c>
      <c r="AB3">
        <f>IFERROR(_xlfn.STDEV.S(INDEX(benchmark!AB:AB, (ROW()-2)*averages!$B3+2):INDEX(benchmark!AB:AB, (ROW()-2)*averages!$B3+averages!$B3+1)), "")</f>
        <v>1.0546071214227388E-2</v>
      </c>
      <c r="AC3">
        <f>IFERROR(_xlfn.STDEV.S(INDEX(benchmark!AC:AC, (ROW()-2)*averages!$B3+2):INDEX(benchmark!AC:AC, (ROW()-2)*averages!$B3+averages!$B3+1)), "")</f>
        <v>1.647019614671031E-2</v>
      </c>
      <c r="AD3">
        <f>IFERROR(_xlfn.STDEV.S(INDEX(benchmark!AD:AD, (ROW()-2)*averages!$B3+2):INDEX(benchmark!AD:AD, (ROW()-2)*averages!$B3+averages!$B3+1)), "")</f>
        <v>1.2863634411696323E-2</v>
      </c>
      <c r="AE3">
        <f>IFERROR(_xlfn.STDEV.S(INDEX(benchmark!AE:AE, (ROW()-2)*averages!$B3+2):INDEX(benchmark!AE:AE, (ROW()-2)*averages!$B3+averages!$B3+1)), "")</f>
        <v>0</v>
      </c>
      <c r="AF3">
        <f>IFERROR(_xlfn.STDEV.S(INDEX(benchmark!AF:AF, (ROW()-2)*averages!$B3+2):INDEX(benchmark!AF:AF, (ROW()-2)*averages!$B3+averages!$B3+1)), "")</f>
        <v>0</v>
      </c>
      <c r="AG3">
        <f>IFERROR(_xlfn.STDEV.S(INDEX(benchmark!AG:AG, (ROW()-2)*averages!$B3+2):INDEX(benchmark!AG:AG, (ROW()-2)*averages!$B3+averages!$B3+1)), "")</f>
        <v>0</v>
      </c>
      <c r="AH3">
        <f>IFERROR(_xlfn.STDEV.S(INDEX(benchmark!AH:AH, (ROW()-2)*averages!$B3+2):INDEX(benchmark!AH:AH, (ROW()-2)*averages!$B3+averages!$B3+1)), "")</f>
        <v>0</v>
      </c>
      <c r="AI3">
        <f>IFERROR(_xlfn.STDEV.S(INDEX(benchmark!AI:AI, (ROW()-2)*averages!$B3+2):INDEX(benchmark!AI:AI, (ROW()-2)*averages!$B3+averages!$B3+1)), "")</f>
        <v>1.7790137914337008E-5</v>
      </c>
      <c r="AJ3">
        <f>IFERROR(_xlfn.STDEV.S(INDEX(benchmark!AJ:AJ, (ROW()-2)*averages!$B3+2):INDEX(benchmark!AJ:AJ, (ROW()-2)*averages!$B3+averages!$B3+1)), "")</f>
        <v>1.7738528782791258E-5</v>
      </c>
      <c r="AK3" cm="1">
        <f t="array" ref="AK3">IFERROR(_xlfn.STDEV.S(INDEX(benchmark!W:W, (ROW()-2)*$B3+2):INDEX(benchmark!W:W, (ROW()-2)*$B3 + $B3+1) + INDEX(benchmark!AA:AA, (ROW()-2)*$B3+2):INDEX(benchmark!AA:AA, (ROW()-2)*$B3 + $B3+1)), "")</f>
        <v>1.8000308639329242E-2</v>
      </c>
      <c r="AL3" cm="1">
        <f t="array" ref="AL3">IFERROR(_xlfn.STDEV.S(MOD(VALUE(INDEX(benchmark!AJ:AJ, (ROW()-2)*$B3+2):INDEX(benchmark!AJ:AJ, (ROW()-2)*$B3 + $B3+1)) - VALUE(INDEX(benchmark!AI:AI, (ROW()-2)*$B3+2):INDEX(benchmark!AI:AI, (ROW()-2)*$B3 + $B3+1)), 1) * 86400), "")</f>
        <v>2.3118054512559764E-2</v>
      </c>
      <c r="AM3">
        <f>IFERROR(_xlfn.STDEV.S(INDEX(benchmark!S:S, (ROW()-2)*$B3+2):INDEX(benchmark!S:S, (ROW()-2)*$B3 + $B3+1)), "")</f>
        <v>1.1005049346146116E-3</v>
      </c>
    </row>
    <row r="4" spans="1:39" x14ac:dyDescent="0.25">
      <c r="A4" t="str" cm="1">
        <f t="array" ref="A4">INDEX(benchmark!A:A, (ROW()-2)*$B4+2)</f>
        <v>cart-pendulum-utot</v>
      </c>
      <c r="B4">
        <f>COUNTIF(benchmark!A:A, benchmark!A4)</f>
        <v>10</v>
      </c>
      <c r="C4" t="str" cm="1">
        <f t="array" ref="C4">INDEX(benchmark!C:C, (ROW()-2)*$B4+2)</f>
        <v>Ipopt</v>
      </c>
      <c r="D4" t="str" cm="1">
        <f t="array" ref="D4">INDEX(benchmark!D:D, (ROW()-2)*$B4+2)</f>
        <v>3.12.13</v>
      </c>
      <c r="E4" t="str" cm="1">
        <f t="array" ref="E4">INDEX(benchmark!E:E, (ROW()-2)*$B4+2)</f>
        <v>solved</v>
      </c>
      <c r="F4">
        <f>IFERROR(_xlfn.STDEV.S(INDEX(benchmark!F:F, (ROW()-2)*averages!$B4+2):INDEX(benchmark!F:F, (ROW()-2)*averages!$B4+averages!$B4+1)), "")</f>
        <v>0</v>
      </c>
      <c r="G4">
        <f>IFERROR(_xlfn.STDEV.S(INDEX(benchmark!G:G, (ROW()-2)*averages!$B4+2):INDEX(benchmark!G:G, (ROW()-2)*averages!$B4+averages!$B4+1)), "")</f>
        <v>0</v>
      </c>
      <c r="H4" t="str">
        <f>IFERROR(_xlfn.STDEV.S(INDEX(benchmark!H:H, (ROW()-2)*averages!$B4+2):INDEX(benchmark!H:H, (ROW()-2)*averages!$B4+averages!$B4+1)), "")</f>
        <v/>
      </c>
      <c r="I4">
        <f>IFERROR(_xlfn.STDEV.S(INDEX(benchmark!I:I, (ROW()-2)*averages!$B4+2):INDEX(benchmark!I:I, (ROW()-2)*averages!$B4+averages!$B4+1)), "")</f>
        <v>0</v>
      </c>
      <c r="J4">
        <f>IFERROR(_xlfn.STDEV.S(INDEX(benchmark!J:J, (ROW()-2)*averages!$B4+2):INDEX(benchmark!J:J, (ROW()-2)*averages!$B4+averages!$B4+1)), "")</f>
        <v>0</v>
      </c>
      <c r="K4">
        <f>IFERROR(_xlfn.STDEV.S(INDEX(benchmark!K:K, (ROW()-2)*averages!$B4+2):INDEX(benchmark!K:K, (ROW()-2)*averages!$B4+averages!$B4+1)), "")</f>
        <v>0</v>
      </c>
      <c r="L4">
        <f>IFERROR(_xlfn.STDEV.S(INDEX(benchmark!L:L, (ROW()-2)*averages!$B4+2):INDEX(benchmark!L:L, (ROW()-2)*averages!$B4+averages!$B4+1)), "")</f>
        <v>0</v>
      </c>
      <c r="M4">
        <f>IFERROR(_xlfn.STDEV.S(INDEX(benchmark!M:M, (ROW()-2)*averages!$B4+2):INDEX(benchmark!M:M, (ROW()-2)*averages!$B4+averages!$B4+1)), "")</f>
        <v>0</v>
      </c>
      <c r="N4">
        <f>IFERROR(_xlfn.STDEV.S(INDEX(benchmark!N:N, (ROW()-2)*averages!$B4+2):INDEX(benchmark!N:N, (ROW()-2)*averages!$B4+averages!$B4+1)), "")</f>
        <v>0</v>
      </c>
      <c r="O4">
        <f>IFERROR(_xlfn.STDEV.S(INDEX(benchmark!O:O, (ROW()-2)*averages!$B4+2):INDEX(benchmark!O:O, (ROW()-2)*averages!$B4+averages!$B4+1)), "")</f>
        <v>0</v>
      </c>
      <c r="P4">
        <f>IFERROR(_xlfn.STDEV.S(INDEX(benchmark!P:P, (ROW()-2)*averages!$B4+2):INDEX(benchmark!P:P, (ROW()-2)*averages!$B4+averages!$B4+1)), "")</f>
        <v>0</v>
      </c>
      <c r="Q4">
        <f>IFERROR(_xlfn.STDEV.S(INDEX(benchmark!Q:Q, (ROW()-2)*averages!$B4+2):INDEX(benchmark!Q:Q, (ROW()-2)*averages!$B4+averages!$B4+1)), "")</f>
        <v>0</v>
      </c>
      <c r="R4">
        <f>IFERROR(_xlfn.STDEV.S(INDEX(benchmark!R:R, (ROW()-2)*averages!$B4+2):INDEX(benchmark!R:R, (ROW()-2)*averages!$B4+averages!$B4+1)), "")</f>
        <v>6.9920589878010129E-4</v>
      </c>
      <c r="S4">
        <f>IFERROR(_xlfn.STDEV.S(INDEX(benchmark!S:S, (ROW()-2)*averages!$B4+2):INDEX(benchmark!S:S, (ROW()-2)*averages!$B4+averages!$B4+1)), "")</f>
        <v>8.1649658092772617E-4</v>
      </c>
      <c r="T4">
        <f>IFERROR(_xlfn.STDEV.S(INDEX(benchmark!T:T, (ROW()-2)*averages!$B4+2):INDEX(benchmark!T:T, (ROW()-2)*averages!$B4+averages!$B4+1)), "")</f>
        <v>0</v>
      </c>
      <c r="U4">
        <f>IFERROR(_xlfn.STDEV.S(INDEX(benchmark!U:U, (ROW()-2)*averages!$B4+2):INDEX(benchmark!U:U, (ROW()-2)*averages!$B4+averages!$B4+1)), "")</f>
        <v>0</v>
      </c>
      <c r="V4">
        <f>IFERROR(_xlfn.STDEV.S(INDEX(benchmark!V:V, (ROW()-2)*averages!$B4+2):INDEX(benchmark!V:V, (ROW()-2)*averages!$B4+averages!$B4+1)), "")</f>
        <v>0</v>
      </c>
      <c r="W4">
        <f>IFERROR(_xlfn.STDEV.S(INDEX(benchmark!W:W, (ROW()-2)*averages!$B4+2):INDEX(benchmark!W:W, (ROW()-2)*averages!$B4+averages!$B4+1)), "")</f>
        <v>1.6878981011897609E-2</v>
      </c>
      <c r="X4">
        <f>IFERROR(_xlfn.STDEV.S(INDEX(benchmark!X:X, (ROW()-2)*averages!$B4+2):INDEX(benchmark!X:X, (ROW()-2)*averages!$B4+averages!$B4+1)), "")</f>
        <v>1.8340434230894799E-2</v>
      </c>
      <c r="Y4">
        <f>IFERROR(_xlfn.STDEV.S(INDEX(benchmark!Y:Y, (ROW()-2)*averages!$B4+2):INDEX(benchmark!Y:Y, (ROW()-2)*averages!$B4+averages!$B4+1)), "")</f>
        <v>2.2158382693940257E-2</v>
      </c>
      <c r="Z4">
        <f>IFERROR(_xlfn.STDEV.S(INDEX(benchmark!Z:Z, (ROW()-2)*averages!$B4+2):INDEX(benchmark!Z:Z, (ROW()-2)*averages!$B4+averages!$B4+1)), "")</f>
        <v>1.8117215761381335E-2</v>
      </c>
      <c r="AA4">
        <f>IFERROR(_xlfn.STDEV.S(INDEX(benchmark!AA:AA, (ROW()-2)*averages!$B4+2):INDEX(benchmark!AA:AA, (ROW()-2)*averages!$B4+averages!$B4+1)), "")</f>
        <v>8.8191710368819426E-3</v>
      </c>
      <c r="AB4">
        <f>IFERROR(_xlfn.STDEV.S(INDEX(benchmark!AB:AB, (ROW()-2)*averages!$B4+2):INDEX(benchmark!AB:AB, (ROW()-2)*averages!$B4+averages!$B4+1)), "")</f>
        <v>8.235098073355155E-3</v>
      </c>
      <c r="AC4">
        <f>IFERROR(_xlfn.STDEV.S(INDEX(benchmark!AC:AC, (ROW()-2)*averages!$B4+2):INDEX(benchmark!AC:AC, (ROW()-2)*averages!$B4+averages!$B4+1)), "")</f>
        <v>8.0687153045987843E-3</v>
      </c>
      <c r="AD4">
        <f>IFERROR(_xlfn.STDEV.S(INDEX(benchmark!AD:AD, (ROW()-2)*averages!$B4+2):INDEX(benchmark!AD:AD, (ROW()-2)*averages!$B4+averages!$B4+1)), "")</f>
        <v>4.9410588440130937E-3</v>
      </c>
      <c r="AE4">
        <f>IFERROR(_xlfn.STDEV.S(INDEX(benchmark!AE:AE, (ROW()-2)*averages!$B4+2):INDEX(benchmark!AE:AE, (ROW()-2)*averages!$B4+averages!$B4+1)), "")</f>
        <v>0</v>
      </c>
      <c r="AF4">
        <f>IFERROR(_xlfn.STDEV.S(INDEX(benchmark!AF:AF, (ROW()-2)*averages!$B4+2):INDEX(benchmark!AF:AF, (ROW()-2)*averages!$B4+averages!$B4+1)), "")</f>
        <v>0</v>
      </c>
      <c r="AG4">
        <f>IFERROR(_xlfn.STDEV.S(INDEX(benchmark!AG:AG, (ROW()-2)*averages!$B4+2):INDEX(benchmark!AG:AG, (ROW()-2)*averages!$B4+averages!$B4+1)), "")</f>
        <v>0</v>
      </c>
      <c r="AH4">
        <f>IFERROR(_xlfn.STDEV.S(INDEX(benchmark!AH:AH, (ROW()-2)*averages!$B4+2):INDEX(benchmark!AH:AH, (ROW()-2)*averages!$B4+averages!$B4+1)), "")</f>
        <v>0</v>
      </c>
      <c r="AI4">
        <f>IFERROR(_xlfn.STDEV.S(INDEX(benchmark!AI:AI, (ROW()-2)*averages!$B4+2):INDEX(benchmark!AI:AI, (ROW()-2)*averages!$B4+averages!$B4+1)), "")</f>
        <v>1.8251959670849876E-5</v>
      </c>
      <c r="AJ4">
        <f>IFERROR(_xlfn.STDEV.S(INDEX(benchmark!AJ:AJ, (ROW()-2)*averages!$B4+2):INDEX(benchmark!AJ:AJ, (ROW()-2)*averages!$B4+averages!$B4+1)), "")</f>
        <v>1.8179465117556198E-5</v>
      </c>
      <c r="AK4" cm="1">
        <f t="array" ref="AK4">IFERROR(_xlfn.STDEV.S(INDEX(benchmark!W:W, (ROW()-2)*$B4+2):INDEX(benchmark!W:W, (ROW()-2)*$B4 + $B4+1) + INDEX(benchmark!AA:AA, (ROW()-2)*$B4+2):INDEX(benchmark!AA:AA, (ROW()-2)*$B4 + $B4+1)), "")</f>
        <v>1.8481522303821905E-2</v>
      </c>
      <c r="AL4" cm="1">
        <f t="array" ref="AL4">IFERROR(_xlfn.STDEV.S(MOD(VALUE(INDEX(benchmark!AJ:AJ, (ROW()-2)*$B4+2):INDEX(benchmark!AJ:AJ, (ROW()-2)*$B4 + $B4+1)) - VALUE(INDEX(benchmark!AI:AI, (ROW()-2)*$B4+2):INDEX(benchmark!AI:AI, (ROW()-2)*$B4 + $B4+1)), 1) * 86400), "")</f>
        <v>2.4585451886114218E-2</v>
      </c>
      <c r="AM4">
        <f>IFERROR(_xlfn.STDEV.S(INDEX(benchmark!S:S, (ROW()-2)*$B4+2):INDEX(benchmark!S:S, (ROW()-2)*$B4 + $B4+1)), "")</f>
        <v>8.1649658092772617E-4</v>
      </c>
    </row>
    <row r="5" spans="1:39" x14ac:dyDescent="0.25">
      <c r="A5" t="str" cm="1">
        <f t="array" ref="A5">INDEX(benchmark!A:A, (ROW()-2)*$B5+2)</f>
        <v>five-link-mc-kelly</v>
      </c>
      <c r="B5">
        <f>COUNTIF(benchmark!A:A, benchmark!A5)</f>
        <v>10</v>
      </c>
      <c r="C5" t="str" cm="1">
        <f t="array" ref="C5">INDEX(benchmark!C:C, (ROW()-2)*$B5+2)</f>
        <v>Ipopt</v>
      </c>
      <c r="D5" t="str" cm="1">
        <f t="array" ref="D5">INDEX(benchmark!D:D, (ROW()-2)*$B5+2)</f>
        <v>3.12.13</v>
      </c>
      <c r="E5" t="str" cm="1">
        <f t="array" ref="E5">INDEX(benchmark!E:E, (ROW()-2)*$B5+2)</f>
        <v>solved</v>
      </c>
      <c r="F5">
        <f>IFERROR(_xlfn.STDEV.S(INDEX(benchmark!F:F, (ROW()-2)*averages!$B5+2):INDEX(benchmark!F:F, (ROW()-2)*averages!$B5+averages!$B5+1)), "")</f>
        <v>0</v>
      </c>
      <c r="G5">
        <f>IFERROR(_xlfn.STDEV.S(INDEX(benchmark!G:G, (ROW()-2)*averages!$B5+2):INDEX(benchmark!G:G, (ROW()-2)*averages!$B5+averages!$B5+1)), "")</f>
        <v>5.9918224530375701E-14</v>
      </c>
      <c r="H5" t="str">
        <f>IFERROR(_xlfn.STDEV.S(INDEX(benchmark!H:H, (ROW()-2)*averages!$B5+2):INDEX(benchmark!H:H, (ROW()-2)*averages!$B5+averages!$B5+1)), "")</f>
        <v/>
      </c>
      <c r="I5">
        <f>IFERROR(_xlfn.STDEV.S(INDEX(benchmark!I:I, (ROW()-2)*averages!$B5+2):INDEX(benchmark!I:I, (ROW()-2)*averages!$B5+averages!$B5+1)), "")</f>
        <v>0</v>
      </c>
      <c r="J5">
        <f>IFERROR(_xlfn.STDEV.S(INDEX(benchmark!J:J, (ROW()-2)*averages!$B5+2):INDEX(benchmark!J:J, (ROW()-2)*averages!$B5+averages!$B5+1)), "")</f>
        <v>0</v>
      </c>
      <c r="K5">
        <f>IFERROR(_xlfn.STDEV.S(INDEX(benchmark!K:K, (ROW()-2)*averages!$B5+2):INDEX(benchmark!K:K, (ROW()-2)*averages!$B5+averages!$B5+1)), "")</f>
        <v>0</v>
      </c>
      <c r="L5">
        <f>IFERROR(_xlfn.STDEV.S(INDEX(benchmark!L:L, (ROW()-2)*averages!$B5+2):INDEX(benchmark!L:L, (ROW()-2)*averages!$B5+averages!$B5+1)), "")</f>
        <v>0</v>
      </c>
      <c r="M5">
        <f>IFERROR(_xlfn.STDEV.S(INDEX(benchmark!M:M, (ROW()-2)*averages!$B5+2):INDEX(benchmark!M:M, (ROW()-2)*averages!$B5+averages!$B5+1)), "")</f>
        <v>0</v>
      </c>
      <c r="N5">
        <f>IFERROR(_xlfn.STDEV.S(INDEX(benchmark!N:N, (ROW()-2)*averages!$B5+2):INDEX(benchmark!N:N, (ROW()-2)*averages!$B5+averages!$B5+1)), "")</f>
        <v>0</v>
      </c>
      <c r="O5">
        <f>IFERROR(_xlfn.STDEV.S(INDEX(benchmark!O:O, (ROW()-2)*averages!$B5+2):INDEX(benchmark!O:O, (ROW()-2)*averages!$B5+averages!$B5+1)), "")</f>
        <v>0</v>
      </c>
      <c r="P5">
        <f>IFERROR(_xlfn.STDEV.S(INDEX(benchmark!P:P, (ROW()-2)*averages!$B5+2):INDEX(benchmark!P:P, (ROW()-2)*averages!$B5+averages!$B5+1)), "")</f>
        <v>0</v>
      </c>
      <c r="Q5">
        <f>IFERROR(_xlfn.STDEV.S(INDEX(benchmark!Q:Q, (ROW()-2)*averages!$B5+2):INDEX(benchmark!Q:Q, (ROW()-2)*averages!$B5+averages!$B5+1)), "")</f>
        <v>0</v>
      </c>
      <c r="R5">
        <f>IFERROR(_xlfn.STDEV.S(INDEX(benchmark!R:R, (ROW()-2)*averages!$B5+2):INDEX(benchmark!R:R, (ROW()-2)*averages!$B5+averages!$B5+1)), "")</f>
        <v>3.0623157540948941E-3</v>
      </c>
      <c r="S5">
        <f>IFERROR(_xlfn.STDEV.S(INDEX(benchmark!S:S, (ROW()-2)*averages!$B5+2):INDEX(benchmark!S:S, (ROW()-2)*averages!$B5+averages!$B5+1)), "")</f>
        <v>2.2236106773543883E-3</v>
      </c>
      <c r="T5">
        <f>IFERROR(_xlfn.STDEV.S(INDEX(benchmark!T:T, (ROW()-2)*averages!$B5+2):INDEX(benchmark!T:T, (ROW()-2)*averages!$B5+averages!$B5+1)), "")</f>
        <v>0</v>
      </c>
      <c r="U5">
        <f>IFERROR(_xlfn.STDEV.S(INDEX(benchmark!U:U, (ROW()-2)*averages!$B5+2):INDEX(benchmark!U:U, (ROW()-2)*averages!$B5+averages!$B5+1)), "")</f>
        <v>0</v>
      </c>
      <c r="V5">
        <f>IFERROR(_xlfn.STDEV.S(INDEX(benchmark!V:V, (ROW()-2)*averages!$B5+2):INDEX(benchmark!V:V, (ROW()-2)*averages!$B5+averages!$B5+1)), "")</f>
        <v>0</v>
      </c>
      <c r="W5">
        <f>IFERROR(_xlfn.STDEV.S(INDEX(benchmark!W:W, (ROW()-2)*averages!$B5+2):INDEX(benchmark!W:W, (ROW()-2)*averages!$B5+averages!$B5+1)), "")</f>
        <v>7.7867123286332551E-2</v>
      </c>
      <c r="X5">
        <f>IFERROR(_xlfn.STDEV.S(INDEX(benchmark!X:X, (ROW()-2)*averages!$B5+2):INDEX(benchmark!X:X, (ROW()-2)*averages!$B5+averages!$B5+1)), "")</f>
        <v>1.4823176532039272E-2</v>
      </c>
      <c r="Y5">
        <f>IFERROR(_xlfn.STDEV.S(INDEX(benchmark!Y:Y, (ROW()-2)*averages!$B5+2):INDEX(benchmark!Y:Y, (ROW()-2)*averages!$B5+averages!$B5+1)), "")</f>
        <v>2.2642776165921055E-2</v>
      </c>
      <c r="Z5">
        <f>IFERROR(_xlfn.STDEV.S(INDEX(benchmark!Z:Z, (ROW()-2)*averages!$B5+2):INDEX(benchmark!Z:Z, (ROW()-2)*averages!$B5+averages!$B5+1)), "")</f>
        <v>2.2341261030757516E-2</v>
      </c>
      <c r="AA5">
        <f>IFERROR(_xlfn.STDEV.S(INDEX(benchmark!AA:AA, (ROW()-2)*averages!$B5+2):INDEX(benchmark!AA:AA, (ROW()-2)*averages!$B5+averages!$B5+1)), "")</f>
        <v>7.465476095557028E-3</v>
      </c>
      <c r="AB5">
        <f>IFERROR(_xlfn.STDEV.S(INDEX(benchmark!AB:AB, (ROW()-2)*averages!$B5+2):INDEX(benchmark!AB:AB, (ROW()-2)*averages!$B5+averages!$B5+1)), "")</f>
        <v>1.5095184110613996E-2</v>
      </c>
      <c r="AC5">
        <f>IFERROR(_xlfn.STDEV.S(INDEX(benchmark!AC:AC, (ROW()-2)*averages!$B5+2):INDEX(benchmark!AC:AC, (ROW()-2)*averages!$B5+averages!$B5+1)), "")</f>
        <v>2.1850184336878152E-2</v>
      </c>
      <c r="AD5">
        <f>IFERROR(_xlfn.STDEV.S(INDEX(benchmark!AD:AD, (ROW()-2)*averages!$B5+2):INDEX(benchmark!AD:AD, (ROW()-2)*averages!$B5+averages!$B5+1)), "")</f>
        <v>1.092509216843905E-2</v>
      </c>
      <c r="AE5">
        <f>IFERROR(_xlfn.STDEV.S(INDEX(benchmark!AE:AE, (ROW()-2)*averages!$B5+2):INDEX(benchmark!AE:AE, (ROW()-2)*averages!$B5+averages!$B5+1)), "")</f>
        <v>0</v>
      </c>
      <c r="AF5">
        <f>IFERROR(_xlfn.STDEV.S(INDEX(benchmark!AF:AF, (ROW()-2)*averages!$B5+2):INDEX(benchmark!AF:AF, (ROW()-2)*averages!$B5+averages!$B5+1)), "")</f>
        <v>0</v>
      </c>
      <c r="AG5">
        <f>IFERROR(_xlfn.STDEV.S(INDEX(benchmark!AG:AG, (ROW()-2)*averages!$B5+2):INDEX(benchmark!AG:AG, (ROW()-2)*averages!$B5+averages!$B5+1)), "")</f>
        <v>0</v>
      </c>
      <c r="AH5">
        <f>IFERROR(_xlfn.STDEV.S(INDEX(benchmark!AH:AH, (ROW()-2)*averages!$B5+2):INDEX(benchmark!AH:AH, (ROW()-2)*averages!$B5+averages!$B5+1)), "")</f>
        <v>0</v>
      </c>
      <c r="AI5">
        <f>IFERROR(_xlfn.STDEV.S(INDEX(benchmark!AI:AI, (ROW()-2)*averages!$B5+2):INDEX(benchmark!AI:AI, (ROW()-2)*averages!$B5+averages!$B5+1)), "")</f>
        <v>2.8993778124030353E-5</v>
      </c>
      <c r="AJ5">
        <f>IFERROR(_xlfn.STDEV.S(INDEX(benchmark!AJ:AJ, (ROW()-2)*averages!$B5+2):INDEX(benchmark!AJ:AJ, (ROW()-2)*averages!$B5+averages!$B5+1)), "")</f>
        <v>2.7858146873270117E-5</v>
      </c>
      <c r="AK5" cm="1">
        <f t="array" ref="AK5">IFERROR(_xlfn.STDEV.S(INDEX(benchmark!W:W, (ROW()-2)*$B5+2):INDEX(benchmark!W:W, (ROW()-2)*$B5 + $B5+1) + INDEX(benchmark!AA:AA, (ROW()-2)*$B5+2):INDEX(benchmark!AA:AA, (ROW()-2)*$B5 + $B5+1)), "")</f>
        <v>7.9728985388697785E-2</v>
      </c>
      <c r="AL5" cm="1">
        <f t="array" ref="AL5">IFERROR(_xlfn.STDEV.S(MOD(VALUE(INDEX(benchmark!AJ:AJ, (ROW()-2)*$B5+2):INDEX(benchmark!AJ:AJ, (ROW()-2)*$B5 + $B5+1)) - VALUE(INDEX(benchmark!AI:AI, (ROW()-2)*$B5+2):INDEX(benchmark!AI:AI, (ROW()-2)*$B5 + $B5+1)), 1) * 86400), "")</f>
        <v>0.18583445440617066</v>
      </c>
      <c r="AM5">
        <f>IFERROR(_xlfn.STDEV.S(INDEX(benchmark!S:S, (ROW()-2)*$B5+2):INDEX(benchmark!S:S, (ROW()-2)*$B5 + $B5+1)), "")</f>
        <v>2.2236106773543883E-3</v>
      </c>
    </row>
    <row r="6" spans="1:39" x14ac:dyDescent="0.25">
      <c r="A6" t="str" cm="1">
        <f t="array" ref="A6">INDEX(benchmark!A:A, (ROW()-2)*$B6+2)</f>
        <v>five-link-phc-kelly</v>
      </c>
      <c r="B6">
        <f>COUNTIF(benchmark!A:A, benchmark!A6)</f>
        <v>10</v>
      </c>
      <c r="C6" t="str" cm="1">
        <f t="array" ref="C6">INDEX(benchmark!C:C, (ROW()-2)*$B6+2)</f>
        <v>Ipopt</v>
      </c>
      <c r="D6" t="str" cm="1">
        <f t="array" ref="D6">INDEX(benchmark!D:D, (ROW()-2)*$B6+2)</f>
        <v>3.12.13</v>
      </c>
      <c r="E6" t="str" cm="1">
        <f t="array" ref="E6">INDEX(benchmark!E:E, (ROW()-2)*$B6+2)</f>
        <v>solved</v>
      </c>
      <c r="F6">
        <f>IFERROR(_xlfn.STDEV.S(INDEX(benchmark!F:F, (ROW()-2)*averages!$B6+2):INDEX(benchmark!F:F, (ROW()-2)*averages!$B6+averages!$B6+1)), "")</f>
        <v>0</v>
      </c>
      <c r="G6">
        <f>IFERROR(_xlfn.STDEV.S(INDEX(benchmark!G:G, (ROW()-2)*averages!$B6+2):INDEX(benchmark!G:G, (ROW()-2)*averages!$B6+averages!$B6+1)), "")</f>
        <v>1.198364490607514E-13</v>
      </c>
      <c r="H6" t="str">
        <f>IFERROR(_xlfn.STDEV.S(INDEX(benchmark!H:H, (ROW()-2)*averages!$B6+2):INDEX(benchmark!H:H, (ROW()-2)*averages!$B6+averages!$B6+1)), "")</f>
        <v/>
      </c>
      <c r="I6">
        <f>IFERROR(_xlfn.STDEV.S(INDEX(benchmark!I:I, (ROW()-2)*averages!$B6+2):INDEX(benchmark!I:I, (ROW()-2)*averages!$B6+averages!$B6+1)), "")</f>
        <v>0</v>
      </c>
      <c r="J6">
        <f>IFERROR(_xlfn.STDEV.S(INDEX(benchmark!J:J, (ROW()-2)*averages!$B6+2):INDEX(benchmark!J:J, (ROW()-2)*averages!$B6+averages!$B6+1)), "")</f>
        <v>0</v>
      </c>
      <c r="K6">
        <f>IFERROR(_xlfn.STDEV.S(INDEX(benchmark!K:K, (ROW()-2)*averages!$B6+2):INDEX(benchmark!K:K, (ROW()-2)*averages!$B6+averages!$B6+1)), "")</f>
        <v>0</v>
      </c>
      <c r="L6">
        <f>IFERROR(_xlfn.STDEV.S(INDEX(benchmark!L:L, (ROW()-2)*averages!$B6+2):INDEX(benchmark!L:L, (ROW()-2)*averages!$B6+averages!$B6+1)), "")</f>
        <v>0</v>
      </c>
      <c r="M6">
        <f>IFERROR(_xlfn.STDEV.S(INDEX(benchmark!M:M, (ROW()-2)*averages!$B6+2):INDEX(benchmark!M:M, (ROW()-2)*averages!$B6+averages!$B6+1)), "")</f>
        <v>0</v>
      </c>
      <c r="N6">
        <f>IFERROR(_xlfn.STDEV.S(INDEX(benchmark!N:N, (ROW()-2)*averages!$B6+2):INDEX(benchmark!N:N, (ROW()-2)*averages!$B6+averages!$B6+1)), "")</f>
        <v>0</v>
      </c>
      <c r="O6">
        <f>IFERROR(_xlfn.STDEV.S(INDEX(benchmark!O:O, (ROW()-2)*averages!$B6+2):INDEX(benchmark!O:O, (ROW()-2)*averages!$B6+averages!$B6+1)), "")</f>
        <v>0</v>
      </c>
      <c r="P6">
        <f>IFERROR(_xlfn.STDEV.S(INDEX(benchmark!P:P, (ROW()-2)*averages!$B6+2):INDEX(benchmark!P:P, (ROW()-2)*averages!$B6+averages!$B6+1)), "")</f>
        <v>0</v>
      </c>
      <c r="Q6">
        <f>IFERROR(_xlfn.STDEV.S(INDEX(benchmark!Q:Q, (ROW()-2)*averages!$B6+2):INDEX(benchmark!Q:Q, (ROW()-2)*averages!$B6+averages!$B6+1)), "")</f>
        <v>0</v>
      </c>
      <c r="R6">
        <f>IFERROR(_xlfn.STDEV.S(INDEX(benchmark!R:R, (ROW()-2)*averages!$B6+2):INDEX(benchmark!R:R, (ROW()-2)*averages!$B6+averages!$B6+1)), "")</f>
        <v>8.7692645073575038E-3</v>
      </c>
      <c r="S6">
        <f>IFERROR(_xlfn.STDEV.S(INDEX(benchmark!S:S, (ROW()-2)*averages!$B6+2):INDEX(benchmark!S:S, (ROW()-2)*averages!$B6+averages!$B6+1)), "")</f>
        <v>7.1561938983730113E-3</v>
      </c>
      <c r="T6">
        <f>IFERROR(_xlfn.STDEV.S(INDEX(benchmark!T:T, (ROW()-2)*averages!$B6+2):INDEX(benchmark!T:T, (ROW()-2)*averages!$B6+averages!$B6+1)), "")</f>
        <v>0</v>
      </c>
      <c r="U6">
        <f>IFERROR(_xlfn.STDEV.S(INDEX(benchmark!U:U, (ROW()-2)*averages!$B6+2):INDEX(benchmark!U:U, (ROW()-2)*averages!$B6+averages!$B6+1)), "")</f>
        <v>0</v>
      </c>
      <c r="V6">
        <f>IFERROR(_xlfn.STDEV.S(INDEX(benchmark!V:V, (ROW()-2)*averages!$B6+2):INDEX(benchmark!V:V, (ROW()-2)*averages!$B6+averages!$B6+1)), "")</f>
        <v>0</v>
      </c>
      <c r="W6">
        <f>IFERROR(_xlfn.STDEV.S(INDEX(benchmark!W:W, (ROW()-2)*averages!$B6+2):INDEX(benchmark!W:W, (ROW()-2)*averages!$B6+averages!$B6+1)), "")</f>
        <v>1.6345233759927299E-2</v>
      </c>
      <c r="X6">
        <f>IFERROR(_xlfn.STDEV.S(INDEX(benchmark!X:X, (ROW()-2)*averages!$B6+2):INDEX(benchmark!X:X, (ROW()-2)*averages!$B6+averages!$B6+1)), "")</f>
        <v>1.8706546870904141E-2</v>
      </c>
      <c r="Y6">
        <f>IFERROR(_xlfn.STDEV.S(INDEX(benchmark!Y:Y, (ROW()-2)*averages!$B6+2):INDEX(benchmark!Y:Y, (ROW()-2)*averages!$B6+averages!$B6+1)), "")</f>
        <v>2.5515518153991439E-2</v>
      </c>
      <c r="Z6">
        <f>IFERROR(_xlfn.STDEV.S(INDEX(benchmark!Z:Z, (ROW()-2)*averages!$B6+2):INDEX(benchmark!Z:Z, (ROW()-2)*averages!$B6+averages!$B6+1)), "")</f>
        <v>2.4923929404177904E-2</v>
      </c>
      <c r="AA6">
        <f>IFERROR(_xlfn.STDEV.S(INDEX(benchmark!AA:AA, (ROW()-2)*averages!$B6+2):INDEX(benchmark!AA:AA, (ROW()-2)*averages!$B6+averages!$B6+1)), "")</f>
        <v>2.0029145430264034E-2</v>
      </c>
      <c r="AB6">
        <f>IFERROR(_xlfn.STDEV.S(INDEX(benchmark!AB:AB, (ROW()-2)*averages!$B6+2):INDEX(benchmark!AB:AB, (ROW()-2)*averages!$B6+averages!$B6+1)), "")</f>
        <v>1.9207384286026849E-2</v>
      </c>
      <c r="AC6">
        <f>IFERROR(_xlfn.STDEV.S(INDEX(benchmark!AC:AC, (ROW()-2)*averages!$B6+2):INDEX(benchmark!AC:AC, (ROW()-2)*averages!$B6+averages!$B6+1)), "")</f>
        <v>1.4823176532039279E-2</v>
      </c>
      <c r="AD6">
        <f>IFERROR(_xlfn.STDEV.S(INDEX(benchmark!AD:AD, (ROW()-2)*averages!$B6+2):INDEX(benchmark!AD:AD, (ROW()-2)*averages!$B6+averages!$B6+1)), "")</f>
        <v>1.3278696649981211E-2</v>
      </c>
      <c r="AE6">
        <f>IFERROR(_xlfn.STDEV.S(INDEX(benchmark!AE:AE, (ROW()-2)*averages!$B6+2):INDEX(benchmark!AE:AE, (ROW()-2)*averages!$B6+averages!$B6+1)), "")</f>
        <v>0</v>
      </c>
      <c r="AF6">
        <f>IFERROR(_xlfn.STDEV.S(INDEX(benchmark!AF:AF, (ROW()-2)*averages!$B6+2):INDEX(benchmark!AF:AF, (ROW()-2)*averages!$B6+averages!$B6+1)), "")</f>
        <v>0</v>
      </c>
      <c r="AG6">
        <f>IFERROR(_xlfn.STDEV.S(INDEX(benchmark!AG:AG, (ROW()-2)*averages!$B6+2):INDEX(benchmark!AG:AG, (ROW()-2)*averages!$B6+averages!$B6+1)), "")</f>
        <v>0</v>
      </c>
      <c r="AH6">
        <f>IFERROR(_xlfn.STDEV.S(INDEX(benchmark!AH:AH, (ROW()-2)*averages!$B6+2):INDEX(benchmark!AH:AH, (ROW()-2)*averages!$B6+averages!$B6+1)), "")</f>
        <v>0</v>
      </c>
      <c r="AI6">
        <f>IFERROR(_xlfn.STDEV.S(INDEX(benchmark!AI:AI, (ROW()-2)*averages!$B6+2):INDEX(benchmark!AI:AI, (ROW()-2)*averages!$B6+averages!$B6+1)), "")</f>
        <v>2.7786941753991398E-5</v>
      </c>
      <c r="AJ6">
        <f>IFERROR(_xlfn.STDEV.S(INDEX(benchmark!AJ:AJ, (ROW()-2)*averages!$B6+2):INDEX(benchmark!AJ:AJ, (ROW()-2)*averages!$B6+averages!$B6+1)), "")</f>
        <v>2.7831202910287858E-5</v>
      </c>
      <c r="AK6" cm="1">
        <f t="array" ref="AK6">IFERROR(_xlfn.STDEV.S(INDEX(benchmark!W:W, (ROW()-2)*$B6+2):INDEX(benchmark!W:W, (ROW()-2)*$B6 + $B6+1) + INDEX(benchmark!AA:AA, (ROW()-2)*$B6+2):INDEX(benchmark!AA:AA, (ROW()-2)*$B6 + $B6+1)), "")</f>
        <v>2.764858847110363E-2</v>
      </c>
      <c r="AL6" cm="1">
        <f t="array" ref="AL6">IFERROR(_xlfn.STDEV.S(MOD(VALUE(INDEX(benchmark!AJ:AJ, (ROW()-2)*$B6+2):INDEX(benchmark!AJ:AJ, (ROW()-2)*$B6 + $B6+1)) - VALUE(INDEX(benchmark!AI:AI, (ROW()-2)*$B6+2):INDEX(benchmark!AI:AI, (ROW()-2)*$B6 + $B6+1)), 1) * 86400), "")</f>
        <v>2.9458068127057986E-2</v>
      </c>
      <c r="AM6">
        <f>IFERROR(_xlfn.STDEV.S(INDEX(benchmark!S:S, (ROW()-2)*$B6+2):INDEX(benchmark!S:S, (ROW()-2)*$B6 + $B6+1)), "")</f>
        <v>7.1561938983730113E-3</v>
      </c>
    </row>
    <row r="7" spans="1:39" x14ac:dyDescent="0.25">
      <c r="A7" t="str" cm="1">
        <f t="array" ref="A7">INDEX(benchmark!A:A, (ROW()-2)*$B7+2)</f>
        <v>five-link-tropic</v>
      </c>
      <c r="B7">
        <f>COUNTIF(benchmark!A:A, benchmark!A7)</f>
        <v>10</v>
      </c>
      <c r="C7" t="str" cm="1">
        <f t="array" ref="C7">INDEX(benchmark!C:C, (ROW()-2)*$B7+2)</f>
        <v>Ipopt</v>
      </c>
      <c r="D7" t="str" cm="1">
        <f t="array" ref="D7">INDEX(benchmark!D:D, (ROW()-2)*$B7+2)</f>
        <v>3.12.13</v>
      </c>
      <c r="E7" t="str" cm="1">
        <f t="array" ref="E7">INDEX(benchmark!E:E, (ROW()-2)*$B7+2)</f>
        <v>solved</v>
      </c>
      <c r="F7">
        <f>IFERROR(_xlfn.STDEV.S(INDEX(benchmark!F:F, (ROW()-2)*averages!$B7+2):INDEX(benchmark!F:F, (ROW()-2)*averages!$B7+averages!$B7+1)), "")</f>
        <v>0</v>
      </c>
      <c r="G7">
        <f>IFERROR(_xlfn.STDEV.S(INDEX(benchmark!G:G, (ROW()-2)*averages!$B7+2):INDEX(benchmark!G:G, (ROW()-2)*averages!$B7+averages!$B7+1)), "")</f>
        <v>9.3622225828712033E-16</v>
      </c>
      <c r="H7" t="str">
        <f>IFERROR(_xlfn.STDEV.S(INDEX(benchmark!H:H, (ROW()-2)*averages!$B7+2):INDEX(benchmark!H:H, (ROW()-2)*averages!$B7+averages!$B7+1)), "")</f>
        <v/>
      </c>
      <c r="I7">
        <f>IFERROR(_xlfn.STDEV.S(INDEX(benchmark!I:I, (ROW()-2)*averages!$B7+2):INDEX(benchmark!I:I, (ROW()-2)*averages!$B7+averages!$B7+1)), "")</f>
        <v>0</v>
      </c>
      <c r="J7">
        <f>IFERROR(_xlfn.STDEV.S(INDEX(benchmark!J:J, (ROW()-2)*averages!$B7+2):INDEX(benchmark!J:J, (ROW()-2)*averages!$B7+averages!$B7+1)), "")</f>
        <v>0</v>
      </c>
      <c r="K7">
        <f>IFERROR(_xlfn.STDEV.S(INDEX(benchmark!K:K, (ROW()-2)*averages!$B7+2):INDEX(benchmark!K:K, (ROW()-2)*averages!$B7+averages!$B7+1)), "")</f>
        <v>0</v>
      </c>
      <c r="L7">
        <f>IFERROR(_xlfn.STDEV.S(INDEX(benchmark!L:L, (ROW()-2)*averages!$B7+2):INDEX(benchmark!L:L, (ROW()-2)*averages!$B7+averages!$B7+1)), "")</f>
        <v>0</v>
      </c>
      <c r="M7">
        <f>IFERROR(_xlfn.STDEV.S(INDEX(benchmark!M:M, (ROW()-2)*averages!$B7+2):INDEX(benchmark!M:M, (ROW()-2)*averages!$B7+averages!$B7+1)), "")</f>
        <v>0</v>
      </c>
      <c r="N7">
        <f>IFERROR(_xlfn.STDEV.S(INDEX(benchmark!N:N, (ROW()-2)*averages!$B7+2):INDEX(benchmark!N:N, (ROW()-2)*averages!$B7+averages!$B7+1)), "")</f>
        <v>0</v>
      </c>
      <c r="O7">
        <f>IFERROR(_xlfn.STDEV.S(INDEX(benchmark!O:O, (ROW()-2)*averages!$B7+2):INDEX(benchmark!O:O, (ROW()-2)*averages!$B7+averages!$B7+1)), "")</f>
        <v>0</v>
      </c>
      <c r="P7">
        <f>IFERROR(_xlfn.STDEV.S(INDEX(benchmark!P:P, (ROW()-2)*averages!$B7+2):INDEX(benchmark!P:P, (ROW()-2)*averages!$B7+averages!$B7+1)), "")</f>
        <v>0</v>
      </c>
      <c r="Q7">
        <f>IFERROR(_xlfn.STDEV.S(INDEX(benchmark!Q:Q, (ROW()-2)*averages!$B7+2):INDEX(benchmark!Q:Q, (ROW()-2)*averages!$B7+averages!$B7+1)), "")</f>
        <v>0</v>
      </c>
      <c r="R7">
        <f>IFERROR(_xlfn.STDEV.S(INDEX(benchmark!R:R, (ROW()-2)*averages!$B7+2):INDEX(benchmark!R:R, (ROW()-2)*averages!$B7+averages!$B7+1)), "")</f>
        <v>0.2769010252378597</v>
      </c>
      <c r="S7">
        <f>IFERROR(_xlfn.STDEV.S(INDEX(benchmark!S:S, (ROW()-2)*averages!$B7+2):INDEX(benchmark!S:S, (ROW()-2)*averages!$B7+averages!$B7+1)), "")</f>
        <v>0.29286335456052592</v>
      </c>
      <c r="T7">
        <f>IFERROR(_xlfn.STDEV.S(INDEX(benchmark!T:T, (ROW()-2)*averages!$B7+2):INDEX(benchmark!T:T, (ROW()-2)*averages!$B7+averages!$B7+1)), "")</f>
        <v>0</v>
      </c>
      <c r="U7">
        <f>IFERROR(_xlfn.STDEV.S(INDEX(benchmark!U:U, (ROW()-2)*averages!$B7+2):INDEX(benchmark!U:U, (ROW()-2)*averages!$B7+averages!$B7+1)), "")</f>
        <v>0</v>
      </c>
      <c r="V7">
        <f>IFERROR(_xlfn.STDEV.S(INDEX(benchmark!V:V, (ROW()-2)*averages!$B7+2):INDEX(benchmark!V:V, (ROW()-2)*averages!$B7+averages!$B7+1)), "")</f>
        <v>0</v>
      </c>
      <c r="W7">
        <f>IFERROR(_xlfn.STDEV.S(INDEX(benchmark!W:W, (ROW()-2)*averages!$B7+2):INDEX(benchmark!W:W, (ROW()-2)*averages!$B7+averages!$B7+1)), "")</f>
        <v>0.14093481550781739</v>
      </c>
      <c r="X7">
        <f>IFERROR(_xlfn.STDEV.S(INDEX(benchmark!X:X, (ROW()-2)*averages!$B7+2):INDEX(benchmark!X:X, (ROW()-2)*averages!$B7+averages!$B7+1)), "")</f>
        <v>4.2440726640548702E-2</v>
      </c>
      <c r="Y7">
        <f>IFERROR(_xlfn.STDEV.S(INDEX(benchmark!Y:Y, (ROW()-2)*averages!$B7+2):INDEX(benchmark!Y:Y, (ROW()-2)*averages!$B7+averages!$B7+1)), "")</f>
        <v>0.11604185368028035</v>
      </c>
      <c r="Z7">
        <f>IFERROR(_xlfn.STDEV.S(INDEX(benchmark!Z:Z, (ROW()-2)*averages!$B7+2):INDEX(benchmark!Z:Z, (ROW()-2)*averages!$B7+averages!$B7+1)), "")</f>
        <v>0.12125465340440433</v>
      </c>
      <c r="AA7">
        <f>IFERROR(_xlfn.STDEV.S(INDEX(benchmark!AA:AA, (ROW()-2)*averages!$B7+2):INDEX(benchmark!AA:AA, (ROW()-2)*averages!$B7+averages!$B7+1)), "")</f>
        <v>0.54056488972185368</v>
      </c>
      <c r="AB7">
        <f>IFERROR(_xlfn.STDEV.S(INDEX(benchmark!AB:AB, (ROW()-2)*averages!$B7+2):INDEX(benchmark!AB:AB, (ROW()-2)*averages!$B7+averages!$B7+1)), "")</f>
        <v>0.13139046716223785</v>
      </c>
      <c r="AC7">
        <f>IFERROR(_xlfn.STDEV.S(INDEX(benchmark!AC:AC, (ROW()-2)*averages!$B7+2):INDEX(benchmark!AC:AC, (ROW()-2)*averages!$B7+averages!$B7+1)), "")</f>
        <v>0.52051031650038726</v>
      </c>
      <c r="AD7">
        <f>IFERROR(_xlfn.STDEV.S(INDEX(benchmark!AD:AD, (ROW()-2)*averages!$B7+2):INDEX(benchmark!AD:AD, (ROW()-2)*averages!$B7+averages!$B7+1)), "")</f>
        <v>0.53603846838014657</v>
      </c>
      <c r="AE7">
        <f>IFERROR(_xlfn.STDEV.S(INDEX(benchmark!AE:AE, (ROW()-2)*averages!$B7+2):INDEX(benchmark!AE:AE, (ROW()-2)*averages!$B7+averages!$B7+1)), "")</f>
        <v>0</v>
      </c>
      <c r="AF7">
        <f>IFERROR(_xlfn.STDEV.S(INDEX(benchmark!AF:AF, (ROW()-2)*averages!$B7+2):INDEX(benchmark!AF:AF, (ROW()-2)*averages!$B7+averages!$B7+1)), "")</f>
        <v>0</v>
      </c>
      <c r="AG7">
        <f>IFERROR(_xlfn.STDEV.S(INDEX(benchmark!AG:AG, (ROW()-2)*averages!$B7+2):INDEX(benchmark!AG:AG, (ROW()-2)*averages!$B7+averages!$B7+1)), "")</f>
        <v>0</v>
      </c>
      <c r="AH7">
        <f>IFERROR(_xlfn.STDEV.S(INDEX(benchmark!AH:AH, (ROW()-2)*averages!$B7+2):INDEX(benchmark!AH:AH, (ROW()-2)*averages!$B7+averages!$B7+1)), "")</f>
        <v>0</v>
      </c>
      <c r="AI7">
        <f>IFERROR(_xlfn.STDEV.S(INDEX(benchmark!AI:AI, (ROW()-2)*averages!$B7+2):INDEX(benchmark!AI:AI, (ROW()-2)*averages!$B7+averages!$B7+1)), "")</f>
        <v>1.192397128596804E-3</v>
      </c>
      <c r="AJ7">
        <f>IFERROR(_xlfn.STDEV.S(INDEX(benchmark!AJ:AJ, (ROW()-2)*averages!$B7+2):INDEX(benchmark!AJ:AJ, (ROW()-2)*averages!$B7+averages!$B7+1)), "")</f>
        <v>1.1935501909769869E-3</v>
      </c>
      <c r="AK7" cm="1">
        <f t="array" ref="AK7">IFERROR(_xlfn.STDEV.S(INDEX(benchmark!W:W, (ROW()-2)*$B7+2):INDEX(benchmark!W:W, (ROW()-2)*$B7 + $B7+1) + INDEX(benchmark!AA:AA, (ROW()-2)*$B7+2):INDEX(benchmark!AA:AA, (ROW()-2)*$B7 + $B7+1)), "")</f>
        <v>0.63404665093000578</v>
      </c>
      <c r="AL7" cm="1">
        <f t="array" ref="AL7">IFERROR(_xlfn.STDEV.S(MOD(VALUE(INDEX(benchmark!AJ:AJ, (ROW()-2)*$B7+2):INDEX(benchmark!AJ:AJ, (ROW()-2)*$B7 + $B7+1)) - VALUE(INDEX(benchmark!AI:AI, (ROW()-2)*$B7+2):INDEX(benchmark!AI:AI, (ROW()-2)*$B7 + $B7+1)), 1) * 86400), "")</f>
        <v>0.60305149955133319</v>
      </c>
      <c r="AM7">
        <f>IFERROR(_xlfn.STDEV.S(INDEX(benchmark!S:S, (ROW()-2)*$B7+2):INDEX(benchmark!S:S, (ROW()-2)*$B7 + $B7+1)), "")</f>
        <v>0.29286335456052592</v>
      </c>
    </row>
    <row r="8" spans="1:39" x14ac:dyDescent="0.25">
      <c r="A8" t="str" cm="1">
        <f t="array" ref="A8">INDEX(benchmark!A:A, (ROW()-2)*$B8+2)</f>
        <v>grasp-cbc</v>
      </c>
      <c r="B8">
        <f>COUNTIF(benchmark!A:A, benchmark!A8)</f>
        <v>10</v>
      </c>
      <c r="C8" t="str" cm="1">
        <f t="array" ref="C8">INDEX(benchmark!C:C, (ROW()-2)*$B8+2)</f>
        <v>cbc</v>
      </c>
      <c r="D8" t="str" cm="1">
        <f t="array" ref="D8">INDEX(benchmark!D:D, (ROW()-2)*$B8+2)</f>
        <v>2.10.12</v>
      </c>
      <c r="E8" t="str" cm="1">
        <f t="array" ref="E8">INDEX(benchmark!E:E, (ROW()-2)*$B8+2)</f>
        <v>failure</v>
      </c>
      <c r="F8">
        <f>IFERROR(_xlfn.STDEV.S(INDEX(benchmark!F:F, (ROW()-2)*averages!$B8+2):INDEX(benchmark!F:F, (ROW()-2)*averages!$B8+averages!$B8+1)), "")</f>
        <v>0</v>
      </c>
      <c r="G8">
        <f>IFERROR(_xlfn.STDEV.S(INDEX(benchmark!G:G, (ROW()-2)*averages!$B8+2):INDEX(benchmark!G:G, (ROW()-2)*averages!$B8+averages!$B8+1)), "")</f>
        <v>0</v>
      </c>
      <c r="H8" t="str">
        <f>IFERROR(_xlfn.STDEV.S(INDEX(benchmark!H:H, (ROW()-2)*averages!$B8+2):INDEX(benchmark!H:H, (ROW()-2)*averages!$B8+averages!$B8+1)), "")</f>
        <v/>
      </c>
      <c r="I8" t="str">
        <f>IFERROR(_xlfn.STDEV.S(INDEX(benchmark!I:I, (ROW()-2)*averages!$B8+2):INDEX(benchmark!I:I, (ROW()-2)*averages!$B8+averages!$B8+1)), "")</f>
        <v/>
      </c>
      <c r="J8" t="str">
        <f>IFERROR(_xlfn.STDEV.S(INDEX(benchmark!J:J, (ROW()-2)*averages!$B8+2):INDEX(benchmark!J:J, (ROW()-2)*averages!$B8+averages!$B8+1)), "")</f>
        <v/>
      </c>
      <c r="K8" t="str">
        <f>IFERROR(_xlfn.STDEV.S(INDEX(benchmark!K:K, (ROW()-2)*averages!$B8+2):INDEX(benchmark!K:K, (ROW()-2)*averages!$B8+averages!$B8+1)), "")</f>
        <v/>
      </c>
      <c r="L8" t="str">
        <f>IFERROR(_xlfn.STDEV.S(INDEX(benchmark!L:L, (ROW()-2)*averages!$B8+2):INDEX(benchmark!L:L, (ROW()-2)*averages!$B8+averages!$B8+1)), "")</f>
        <v/>
      </c>
      <c r="M8" t="str">
        <f>IFERROR(_xlfn.STDEV.S(INDEX(benchmark!M:M, (ROW()-2)*averages!$B8+2):INDEX(benchmark!M:M, (ROW()-2)*averages!$B8+averages!$B8+1)), "")</f>
        <v/>
      </c>
      <c r="N8" t="str">
        <f>IFERROR(_xlfn.STDEV.S(INDEX(benchmark!N:N, (ROW()-2)*averages!$B8+2):INDEX(benchmark!N:N, (ROW()-2)*averages!$B8+averages!$B8+1)), "")</f>
        <v/>
      </c>
      <c r="O8" t="str">
        <f>IFERROR(_xlfn.STDEV.S(INDEX(benchmark!O:O, (ROW()-2)*averages!$B8+2):INDEX(benchmark!O:O, (ROW()-2)*averages!$B8+averages!$B8+1)), "")</f>
        <v/>
      </c>
      <c r="P8" t="str">
        <f>IFERROR(_xlfn.STDEV.S(INDEX(benchmark!P:P, (ROW()-2)*averages!$B8+2):INDEX(benchmark!P:P, (ROW()-2)*averages!$B8+averages!$B8+1)), "")</f>
        <v/>
      </c>
      <c r="Q8" t="str">
        <f>IFERROR(_xlfn.STDEV.S(INDEX(benchmark!Q:Q, (ROW()-2)*averages!$B8+2):INDEX(benchmark!Q:Q, (ROW()-2)*averages!$B8+averages!$B8+1)), "")</f>
        <v/>
      </c>
      <c r="R8" t="str">
        <f>IFERROR(_xlfn.STDEV.S(INDEX(benchmark!R:R, (ROW()-2)*averages!$B8+2):INDEX(benchmark!R:R, (ROW()-2)*averages!$B8+averages!$B8+1)), "")</f>
        <v/>
      </c>
      <c r="S8" t="str">
        <f>IFERROR(_xlfn.STDEV.S(INDEX(benchmark!S:S, (ROW()-2)*averages!$B8+2):INDEX(benchmark!S:S, (ROW()-2)*averages!$B8+averages!$B8+1)), "")</f>
        <v/>
      </c>
      <c r="T8" t="str">
        <f>IFERROR(_xlfn.STDEV.S(INDEX(benchmark!T:T, (ROW()-2)*averages!$B8+2):INDEX(benchmark!T:T, (ROW()-2)*averages!$B8+averages!$B8+1)), "")</f>
        <v/>
      </c>
      <c r="U8" t="str">
        <f>IFERROR(_xlfn.STDEV.S(INDEX(benchmark!U:U, (ROW()-2)*averages!$B8+2):INDEX(benchmark!U:U, (ROW()-2)*averages!$B8+averages!$B8+1)), "")</f>
        <v/>
      </c>
      <c r="V8" t="str">
        <f>IFERROR(_xlfn.STDEV.S(INDEX(benchmark!V:V, (ROW()-2)*averages!$B8+2):INDEX(benchmark!V:V, (ROW()-2)*averages!$B8+averages!$B8+1)), "")</f>
        <v/>
      </c>
      <c r="W8">
        <f>IFERROR(_xlfn.STDEV.S(INDEX(benchmark!W:W, (ROW()-2)*averages!$B8+2):INDEX(benchmark!W:W, (ROW()-2)*averages!$B8+averages!$B8+1)), "")</f>
        <v>2.6712668654903408E-2</v>
      </c>
      <c r="X8">
        <f>IFERROR(_xlfn.STDEV.S(INDEX(benchmark!X:X, (ROW()-2)*averages!$B8+2):INDEX(benchmark!X:X, (ROW()-2)*averages!$B8+averages!$B8+1)), "")</f>
        <v>1.6796370308955311E-2</v>
      </c>
      <c r="Y8">
        <f>IFERROR(_xlfn.STDEV.S(INDEX(benchmark!Y:Y, (ROW()-2)*averages!$B8+2):INDEX(benchmark!Y:Y, (ROW()-2)*averages!$B8+averages!$B8+1)), "")</f>
        <v>1.3681172433920523E-2</v>
      </c>
      <c r="Z8">
        <f>IFERROR(_xlfn.STDEV.S(INDEX(benchmark!Z:Z, (ROW()-2)*averages!$B8+2):INDEX(benchmark!Z:Z, (ROW()-2)*averages!$B8+averages!$B8+1)), "")</f>
        <v>1.48231765320393E-2</v>
      </c>
      <c r="AA8">
        <f>IFERROR(_xlfn.STDEV.S(INDEX(benchmark!AA:AA, (ROW()-2)*averages!$B8+2):INDEX(benchmark!AA:AA, (ROW()-2)*averages!$B8+averages!$B8+1)), "")</f>
        <v>9.8115578103921113E-3</v>
      </c>
      <c r="AB8">
        <f>IFERROR(_xlfn.STDEV.S(INDEX(benchmark!AB:AB, (ROW()-2)*averages!$B8+2):INDEX(benchmark!AB:AB, (ROW()-2)*averages!$B8+averages!$B8+1)), "")</f>
        <v>1.0925092168439079E-2</v>
      </c>
      <c r="AC8">
        <f>IFERROR(_xlfn.STDEV.S(INDEX(benchmark!AC:AC, (ROW()-2)*averages!$B8+2):INDEX(benchmark!AC:AC, (ROW()-2)*averages!$B8+averages!$B8+1)), "")</f>
        <v>1.1048543456039806E-2</v>
      </c>
      <c r="AD8">
        <f>IFERROR(_xlfn.STDEV.S(INDEX(benchmark!AD:AD, (ROW()-2)*averages!$B8+2):INDEX(benchmark!AD:AD, (ROW()-2)*averages!$B8+averages!$B8+1)), "")</f>
        <v>1.3681172433920518E-2</v>
      </c>
      <c r="AE8">
        <f>IFERROR(_xlfn.STDEV.S(INDEX(benchmark!AE:AE, (ROW()-2)*averages!$B8+2):INDEX(benchmark!AE:AE, (ROW()-2)*averages!$B8+averages!$B8+1)), "")</f>
        <v>0</v>
      </c>
      <c r="AF8">
        <f>IFERROR(_xlfn.STDEV.S(INDEX(benchmark!AF:AF, (ROW()-2)*averages!$B8+2):INDEX(benchmark!AF:AF, (ROW()-2)*averages!$B8+averages!$B8+1)), "")</f>
        <v>0</v>
      </c>
      <c r="AG8">
        <f>IFERROR(_xlfn.STDEV.S(INDEX(benchmark!AG:AG, (ROW()-2)*averages!$B8+2):INDEX(benchmark!AG:AG, (ROW()-2)*averages!$B8+averages!$B8+1)), "")</f>
        <v>0</v>
      </c>
      <c r="AH8">
        <f>IFERROR(_xlfn.STDEV.S(INDEX(benchmark!AH:AH, (ROW()-2)*averages!$B8+2):INDEX(benchmark!AH:AH, (ROW()-2)*averages!$B8+averages!$B8+1)), "")</f>
        <v>0</v>
      </c>
      <c r="AI8">
        <f>IFERROR(_xlfn.STDEV.S(INDEX(benchmark!AI:AI, (ROW()-2)*averages!$B8+2):INDEX(benchmark!AI:AI, (ROW()-2)*averages!$B8+averages!$B8+1)), "")</f>
        <v>1.7530466843653822E-5</v>
      </c>
      <c r="AJ8">
        <f>IFERROR(_xlfn.STDEV.S(INDEX(benchmark!AJ:AJ, (ROW()-2)*averages!$B8+2):INDEX(benchmark!AJ:AJ, (ROW()-2)*averages!$B8+averages!$B8+1)), "")</f>
        <v>1.7517879309108597E-5</v>
      </c>
      <c r="AK8" cm="1">
        <f t="array" ref="AK8">IFERROR(_xlfn.STDEV.S(INDEX(benchmark!W:W, (ROW()-2)*$B8+2):INDEX(benchmark!W:W, (ROW()-2)*$B8 + $B8+1) + INDEX(benchmark!AA:AA, (ROW()-2)*$B8+2):INDEX(benchmark!AA:AA, (ROW()-2)*$B8 + $B8+1)), "")</f>
        <v>2.6735120472267147E-2</v>
      </c>
      <c r="AL8" cm="1">
        <f t="array" ref="AL8">IFERROR(_xlfn.STDEV.S(MOD(VALUE(INDEX(benchmark!AJ:AJ, (ROW()-2)*$B8+2):INDEX(benchmark!AJ:AJ, (ROW()-2)*$B8 + $B8+1)) - VALUE(INDEX(benchmark!AI:AI, (ROW()-2)*$B8+2):INDEX(benchmark!AI:AI, (ROW()-2)*$B8 + $B8+1)), 1) * 86400), "")</f>
        <v>2.3475755815577124E-2</v>
      </c>
      <c r="AM8" t="str">
        <f>IFERROR(_xlfn.STDEV.S(INDEX(benchmark!S:S, (ROW()-2)*$B8+2):INDEX(benchmark!S:S, (ROW()-2)*$B8 + $B8+1)), "")</f>
        <v/>
      </c>
    </row>
    <row r="9" spans="1:39" x14ac:dyDescent="0.25">
      <c r="A9" t="str" cm="1">
        <f t="array" ref="A9">INDEX(benchmark!A:A, (ROW()-2)*$B9+2)</f>
        <v>grasp-conopt</v>
      </c>
      <c r="B9">
        <f>COUNTIF(benchmark!A:A, benchmark!A9)</f>
        <v>10</v>
      </c>
      <c r="C9" t="str" cm="1">
        <f t="array" ref="C9">INDEX(benchmark!C:C, (ROW()-2)*$B9+2)</f>
        <v/>
      </c>
      <c r="D9" t="str" cm="1">
        <f t="array" ref="D9">INDEX(benchmark!D:D, (ROW()-2)*$B9+2)</f>
        <v/>
      </c>
      <c r="E9" t="str" cm="1">
        <f t="array" ref="E9">INDEX(benchmark!E:E, (ROW()-2)*$B9+2)</f>
        <v>solved?</v>
      </c>
      <c r="F9">
        <f>IFERROR(_xlfn.STDEV.S(INDEX(benchmark!F:F, (ROW()-2)*averages!$B9+2):INDEX(benchmark!F:F, (ROW()-2)*averages!$B9+averages!$B9+1)), "")</f>
        <v>0</v>
      </c>
      <c r="G9">
        <f>IFERROR(_xlfn.STDEV.S(INDEX(benchmark!G:G, (ROW()-2)*averages!$B9+2):INDEX(benchmark!G:G, (ROW()-2)*averages!$B9+averages!$B9+1)), "")</f>
        <v>0</v>
      </c>
      <c r="H9" t="str">
        <f>IFERROR(_xlfn.STDEV.S(INDEX(benchmark!H:H, (ROW()-2)*averages!$B9+2):INDEX(benchmark!H:H, (ROW()-2)*averages!$B9+averages!$B9+1)), "")</f>
        <v/>
      </c>
      <c r="I9" t="str">
        <f>IFERROR(_xlfn.STDEV.S(INDEX(benchmark!I:I, (ROW()-2)*averages!$B9+2):INDEX(benchmark!I:I, (ROW()-2)*averages!$B9+averages!$B9+1)), "")</f>
        <v/>
      </c>
      <c r="J9" t="str">
        <f>IFERROR(_xlfn.STDEV.S(INDEX(benchmark!J:J, (ROW()-2)*averages!$B9+2):INDEX(benchmark!J:J, (ROW()-2)*averages!$B9+averages!$B9+1)), "")</f>
        <v/>
      </c>
      <c r="K9" t="str">
        <f>IFERROR(_xlfn.STDEV.S(INDEX(benchmark!K:K, (ROW()-2)*averages!$B9+2):INDEX(benchmark!K:K, (ROW()-2)*averages!$B9+averages!$B9+1)), "")</f>
        <v/>
      </c>
      <c r="L9" t="str">
        <f>IFERROR(_xlfn.STDEV.S(INDEX(benchmark!L:L, (ROW()-2)*averages!$B9+2):INDEX(benchmark!L:L, (ROW()-2)*averages!$B9+averages!$B9+1)), "")</f>
        <v/>
      </c>
      <c r="M9" t="str">
        <f>IFERROR(_xlfn.STDEV.S(INDEX(benchmark!M:M, (ROW()-2)*averages!$B9+2):INDEX(benchmark!M:M, (ROW()-2)*averages!$B9+averages!$B9+1)), "")</f>
        <v/>
      </c>
      <c r="N9" t="str">
        <f>IFERROR(_xlfn.STDEV.S(INDEX(benchmark!N:N, (ROW()-2)*averages!$B9+2):INDEX(benchmark!N:N, (ROW()-2)*averages!$B9+averages!$B9+1)), "")</f>
        <v/>
      </c>
      <c r="O9" t="str">
        <f>IFERROR(_xlfn.STDEV.S(INDEX(benchmark!O:O, (ROW()-2)*averages!$B9+2):INDEX(benchmark!O:O, (ROW()-2)*averages!$B9+averages!$B9+1)), "")</f>
        <v/>
      </c>
      <c r="P9" t="str">
        <f>IFERROR(_xlfn.STDEV.S(INDEX(benchmark!P:P, (ROW()-2)*averages!$B9+2):INDEX(benchmark!P:P, (ROW()-2)*averages!$B9+averages!$B9+1)), "")</f>
        <v/>
      </c>
      <c r="Q9" t="str">
        <f>IFERROR(_xlfn.STDEV.S(INDEX(benchmark!Q:Q, (ROW()-2)*averages!$B9+2):INDEX(benchmark!Q:Q, (ROW()-2)*averages!$B9+averages!$B9+1)), "")</f>
        <v/>
      </c>
      <c r="R9" t="str">
        <f>IFERROR(_xlfn.STDEV.S(INDEX(benchmark!R:R, (ROW()-2)*averages!$B9+2):INDEX(benchmark!R:R, (ROW()-2)*averages!$B9+averages!$B9+1)), "")</f>
        <v/>
      </c>
      <c r="S9" t="str">
        <f>IFERROR(_xlfn.STDEV.S(INDEX(benchmark!S:S, (ROW()-2)*averages!$B9+2):INDEX(benchmark!S:S, (ROW()-2)*averages!$B9+averages!$B9+1)), "")</f>
        <v/>
      </c>
      <c r="T9" t="str">
        <f>IFERROR(_xlfn.STDEV.S(INDEX(benchmark!T:T, (ROW()-2)*averages!$B9+2):INDEX(benchmark!T:T, (ROW()-2)*averages!$B9+averages!$B9+1)), "")</f>
        <v/>
      </c>
      <c r="U9" t="str">
        <f>IFERROR(_xlfn.STDEV.S(INDEX(benchmark!U:U, (ROW()-2)*averages!$B9+2):INDEX(benchmark!U:U, (ROW()-2)*averages!$B9+averages!$B9+1)), "")</f>
        <v/>
      </c>
      <c r="V9" t="str">
        <f>IFERROR(_xlfn.STDEV.S(INDEX(benchmark!V:V, (ROW()-2)*averages!$B9+2):INDEX(benchmark!V:V, (ROW()-2)*averages!$B9+averages!$B9+1)), "")</f>
        <v/>
      </c>
      <c r="W9">
        <f>IFERROR(_xlfn.STDEV.S(INDEX(benchmark!W:W, (ROW()-2)*averages!$B9+2):INDEX(benchmark!W:W, (ROW()-2)*averages!$B9+averages!$B9+1)), "")</f>
        <v>2.4129511667941604E-2</v>
      </c>
      <c r="X9">
        <f>IFERROR(_xlfn.STDEV.S(INDEX(benchmark!X:X, (ROW()-2)*averages!$B9+2):INDEX(benchmark!X:X, (ROW()-2)*averages!$B9+averages!$B9+1)), "")</f>
        <v>2.0104436526686233E-2</v>
      </c>
      <c r="Y9">
        <f>IFERROR(_xlfn.STDEV.S(INDEX(benchmark!Y:Y, (ROW()-2)*averages!$B9+2):INDEX(benchmark!Y:Y, (ROW()-2)*averages!$B9+averages!$B9+1)), "")</f>
        <v>1.8340434230894785E-2</v>
      </c>
      <c r="Z9">
        <f>IFERROR(_xlfn.STDEV.S(INDEX(benchmark!Z:Z, (ROW()-2)*averages!$B9+2):INDEX(benchmark!Z:Z, (ROW()-2)*averages!$B9+averages!$B9+1)), "")</f>
        <v>1.8414239093399676E-2</v>
      </c>
      <c r="AA9">
        <f>IFERROR(_xlfn.STDEV.S(INDEX(benchmark!AA:AA, (ROW()-2)*averages!$B9+2):INDEX(benchmark!AA:AA, (ROW()-2)*averages!$B9+averages!$B9+1)), "")</f>
        <v>8.7228690489107072E-2</v>
      </c>
      <c r="AB9">
        <f>IFERROR(_xlfn.STDEV.S(INDEX(benchmark!AB:AB, (ROW()-2)*averages!$B9+2):INDEX(benchmark!AB:AB, (ROW()-2)*averages!$B9+averages!$B9+1)), "")</f>
        <v>1.8042195912175804E-2</v>
      </c>
      <c r="AC9">
        <f>IFERROR(_xlfn.STDEV.S(INDEX(benchmark!AC:AC, (ROW()-2)*averages!$B9+2):INDEX(benchmark!AC:AC, (ROW()-2)*averages!$B9+averages!$B9+1)), "")</f>
        <v>1.3681172433920518E-2</v>
      </c>
      <c r="AD9">
        <f>IFERROR(_xlfn.STDEV.S(INDEX(benchmark!AD:AD, (ROW()-2)*averages!$B9+2):INDEX(benchmark!AD:AD, (ROW()-2)*averages!$B9+averages!$B9+1)), "")</f>
        <v>2.7013130166437374E-2</v>
      </c>
      <c r="AE9">
        <f>IFERROR(_xlfn.STDEV.S(INDEX(benchmark!AE:AE, (ROW()-2)*averages!$B9+2):INDEX(benchmark!AE:AE, (ROW()-2)*averages!$B9+averages!$B9+1)), "")</f>
        <v>0</v>
      </c>
      <c r="AF9">
        <f>IFERROR(_xlfn.STDEV.S(INDEX(benchmark!AF:AF, (ROW()-2)*averages!$B9+2):INDEX(benchmark!AF:AF, (ROW()-2)*averages!$B9+averages!$B9+1)), "")</f>
        <v>0</v>
      </c>
      <c r="AG9">
        <f>IFERROR(_xlfn.STDEV.S(INDEX(benchmark!AG:AG, (ROW()-2)*averages!$B9+2):INDEX(benchmark!AG:AG, (ROW()-2)*averages!$B9+averages!$B9+1)), "")</f>
        <v>0</v>
      </c>
      <c r="AH9">
        <f>IFERROR(_xlfn.STDEV.S(INDEX(benchmark!AH:AH, (ROW()-2)*averages!$B9+2):INDEX(benchmark!AH:AH, (ROW()-2)*averages!$B9+averages!$B9+1)), "")</f>
        <v>0</v>
      </c>
      <c r="AI9">
        <f>IFERROR(_xlfn.STDEV.S(INDEX(benchmark!AI:AI, (ROW()-2)*averages!$B9+2):INDEX(benchmark!AI:AI, (ROW()-2)*averages!$B9+averages!$B9+1)), "")</f>
        <v>2.1518386486459708E-5</v>
      </c>
      <c r="AJ9">
        <f>IFERROR(_xlfn.STDEV.S(INDEX(benchmark!AJ:AJ, (ROW()-2)*averages!$B9+2):INDEX(benchmark!AJ:AJ, (ROW()-2)*averages!$B9+averages!$B9+1)), "")</f>
        <v>2.1466709480314048E-5</v>
      </c>
      <c r="AK9" cm="1">
        <f t="array" ref="AK9">IFERROR(_xlfn.STDEV.S(INDEX(benchmark!W:W, (ROW()-2)*$B9+2):INDEX(benchmark!W:W, (ROW()-2)*$B9 + $B9+1) + INDEX(benchmark!AA:AA, (ROW()-2)*$B9+2):INDEX(benchmark!AA:AA, (ROW()-2)*$B9 + $B9+1)), "")</f>
        <v>7.6367896105337021E-2</v>
      </c>
      <c r="AL9" cm="1">
        <f t="array" ref="AL9">IFERROR(_xlfn.STDEV.S(MOD(VALUE(INDEX(benchmark!AJ:AJ, (ROW()-2)*$B9+2):INDEX(benchmark!AJ:AJ, (ROW()-2)*$B9 + $B9+1)) - VALUE(INDEX(benchmark!AI:AI, (ROW()-2)*$B9+2):INDEX(benchmark!AI:AI, (ROW()-2)*$B9 + $B9+1)), 1) * 86400), "")</f>
        <v>7.9888811621030592E-2</v>
      </c>
      <c r="AM9" t="str">
        <f>IFERROR(_xlfn.STDEV.S(INDEX(benchmark!S:S, (ROW()-2)*$B9+2):INDEX(benchmark!S:S, (ROW()-2)*$B9 + $B9+1)), "")</f>
        <v/>
      </c>
    </row>
    <row r="10" spans="1:39" x14ac:dyDescent="0.25">
      <c r="A10" t="str" cm="1">
        <f t="array" ref="A10">INDEX(benchmark!A:A, (ROW()-2)*$B10+2)</f>
        <v>grasp-gurobi</v>
      </c>
      <c r="B10">
        <f>COUNTIF(benchmark!A:A, benchmark!A10)</f>
        <v>10</v>
      </c>
      <c r="C10" t="str" cm="1">
        <f t="array" ref="C10">INDEX(benchmark!C:C, (ROW()-2)*$B10+2)</f>
        <v>Gurobi</v>
      </c>
      <c r="D10" t="str" cm="1">
        <f t="array" ref="D10">INDEX(benchmark!D:D, (ROW()-2)*$B10+2)</f>
        <v>12.0.3</v>
      </c>
      <c r="E10" t="str" cm="1">
        <f t="array" ref="E10">INDEX(benchmark!E:E, (ROW()-2)*$B10+2)</f>
        <v>solved</v>
      </c>
      <c r="F10">
        <f>IFERROR(_xlfn.STDEV.S(INDEX(benchmark!F:F, (ROW()-2)*averages!$B10+2):INDEX(benchmark!F:F, (ROW()-2)*averages!$B10+averages!$B10+1)), "")</f>
        <v>0</v>
      </c>
      <c r="G10">
        <f>IFERROR(_xlfn.STDEV.S(INDEX(benchmark!G:G, (ROW()-2)*averages!$B10+2):INDEX(benchmark!G:G, (ROW()-2)*averages!$B10+averages!$B10+1)), "")</f>
        <v>0</v>
      </c>
      <c r="H10" t="str">
        <f>IFERROR(_xlfn.STDEV.S(INDEX(benchmark!H:H, (ROW()-2)*averages!$B10+2):INDEX(benchmark!H:H, (ROW()-2)*averages!$B10+averages!$B10+1)), "")</f>
        <v/>
      </c>
      <c r="I10" t="str">
        <f>IFERROR(_xlfn.STDEV.S(INDEX(benchmark!I:I, (ROW()-2)*averages!$B10+2):INDEX(benchmark!I:I, (ROW()-2)*averages!$B10+averages!$B10+1)), "")</f>
        <v/>
      </c>
      <c r="J10" t="str">
        <f>IFERROR(_xlfn.STDEV.S(INDEX(benchmark!J:J, (ROW()-2)*averages!$B10+2):INDEX(benchmark!J:J, (ROW()-2)*averages!$B10+averages!$B10+1)), "")</f>
        <v/>
      </c>
      <c r="K10" t="str">
        <f>IFERROR(_xlfn.STDEV.S(INDEX(benchmark!K:K, (ROW()-2)*averages!$B10+2):INDEX(benchmark!K:K, (ROW()-2)*averages!$B10+averages!$B10+1)), "")</f>
        <v/>
      </c>
      <c r="L10" t="str">
        <f>IFERROR(_xlfn.STDEV.S(INDEX(benchmark!L:L, (ROW()-2)*averages!$B10+2):INDEX(benchmark!L:L, (ROW()-2)*averages!$B10+averages!$B10+1)), "")</f>
        <v/>
      </c>
      <c r="M10" t="str">
        <f>IFERROR(_xlfn.STDEV.S(INDEX(benchmark!M:M, (ROW()-2)*averages!$B10+2):INDEX(benchmark!M:M, (ROW()-2)*averages!$B10+averages!$B10+1)), "")</f>
        <v/>
      </c>
      <c r="N10" t="str">
        <f>IFERROR(_xlfn.STDEV.S(INDEX(benchmark!N:N, (ROW()-2)*averages!$B10+2):INDEX(benchmark!N:N, (ROW()-2)*averages!$B10+averages!$B10+1)), "")</f>
        <v/>
      </c>
      <c r="O10" t="str">
        <f>IFERROR(_xlfn.STDEV.S(INDEX(benchmark!O:O, (ROW()-2)*averages!$B10+2):INDEX(benchmark!O:O, (ROW()-2)*averages!$B10+averages!$B10+1)), "")</f>
        <v/>
      </c>
      <c r="P10" t="str">
        <f>IFERROR(_xlfn.STDEV.S(INDEX(benchmark!P:P, (ROW()-2)*averages!$B10+2):INDEX(benchmark!P:P, (ROW()-2)*averages!$B10+averages!$B10+1)), "")</f>
        <v/>
      </c>
      <c r="Q10" t="str">
        <f>IFERROR(_xlfn.STDEV.S(INDEX(benchmark!Q:Q, (ROW()-2)*averages!$B10+2):INDEX(benchmark!Q:Q, (ROW()-2)*averages!$B10+averages!$B10+1)), "")</f>
        <v/>
      </c>
      <c r="R10" t="str">
        <f>IFERROR(_xlfn.STDEV.S(INDEX(benchmark!R:R, (ROW()-2)*averages!$B10+2):INDEX(benchmark!R:R, (ROW()-2)*averages!$B10+averages!$B10+1)), "")</f>
        <v/>
      </c>
      <c r="S10" t="str">
        <f>IFERROR(_xlfn.STDEV.S(INDEX(benchmark!S:S, (ROW()-2)*averages!$B10+2):INDEX(benchmark!S:S, (ROW()-2)*averages!$B10+averages!$B10+1)), "")</f>
        <v/>
      </c>
      <c r="T10" t="str">
        <f>IFERROR(_xlfn.STDEV.S(INDEX(benchmark!T:T, (ROW()-2)*averages!$B10+2):INDEX(benchmark!T:T, (ROW()-2)*averages!$B10+averages!$B10+1)), "")</f>
        <v/>
      </c>
      <c r="U10" t="str">
        <f>IFERROR(_xlfn.STDEV.S(INDEX(benchmark!U:U, (ROW()-2)*averages!$B10+2):INDEX(benchmark!U:U, (ROW()-2)*averages!$B10+averages!$B10+1)), "")</f>
        <v/>
      </c>
      <c r="V10" t="str">
        <f>IFERROR(_xlfn.STDEV.S(INDEX(benchmark!V:V, (ROW()-2)*averages!$B10+2):INDEX(benchmark!V:V, (ROW()-2)*averages!$B10+averages!$B10+1)), "")</f>
        <v/>
      </c>
      <c r="W10">
        <f>IFERROR(_xlfn.STDEV.S(INDEX(benchmark!W:W, (ROW()-2)*averages!$B10+2):INDEX(benchmark!W:W, (ROW()-2)*averages!$B10+averages!$B10+1)), "")</f>
        <v>3.0141149428793541E-2</v>
      </c>
      <c r="X10">
        <f>IFERROR(_xlfn.STDEV.S(INDEX(benchmark!X:X, (ROW()-2)*averages!$B10+2):INDEX(benchmark!X:X, (ROW()-2)*averages!$B10+averages!$B10+1)), "")</f>
        <v>2.1156350012072812E-2</v>
      </c>
      <c r="Y10">
        <f>IFERROR(_xlfn.STDEV.S(INDEX(benchmark!Y:Y, (ROW()-2)*averages!$B10+2):INDEX(benchmark!Y:Y, (ROW()-2)*averages!$B10+averages!$B10+1)), "")</f>
        <v>2.2097086912079612E-2</v>
      </c>
      <c r="Z10">
        <f>IFERROR(_xlfn.STDEV.S(INDEX(benchmark!Z:Z, (ROW()-2)*averages!$B10+2):INDEX(benchmark!Z:Z, (ROW()-2)*averages!$B10+averages!$B10+1)), "")</f>
        <v>1.8414239093399676E-2</v>
      </c>
      <c r="AA10">
        <f>IFERROR(_xlfn.STDEV.S(INDEX(benchmark!AA:AA, (ROW()-2)*averages!$B10+2):INDEX(benchmark!AA:AA, (ROW()-2)*averages!$B10+averages!$B10+1)), "")</f>
        <v>2.1806217258183762E-2</v>
      </c>
      <c r="AB10">
        <f>IFERROR(_xlfn.STDEV.S(INDEX(benchmark!AB:AB, (ROW()-2)*averages!$B10+2):INDEX(benchmark!AB:AB, (ROW()-2)*averages!$B10+averages!$B10+1)), "")</f>
        <v>0.10100675943415321</v>
      </c>
      <c r="AC10">
        <f>IFERROR(_xlfn.STDEV.S(INDEX(benchmark!AC:AC, (ROW()-2)*averages!$B10+2):INDEX(benchmark!AC:AC, (ROW()-2)*averages!$B10+averages!$B10+1)), "")</f>
        <v>9.8944626243672271E-2</v>
      </c>
      <c r="AD10">
        <f>IFERROR(_xlfn.STDEV.S(INDEX(benchmark!AD:AD, (ROW()-2)*averages!$B10+2):INDEX(benchmark!AD:AD, (ROW()-2)*averages!$B10+averages!$B10+1)), "")</f>
        <v>8.7400737347512622E-2</v>
      </c>
      <c r="AE10">
        <f>IFERROR(_xlfn.STDEV.S(INDEX(benchmark!AE:AE, (ROW()-2)*averages!$B10+2):INDEX(benchmark!AE:AE, (ROW()-2)*averages!$B10+averages!$B10+1)), "")</f>
        <v>0</v>
      </c>
      <c r="AF10">
        <f>IFERROR(_xlfn.STDEV.S(INDEX(benchmark!AF:AF, (ROW()-2)*averages!$B10+2):INDEX(benchmark!AF:AF, (ROW()-2)*averages!$B10+averages!$B10+1)), "")</f>
        <v>0</v>
      </c>
      <c r="AG10">
        <f>IFERROR(_xlfn.STDEV.S(INDEX(benchmark!AG:AG, (ROW()-2)*averages!$B10+2):INDEX(benchmark!AG:AG, (ROW()-2)*averages!$B10+averages!$B10+1)), "")</f>
        <v>0</v>
      </c>
      <c r="AH10">
        <f>IFERROR(_xlfn.STDEV.S(INDEX(benchmark!AH:AH, (ROW()-2)*averages!$B10+2):INDEX(benchmark!AH:AH, (ROW()-2)*averages!$B10+averages!$B10+1)), "")</f>
        <v>0</v>
      </c>
      <c r="AI10">
        <f>IFERROR(_xlfn.STDEV.S(INDEX(benchmark!AI:AI, (ROW()-2)*averages!$B10+2):INDEX(benchmark!AI:AI, (ROW()-2)*averages!$B10+averages!$B10+1)), "")</f>
        <v>2.5208582503577339E-5</v>
      </c>
      <c r="AJ10">
        <f>IFERROR(_xlfn.STDEV.S(INDEX(benchmark!AJ:AJ, (ROW()-2)*averages!$B10+2):INDEX(benchmark!AJ:AJ, (ROW()-2)*averages!$B10+averages!$B10+1)), "")</f>
        <v>2.5010657902888716E-5</v>
      </c>
      <c r="AK10" cm="1">
        <f t="array" ref="AK10">IFERROR(_xlfn.STDEV.S(INDEX(benchmark!W:W, (ROW()-2)*$B10+2):INDEX(benchmark!W:W, (ROW()-2)*$B10 + $B10+1) + INDEX(benchmark!AA:AA, (ROW()-2)*$B10+2):INDEX(benchmark!AA:AA, (ROW()-2)*$B10 + $B10+1)), "")</f>
        <v>4.0691795514848236E-2</v>
      </c>
      <c r="AL10" cm="1">
        <f t="array" ref="AL10">IFERROR(_xlfn.STDEV.S(MOD(VALUE(INDEX(benchmark!AJ:AJ, (ROW()-2)*$B10+2):INDEX(benchmark!AJ:AJ, (ROW()-2)*$B10 + $B10+1)) - VALUE(INDEX(benchmark!AI:AI, (ROW()-2)*$B10+2):INDEX(benchmark!AI:AI, (ROW()-2)*$B10 + $B10+1)), 1) * 86400), "")</f>
        <v>4.2700507413087112E-2</v>
      </c>
      <c r="AM10" t="str">
        <f>IFERROR(_xlfn.STDEV.S(INDEX(benchmark!S:S, (ROW()-2)*$B10+2):INDEX(benchmark!S:S, (ROW()-2)*$B10 + $B10+1)), "")</f>
        <v/>
      </c>
    </row>
    <row r="11" spans="1:39" x14ac:dyDescent="0.25">
      <c r="A11" t="str" cm="1">
        <f t="array" ref="A11">INDEX(benchmark!A:A, (ROW()-2)*$B11+2)</f>
        <v>grasp-highs</v>
      </c>
      <c r="B11">
        <f>COUNTIF(benchmark!A:A, benchmark!A11)</f>
        <v>10</v>
      </c>
      <c r="C11" t="str" cm="1">
        <f t="array" ref="C11">INDEX(benchmark!C:C, (ROW()-2)*$B11+2)</f>
        <v>HiGHS</v>
      </c>
      <c r="D11" t="str" cm="1">
        <f t="array" ref="D11">INDEX(benchmark!D:D, (ROW()-2)*$B11+2)</f>
        <v>1.11.0</v>
      </c>
      <c r="E11" t="str" cm="1">
        <f t="array" ref="E11">INDEX(benchmark!E:E, (ROW()-2)*$B11+2)</f>
        <v>failure</v>
      </c>
      <c r="F11">
        <f>IFERROR(_xlfn.STDEV.S(INDEX(benchmark!F:F, (ROW()-2)*averages!$B11+2):INDEX(benchmark!F:F, (ROW()-2)*averages!$B11+averages!$B11+1)), "")</f>
        <v>0</v>
      </c>
      <c r="G11">
        <f>IFERROR(_xlfn.STDEV.S(INDEX(benchmark!G:G, (ROW()-2)*averages!$B11+2):INDEX(benchmark!G:G, (ROW()-2)*averages!$B11+averages!$B11+1)), "")</f>
        <v>0</v>
      </c>
      <c r="H11" t="str">
        <f>IFERROR(_xlfn.STDEV.S(INDEX(benchmark!H:H, (ROW()-2)*averages!$B11+2):INDEX(benchmark!H:H, (ROW()-2)*averages!$B11+averages!$B11+1)), "")</f>
        <v/>
      </c>
      <c r="I11" t="str">
        <f>IFERROR(_xlfn.STDEV.S(INDEX(benchmark!I:I, (ROW()-2)*averages!$B11+2):INDEX(benchmark!I:I, (ROW()-2)*averages!$B11+averages!$B11+1)), "")</f>
        <v/>
      </c>
      <c r="J11" t="str">
        <f>IFERROR(_xlfn.STDEV.S(INDEX(benchmark!J:J, (ROW()-2)*averages!$B11+2):INDEX(benchmark!J:J, (ROW()-2)*averages!$B11+averages!$B11+1)), "")</f>
        <v/>
      </c>
      <c r="K11" t="str">
        <f>IFERROR(_xlfn.STDEV.S(INDEX(benchmark!K:K, (ROW()-2)*averages!$B11+2):INDEX(benchmark!K:K, (ROW()-2)*averages!$B11+averages!$B11+1)), "")</f>
        <v/>
      </c>
      <c r="L11" t="str">
        <f>IFERROR(_xlfn.STDEV.S(INDEX(benchmark!L:L, (ROW()-2)*averages!$B11+2):INDEX(benchmark!L:L, (ROW()-2)*averages!$B11+averages!$B11+1)), "")</f>
        <v/>
      </c>
      <c r="M11" t="str">
        <f>IFERROR(_xlfn.STDEV.S(INDEX(benchmark!M:M, (ROW()-2)*averages!$B11+2):INDEX(benchmark!M:M, (ROW()-2)*averages!$B11+averages!$B11+1)), "")</f>
        <v/>
      </c>
      <c r="N11" t="str">
        <f>IFERROR(_xlfn.STDEV.S(INDEX(benchmark!N:N, (ROW()-2)*averages!$B11+2):INDEX(benchmark!N:N, (ROW()-2)*averages!$B11+averages!$B11+1)), "")</f>
        <v/>
      </c>
      <c r="O11" t="str">
        <f>IFERROR(_xlfn.STDEV.S(INDEX(benchmark!O:O, (ROW()-2)*averages!$B11+2):INDEX(benchmark!O:O, (ROW()-2)*averages!$B11+averages!$B11+1)), "")</f>
        <v/>
      </c>
      <c r="P11" t="str">
        <f>IFERROR(_xlfn.STDEV.S(INDEX(benchmark!P:P, (ROW()-2)*averages!$B11+2):INDEX(benchmark!P:P, (ROW()-2)*averages!$B11+averages!$B11+1)), "")</f>
        <v/>
      </c>
      <c r="Q11" t="str">
        <f>IFERROR(_xlfn.STDEV.S(INDEX(benchmark!Q:Q, (ROW()-2)*averages!$B11+2):INDEX(benchmark!Q:Q, (ROW()-2)*averages!$B11+averages!$B11+1)), "")</f>
        <v/>
      </c>
      <c r="R11" t="str">
        <f>IFERROR(_xlfn.STDEV.S(INDEX(benchmark!R:R, (ROW()-2)*averages!$B11+2):INDEX(benchmark!R:R, (ROW()-2)*averages!$B11+averages!$B11+1)), "")</f>
        <v/>
      </c>
      <c r="S11" t="str">
        <f>IFERROR(_xlfn.STDEV.S(INDEX(benchmark!S:S, (ROW()-2)*averages!$B11+2):INDEX(benchmark!S:S, (ROW()-2)*averages!$B11+averages!$B11+1)), "")</f>
        <v/>
      </c>
      <c r="T11" t="str">
        <f>IFERROR(_xlfn.STDEV.S(INDEX(benchmark!T:T, (ROW()-2)*averages!$B11+2):INDEX(benchmark!T:T, (ROW()-2)*averages!$B11+averages!$B11+1)), "")</f>
        <v/>
      </c>
      <c r="U11" t="str">
        <f>IFERROR(_xlfn.STDEV.S(INDEX(benchmark!U:U, (ROW()-2)*averages!$B11+2):INDEX(benchmark!U:U, (ROW()-2)*averages!$B11+averages!$B11+1)), "")</f>
        <v/>
      </c>
      <c r="V11" t="str">
        <f>IFERROR(_xlfn.STDEV.S(INDEX(benchmark!V:V, (ROW()-2)*averages!$B11+2):INDEX(benchmark!V:V, (ROW()-2)*averages!$B11+averages!$B11+1)), "")</f>
        <v/>
      </c>
      <c r="W11">
        <f>IFERROR(_xlfn.STDEV.S(INDEX(benchmark!W:W, (ROW()-2)*averages!$B11+2):INDEX(benchmark!W:W, (ROW()-2)*averages!$B11+averages!$B11+1)), "")</f>
        <v>2.0613911160508279E-2</v>
      </c>
      <c r="X11">
        <f>IFERROR(_xlfn.STDEV.S(INDEX(benchmark!X:X, (ROW()-2)*averages!$B11+2):INDEX(benchmark!X:X, (ROW()-2)*averages!$B11+averages!$B11+1)), "")</f>
        <v>1.8340434230894799E-2</v>
      </c>
      <c r="Y11">
        <f>IFERROR(_xlfn.STDEV.S(INDEX(benchmark!Y:Y, (ROW()-2)*averages!$B11+2):INDEX(benchmark!Y:Y, (ROW()-2)*averages!$B11+averages!$B11+1)), "")</f>
        <v>1.1048543456039806E-2</v>
      </c>
      <c r="Z11">
        <f>IFERROR(_xlfn.STDEV.S(INDEX(benchmark!Z:Z, (ROW()-2)*averages!$B11+2):INDEX(benchmark!Z:Z, (ROW()-2)*averages!$B11+averages!$B11+1)), "")</f>
        <v>1.5537951968933624E-2</v>
      </c>
      <c r="AA11">
        <f>IFERROR(_xlfn.STDEV.S(INDEX(benchmark!AA:AA, (ROW()-2)*averages!$B11+2):INDEX(benchmark!AA:AA, (ROW()-2)*averages!$B11+averages!$B11+1)), "")</f>
        <v>5.0066622281382898E-3</v>
      </c>
      <c r="AB11">
        <f>IFERROR(_xlfn.STDEV.S(INDEX(benchmark!AB:AB, (ROW()-2)*averages!$B11+2):INDEX(benchmark!AB:AB, (ROW()-2)*averages!$B11+averages!$B11+1)), "")</f>
        <v>1.0925092168439079E-2</v>
      </c>
      <c r="AC11">
        <f>IFERROR(_xlfn.STDEV.S(INDEX(benchmark!AC:AC, (ROW()-2)*averages!$B11+2):INDEX(benchmark!AC:AC, (ROW()-2)*averages!$B11+averages!$B11+1)), "")</f>
        <v>1.3176156917368247E-2</v>
      </c>
      <c r="AD11">
        <f>IFERROR(_xlfn.STDEV.S(INDEX(benchmark!AD:AD, (ROW()-2)*averages!$B11+2):INDEX(benchmark!AD:AD, (ROW()-2)*averages!$B11+averages!$B11+1)), "")</f>
        <v>2.0833333333333332E-2</v>
      </c>
      <c r="AE11">
        <f>IFERROR(_xlfn.STDEV.S(INDEX(benchmark!AE:AE, (ROW()-2)*averages!$B11+2):INDEX(benchmark!AE:AE, (ROW()-2)*averages!$B11+averages!$B11+1)), "")</f>
        <v>0</v>
      </c>
      <c r="AF11">
        <f>IFERROR(_xlfn.STDEV.S(INDEX(benchmark!AF:AF, (ROW()-2)*averages!$B11+2):INDEX(benchmark!AF:AF, (ROW()-2)*averages!$B11+averages!$B11+1)), "")</f>
        <v>0</v>
      </c>
      <c r="AG11">
        <f>IFERROR(_xlfn.STDEV.S(INDEX(benchmark!AG:AG, (ROW()-2)*averages!$B11+2):INDEX(benchmark!AG:AG, (ROW()-2)*averages!$B11+averages!$B11+1)), "")</f>
        <v>0</v>
      </c>
      <c r="AH11">
        <f>IFERROR(_xlfn.STDEV.S(INDEX(benchmark!AH:AH, (ROW()-2)*averages!$B11+2):INDEX(benchmark!AH:AH, (ROW()-2)*averages!$B11+averages!$B11+1)), "")</f>
        <v>0</v>
      </c>
      <c r="AI11">
        <f>IFERROR(_xlfn.STDEV.S(INDEX(benchmark!AI:AI, (ROW()-2)*averages!$B11+2):INDEX(benchmark!AI:AI, (ROW()-2)*averages!$B11+averages!$B11+1)), "")</f>
        <v>1.7399563041874413E-5</v>
      </c>
      <c r="AJ11">
        <f>IFERROR(_xlfn.STDEV.S(INDEX(benchmark!AJ:AJ, (ROW()-2)*averages!$B11+2):INDEX(benchmark!AJ:AJ, (ROW()-2)*averages!$B11+averages!$B11+1)), "")</f>
        <v>1.744774765067022E-5</v>
      </c>
      <c r="AK11" cm="1">
        <f t="array" ref="AK11">IFERROR(_xlfn.STDEV.S(INDEX(benchmark!W:W, (ROW()-2)*$B11+2):INDEX(benchmark!W:W, (ROW()-2)*$B11 + $B11+1) + INDEX(benchmark!AA:AA, (ROW()-2)*$B11+2):INDEX(benchmark!AA:AA, (ROW()-2)*$B11 + $B11+1)), "")</f>
        <v>2.1054426824040798E-2</v>
      </c>
      <c r="AL11" cm="1">
        <f t="array" ref="AL11">IFERROR(_xlfn.STDEV.S(MOD(VALUE(INDEX(benchmark!AJ:AJ, (ROW()-2)*$B11+2):INDEX(benchmark!AJ:AJ, (ROW()-2)*$B11 + $B11+1)) - VALUE(INDEX(benchmark!AI:AI, (ROW()-2)*$B11+2):INDEX(benchmark!AI:AI, (ROW()-2)*$B11 + $B11+1)), 1) * 86400), "")</f>
        <v>1.7669811040961419E-2</v>
      </c>
      <c r="AM11" t="str">
        <f>IFERROR(_xlfn.STDEV.S(INDEX(benchmark!S:S, (ROW()-2)*$B11+2):INDEX(benchmark!S:S, (ROW()-2)*$B11 + $B11+1)), "")</f>
        <v/>
      </c>
    </row>
    <row r="12" spans="1:39" x14ac:dyDescent="0.25">
      <c r="A12" t="str" cm="1">
        <f t="array" ref="A12">INDEX(benchmark!A:A, (ROW()-2)*$B12+2)</f>
        <v>grasp-knitro</v>
      </c>
      <c r="B12">
        <f>COUNTIF(benchmark!A:A, benchmark!A12)</f>
        <v>10</v>
      </c>
      <c r="C12" t="str" cm="1">
        <f t="array" ref="C12">INDEX(benchmark!C:C, (ROW()-2)*$B12+2)</f>
        <v>Knitro</v>
      </c>
      <c r="D12" t="str" cm="1">
        <f t="array" ref="D12">INDEX(benchmark!D:D, (ROW()-2)*$B12+2)</f>
        <v>14.2.0</v>
      </c>
      <c r="E12" t="str" cm="1">
        <f t="array" ref="E12">INDEX(benchmark!E:E, (ROW()-2)*$B12+2)</f>
        <v>solved</v>
      </c>
      <c r="F12">
        <f>IFERROR(_xlfn.STDEV.S(INDEX(benchmark!F:F, (ROW()-2)*averages!$B12+2):INDEX(benchmark!F:F, (ROW()-2)*averages!$B12+averages!$B12+1)), "")</f>
        <v>0</v>
      </c>
      <c r="G12">
        <f>IFERROR(_xlfn.STDEV.S(INDEX(benchmark!G:G, (ROW()-2)*averages!$B12+2):INDEX(benchmark!G:G, (ROW()-2)*averages!$B12+averages!$B12+1)), "")</f>
        <v>0</v>
      </c>
      <c r="H12" t="str">
        <f>IFERROR(_xlfn.STDEV.S(INDEX(benchmark!H:H, (ROW()-2)*averages!$B12+2):INDEX(benchmark!H:H, (ROW()-2)*averages!$B12+averages!$B12+1)), "")</f>
        <v/>
      </c>
      <c r="I12" t="str">
        <f>IFERROR(_xlfn.STDEV.S(INDEX(benchmark!I:I, (ROW()-2)*averages!$B12+2):INDEX(benchmark!I:I, (ROW()-2)*averages!$B12+averages!$B12+1)), "")</f>
        <v/>
      </c>
      <c r="J12" t="str">
        <f>IFERROR(_xlfn.STDEV.S(INDEX(benchmark!J:J, (ROW()-2)*averages!$B12+2):INDEX(benchmark!J:J, (ROW()-2)*averages!$B12+averages!$B12+1)), "")</f>
        <v/>
      </c>
      <c r="K12" t="str">
        <f>IFERROR(_xlfn.STDEV.S(INDEX(benchmark!K:K, (ROW()-2)*averages!$B12+2):INDEX(benchmark!K:K, (ROW()-2)*averages!$B12+averages!$B12+1)), "")</f>
        <v/>
      </c>
      <c r="L12" t="str">
        <f>IFERROR(_xlfn.STDEV.S(INDEX(benchmark!L:L, (ROW()-2)*averages!$B12+2):INDEX(benchmark!L:L, (ROW()-2)*averages!$B12+averages!$B12+1)), "")</f>
        <v/>
      </c>
      <c r="M12" t="str">
        <f>IFERROR(_xlfn.STDEV.S(INDEX(benchmark!M:M, (ROW()-2)*averages!$B12+2):INDEX(benchmark!M:M, (ROW()-2)*averages!$B12+averages!$B12+1)), "")</f>
        <v/>
      </c>
      <c r="N12" t="str">
        <f>IFERROR(_xlfn.STDEV.S(INDEX(benchmark!N:N, (ROW()-2)*averages!$B12+2):INDEX(benchmark!N:N, (ROW()-2)*averages!$B12+averages!$B12+1)), "")</f>
        <v/>
      </c>
      <c r="O12" t="str">
        <f>IFERROR(_xlfn.STDEV.S(INDEX(benchmark!O:O, (ROW()-2)*averages!$B12+2):INDEX(benchmark!O:O, (ROW()-2)*averages!$B12+averages!$B12+1)), "")</f>
        <v/>
      </c>
      <c r="P12" t="str">
        <f>IFERROR(_xlfn.STDEV.S(INDEX(benchmark!P:P, (ROW()-2)*averages!$B12+2):INDEX(benchmark!P:P, (ROW()-2)*averages!$B12+averages!$B12+1)), "")</f>
        <v/>
      </c>
      <c r="Q12" t="str">
        <f>IFERROR(_xlfn.STDEV.S(INDEX(benchmark!Q:Q, (ROW()-2)*averages!$B12+2):INDEX(benchmark!Q:Q, (ROW()-2)*averages!$B12+averages!$B12+1)), "")</f>
        <v/>
      </c>
      <c r="R12" t="str">
        <f>IFERROR(_xlfn.STDEV.S(INDEX(benchmark!R:R, (ROW()-2)*averages!$B12+2):INDEX(benchmark!R:R, (ROW()-2)*averages!$B12+averages!$B12+1)), "")</f>
        <v/>
      </c>
      <c r="S12" t="str">
        <f>IFERROR(_xlfn.STDEV.S(INDEX(benchmark!S:S, (ROW()-2)*averages!$B12+2):INDEX(benchmark!S:S, (ROW()-2)*averages!$B12+averages!$B12+1)), "")</f>
        <v/>
      </c>
      <c r="T12" t="str">
        <f>IFERROR(_xlfn.STDEV.S(INDEX(benchmark!T:T, (ROW()-2)*averages!$B12+2):INDEX(benchmark!T:T, (ROW()-2)*averages!$B12+averages!$B12+1)), "")</f>
        <v/>
      </c>
      <c r="U12" t="str">
        <f>IFERROR(_xlfn.STDEV.S(INDEX(benchmark!U:U, (ROW()-2)*averages!$B12+2):INDEX(benchmark!U:U, (ROW()-2)*averages!$B12+averages!$B12+1)), "")</f>
        <v/>
      </c>
      <c r="V12" t="str">
        <f>IFERROR(_xlfn.STDEV.S(INDEX(benchmark!V:V, (ROW()-2)*averages!$B12+2):INDEX(benchmark!V:V, (ROW()-2)*averages!$B12+averages!$B12+1)), "")</f>
        <v/>
      </c>
      <c r="W12">
        <f>IFERROR(_xlfn.STDEV.S(INDEX(benchmark!W:W, (ROW()-2)*averages!$B12+2):INDEX(benchmark!W:W, (ROW()-2)*averages!$B12+averages!$B12+1)), "")</f>
        <v>2.0038851153585533E-2</v>
      </c>
      <c r="X12">
        <f>IFERROR(_xlfn.STDEV.S(INDEX(benchmark!X:X, (ROW()-2)*averages!$B12+2):INDEX(benchmark!X:X, (ROW()-2)*averages!$B12+averages!$B12+1)), "")</f>
        <v>1.9207384286026849E-2</v>
      </c>
      <c r="Y12">
        <f>IFERROR(_xlfn.STDEV.S(INDEX(benchmark!Y:Y, (ROW()-2)*averages!$B12+2):INDEX(benchmark!Y:Y, (ROW()-2)*averages!$B12+averages!$B12+1)), "")</f>
        <v>2.6811536825486981E-2</v>
      </c>
      <c r="Z12">
        <f>IFERROR(_xlfn.STDEV.S(INDEX(benchmark!Z:Z, (ROW()-2)*averages!$B12+2):INDEX(benchmark!Z:Z, (ROW()-2)*averages!$B12+averages!$B12+1)), "")</f>
        <v>1.9557274328665209E-2</v>
      </c>
      <c r="AA12">
        <f>IFERROR(_xlfn.STDEV.S(INDEX(benchmark!AA:AA, (ROW()-2)*averages!$B12+2):INDEX(benchmark!AA:AA, (ROW()-2)*averages!$B12+averages!$B12+1)), "")</f>
        <v>3.2606918148011393E-2</v>
      </c>
      <c r="AB12">
        <f>IFERROR(_xlfn.STDEV.S(INDEX(benchmark!AB:AB, (ROW()-2)*averages!$B12+2):INDEX(benchmark!AB:AB, (ROW()-2)*averages!$B12+averages!$B12+1)), "")</f>
        <v>6.6373051341974965E-2</v>
      </c>
      <c r="AC12">
        <f>IFERROR(_xlfn.STDEV.S(INDEX(benchmark!AC:AC, (ROW()-2)*averages!$B12+2):INDEX(benchmark!AC:AC, (ROW()-2)*averages!$B12+averages!$B12+1)), "")</f>
        <v>0.12352647110032731</v>
      </c>
      <c r="AD12">
        <f>IFERROR(_xlfn.STDEV.S(INDEX(benchmark!AD:AD, (ROW()-2)*averages!$B12+2):INDEX(benchmark!AD:AD, (ROW()-2)*averages!$B12+averages!$B12+1)), "")</f>
        <v>0.18684056492472104</v>
      </c>
      <c r="AE12">
        <f>IFERROR(_xlfn.STDEV.S(INDEX(benchmark!AE:AE, (ROW()-2)*averages!$B12+2):INDEX(benchmark!AE:AE, (ROW()-2)*averages!$B12+averages!$B12+1)), "")</f>
        <v>0</v>
      </c>
      <c r="AF12">
        <f>IFERROR(_xlfn.STDEV.S(INDEX(benchmark!AF:AF, (ROW()-2)*averages!$B12+2):INDEX(benchmark!AF:AF, (ROW()-2)*averages!$B12+averages!$B12+1)), "")</f>
        <v>0</v>
      </c>
      <c r="AG12">
        <f>IFERROR(_xlfn.STDEV.S(INDEX(benchmark!AG:AG, (ROW()-2)*averages!$B12+2):INDEX(benchmark!AG:AG, (ROW()-2)*averages!$B12+averages!$B12+1)), "")</f>
        <v>0</v>
      </c>
      <c r="AH12">
        <f>IFERROR(_xlfn.STDEV.S(INDEX(benchmark!AH:AH, (ROW()-2)*averages!$B12+2):INDEX(benchmark!AH:AH, (ROW()-2)*averages!$B12+averages!$B12+1)), "")</f>
        <v>0</v>
      </c>
      <c r="AI12">
        <f>IFERROR(_xlfn.STDEV.S(INDEX(benchmark!AI:AI, (ROW()-2)*averages!$B12+2):INDEX(benchmark!AI:AI, (ROW()-2)*averages!$B12+averages!$B12+1)), "")</f>
        <v>1.9087422663427663E-5</v>
      </c>
      <c r="AJ12">
        <f>IFERROR(_xlfn.STDEV.S(INDEX(benchmark!AJ:AJ, (ROW()-2)*averages!$B12+2):INDEX(benchmark!AJ:AJ, (ROW()-2)*averages!$B12+averages!$B12+1)), "")</f>
        <v>1.9188839037078615E-5</v>
      </c>
      <c r="AK12" cm="1">
        <f t="array" ref="AK12">IFERROR(_xlfn.STDEV.S(INDEX(benchmark!W:W, (ROW()-2)*$B12+2):INDEX(benchmark!W:W, (ROW()-2)*$B12 + $B12+1) + INDEX(benchmark!AA:AA, (ROW()-2)*$B12+2):INDEX(benchmark!AA:AA, (ROW()-2)*$B12 + $B12+1)), "")</f>
        <v>3.696079003484655E-2</v>
      </c>
      <c r="AL12" cm="1">
        <f t="array" ref="AL12">IFERROR(_xlfn.STDEV.S(MOD(VALUE(INDEX(benchmark!AJ:AJ, (ROW()-2)*$B12+2):INDEX(benchmark!AJ:AJ, (ROW()-2)*$B12 + $B12+1)) - VALUE(INDEX(benchmark!AI:AI, (ROW()-2)*$B12+2):INDEX(benchmark!AI:AI, (ROW()-2)*$B12 + $B12+1)), 1) * 86400), "")</f>
        <v>4.1096093353128145E-2</v>
      </c>
      <c r="AM12" t="str">
        <f>IFERROR(_xlfn.STDEV.S(INDEX(benchmark!S:S, (ROW()-2)*$B12+2):INDEX(benchmark!S:S, (ROW()-2)*$B12 + $B12+1)), "")</f>
        <v/>
      </c>
    </row>
    <row r="13" spans="1:39" x14ac:dyDescent="0.25">
      <c r="A13" t="str" cm="1">
        <f t="array" ref="A13">INDEX(benchmark!A:A, (ROW()-2)*$B13+2)</f>
        <v>grasp-raposa</v>
      </c>
      <c r="B13">
        <f>COUNTIF(benchmark!A:A, benchmark!A13)</f>
        <v>10</v>
      </c>
      <c r="C13" t="str" cm="1">
        <f t="array" ref="C13">INDEX(benchmark!C:C, (ROW()-2)*$B13+2)</f>
        <v>RAPOSa</v>
      </c>
      <c r="D13" t="str" cm="1">
        <f t="array" ref="D13">INDEX(benchmark!D:D, (ROW()-2)*$B13+2)</f>
        <v>v4.4.1</v>
      </c>
      <c r="E13" t="str" cm="1">
        <f t="array" ref="E13">INDEX(benchmark!E:E, (ROW()-2)*$B13+2)</f>
        <v>solved?</v>
      </c>
      <c r="F13">
        <f>IFERROR(_xlfn.STDEV.S(INDEX(benchmark!F:F, (ROW()-2)*averages!$B13+2):INDEX(benchmark!F:F, (ROW()-2)*averages!$B13+averages!$B13+1)), "")</f>
        <v>0</v>
      </c>
      <c r="G13">
        <f>IFERROR(_xlfn.STDEV.S(INDEX(benchmark!G:G, (ROW()-2)*averages!$B13+2):INDEX(benchmark!G:G, (ROW()-2)*averages!$B13+averages!$B13+1)), "")</f>
        <v>0</v>
      </c>
      <c r="H13" t="str">
        <f>IFERROR(_xlfn.STDEV.S(INDEX(benchmark!H:H, (ROW()-2)*averages!$B13+2):INDEX(benchmark!H:H, (ROW()-2)*averages!$B13+averages!$B13+1)), "")</f>
        <v/>
      </c>
      <c r="I13" t="str">
        <f>IFERROR(_xlfn.STDEV.S(INDEX(benchmark!I:I, (ROW()-2)*averages!$B13+2):INDEX(benchmark!I:I, (ROW()-2)*averages!$B13+averages!$B13+1)), "")</f>
        <v/>
      </c>
      <c r="J13" t="str">
        <f>IFERROR(_xlfn.STDEV.S(INDEX(benchmark!J:J, (ROW()-2)*averages!$B13+2):INDEX(benchmark!J:J, (ROW()-2)*averages!$B13+averages!$B13+1)), "")</f>
        <v/>
      </c>
      <c r="K13" t="str">
        <f>IFERROR(_xlfn.STDEV.S(INDEX(benchmark!K:K, (ROW()-2)*averages!$B13+2):INDEX(benchmark!K:K, (ROW()-2)*averages!$B13+averages!$B13+1)), "")</f>
        <v/>
      </c>
      <c r="L13" t="str">
        <f>IFERROR(_xlfn.STDEV.S(INDEX(benchmark!L:L, (ROW()-2)*averages!$B13+2):INDEX(benchmark!L:L, (ROW()-2)*averages!$B13+averages!$B13+1)), "")</f>
        <v/>
      </c>
      <c r="M13" t="str">
        <f>IFERROR(_xlfn.STDEV.S(INDEX(benchmark!M:M, (ROW()-2)*averages!$B13+2):INDEX(benchmark!M:M, (ROW()-2)*averages!$B13+averages!$B13+1)), "")</f>
        <v/>
      </c>
      <c r="N13" t="str">
        <f>IFERROR(_xlfn.STDEV.S(INDEX(benchmark!N:N, (ROW()-2)*averages!$B13+2):INDEX(benchmark!N:N, (ROW()-2)*averages!$B13+averages!$B13+1)), "")</f>
        <v/>
      </c>
      <c r="O13" t="str">
        <f>IFERROR(_xlfn.STDEV.S(INDEX(benchmark!O:O, (ROW()-2)*averages!$B13+2):INDEX(benchmark!O:O, (ROW()-2)*averages!$B13+averages!$B13+1)), "")</f>
        <v/>
      </c>
      <c r="P13" t="str">
        <f>IFERROR(_xlfn.STDEV.S(INDEX(benchmark!P:P, (ROW()-2)*averages!$B13+2):INDEX(benchmark!P:P, (ROW()-2)*averages!$B13+averages!$B13+1)), "")</f>
        <v/>
      </c>
      <c r="Q13" t="str">
        <f>IFERROR(_xlfn.STDEV.S(INDEX(benchmark!Q:Q, (ROW()-2)*averages!$B13+2):INDEX(benchmark!Q:Q, (ROW()-2)*averages!$B13+averages!$B13+1)), "")</f>
        <v/>
      </c>
      <c r="R13" t="str">
        <f>IFERROR(_xlfn.STDEV.S(INDEX(benchmark!R:R, (ROW()-2)*averages!$B13+2):INDEX(benchmark!R:R, (ROW()-2)*averages!$B13+averages!$B13+1)), "")</f>
        <v/>
      </c>
      <c r="S13" t="str">
        <f>IFERROR(_xlfn.STDEV.S(INDEX(benchmark!S:S, (ROW()-2)*averages!$B13+2):INDEX(benchmark!S:S, (ROW()-2)*averages!$B13+averages!$B13+1)), "")</f>
        <v/>
      </c>
      <c r="T13" t="str">
        <f>IFERROR(_xlfn.STDEV.S(INDEX(benchmark!T:T, (ROW()-2)*averages!$B13+2):INDEX(benchmark!T:T, (ROW()-2)*averages!$B13+averages!$B13+1)), "")</f>
        <v/>
      </c>
      <c r="U13" t="str">
        <f>IFERROR(_xlfn.STDEV.S(INDEX(benchmark!U:U, (ROW()-2)*averages!$B13+2):INDEX(benchmark!U:U, (ROW()-2)*averages!$B13+averages!$B13+1)), "")</f>
        <v/>
      </c>
      <c r="V13" t="str">
        <f>IFERROR(_xlfn.STDEV.S(INDEX(benchmark!V:V, (ROW()-2)*averages!$B13+2):INDEX(benchmark!V:V, (ROW()-2)*averages!$B13+averages!$B13+1)), "")</f>
        <v/>
      </c>
      <c r="W13">
        <f>IFERROR(_xlfn.STDEV.S(INDEX(benchmark!W:W, (ROW()-2)*averages!$B13+2):INDEX(benchmark!W:W, (ROW()-2)*averages!$B13+averages!$B13+1)), "")</f>
        <v>2.4515074727377073E-2</v>
      </c>
      <c r="X13">
        <f>IFERROR(_xlfn.STDEV.S(INDEX(benchmark!X:X, (ROW()-2)*averages!$B13+2):INDEX(benchmark!X:X, (ROW()-2)*averages!$B13+averages!$B13+1)), "")</f>
        <v>1.5537951968933643E-2</v>
      </c>
      <c r="Y13">
        <f>IFERROR(_xlfn.STDEV.S(INDEX(benchmark!Y:Y, (ROW()-2)*averages!$B13+2):INDEX(benchmark!Y:Y, (ROW()-2)*averages!$B13+averages!$B13+1)), "")</f>
        <v>1.4358384116760641E-2</v>
      </c>
      <c r="Z13">
        <f>IFERROR(_xlfn.STDEV.S(INDEX(benchmark!Z:Z, (ROW()-2)*averages!$B13+2):INDEX(benchmark!Z:Z, (ROW()-2)*averages!$B13+averages!$B13+1)), "")</f>
        <v>1.3681172433920495E-2</v>
      </c>
      <c r="AA13">
        <f>IFERROR(_xlfn.STDEV.S(INDEX(benchmark!AA:AA, (ROW()-2)*averages!$B13+2):INDEX(benchmark!AA:AA, (ROW()-2)*averages!$B13+averages!$B13+1)), "")</f>
        <v>0.1222056554428731</v>
      </c>
      <c r="AB13">
        <f>IFERROR(_xlfn.STDEV.S(INDEX(benchmark!AB:AB, (ROW()-2)*averages!$B13+2):INDEX(benchmark!AB:AB, (ROW()-2)*averages!$B13+averages!$B13+1)), "")</f>
        <v>5.4650284956561122E-2</v>
      </c>
      <c r="AC13">
        <f>IFERROR(_xlfn.STDEV.S(INDEX(benchmark!AC:AC, (ROW()-2)*averages!$B13+2):INDEX(benchmark!AC:AC, (ROW()-2)*averages!$B13+averages!$B13+1)), "")</f>
        <v>7.0821843430854264E-2</v>
      </c>
      <c r="AD13">
        <f>IFERROR(_xlfn.STDEV.S(INDEX(benchmark!AD:AD, (ROW()-2)*averages!$B13+2):INDEX(benchmark!AD:AD, (ROW()-2)*averages!$B13+averages!$B13+1)), "")</f>
        <v>3.7413093741808276E-2</v>
      </c>
      <c r="AE13">
        <f>IFERROR(_xlfn.STDEV.S(INDEX(benchmark!AE:AE, (ROW()-2)*averages!$B13+2):INDEX(benchmark!AE:AE, (ROW()-2)*averages!$B13+averages!$B13+1)), "")</f>
        <v>0</v>
      </c>
      <c r="AF13">
        <f>IFERROR(_xlfn.STDEV.S(INDEX(benchmark!AF:AF, (ROW()-2)*averages!$B13+2):INDEX(benchmark!AF:AF, (ROW()-2)*averages!$B13+averages!$B13+1)), "")</f>
        <v>0</v>
      </c>
      <c r="AG13">
        <f>IFERROR(_xlfn.STDEV.S(INDEX(benchmark!AG:AG, (ROW()-2)*averages!$B13+2):INDEX(benchmark!AG:AG, (ROW()-2)*averages!$B13+averages!$B13+1)), "")</f>
        <v>0</v>
      </c>
      <c r="AH13">
        <f>IFERROR(_xlfn.STDEV.S(INDEX(benchmark!AH:AH, (ROW()-2)*averages!$B13+2):INDEX(benchmark!AH:AH, (ROW()-2)*averages!$B13+averages!$B13+1)), "")</f>
        <v>0</v>
      </c>
      <c r="AI13">
        <f>IFERROR(_xlfn.STDEV.S(INDEX(benchmark!AI:AI, (ROW()-2)*averages!$B13+2):INDEX(benchmark!AI:AI, (ROW()-2)*averages!$B13+averages!$B13+1)), "")</f>
        <v>9.3702323013746981E-5</v>
      </c>
      <c r="AJ13">
        <f>IFERROR(_xlfn.STDEV.S(INDEX(benchmark!AJ:AJ, (ROW()-2)*averages!$B13+2):INDEX(benchmark!AJ:AJ, (ROW()-2)*averages!$B13+averages!$B13+1)), "")</f>
        <v>9.3378927805693303E-5</v>
      </c>
      <c r="AK13" cm="1">
        <f t="array" ref="AK13">IFERROR(_xlfn.STDEV.S(INDEX(benchmark!W:W, (ROW()-2)*$B13+2):INDEX(benchmark!W:W, (ROW()-2)*$B13 + $B13+1) + INDEX(benchmark!AA:AA, (ROW()-2)*$B13+2):INDEX(benchmark!AA:AA, (ROW()-2)*$B13 + $B13+1)), "")</f>
        <v>0.11871763886540945</v>
      </c>
      <c r="AL13" cm="1">
        <f t="array" ref="AL13">IFERROR(_xlfn.STDEV.S(MOD(VALUE(INDEX(benchmark!AJ:AJ, (ROW()-2)*$B13+2):INDEX(benchmark!AJ:AJ, (ROW()-2)*$B13 + $B13+1)) - VALUE(INDEX(benchmark!AI:AI, (ROW()-2)*$B13+2):INDEX(benchmark!AI:AI, (ROW()-2)*$B13 + $B13+1)), 1) * 86400), "")</f>
        <v>0.12886254520050083</v>
      </c>
      <c r="AM13" t="str">
        <f>IFERROR(_xlfn.STDEV.S(INDEX(benchmark!S:S, (ROW()-2)*$B13+2):INDEX(benchmark!S:S, (ROW()-2)*$B13 + $B13+1)), "")</f>
        <v/>
      </c>
    </row>
    <row r="14" spans="1:39" x14ac:dyDescent="0.25">
      <c r="A14" t="str" cm="1">
        <f t="array" ref="A14">INDEX(benchmark!A:A, (ROW()-2)*$B14+2)</f>
        <v>grasp-scip</v>
      </c>
      <c r="B14">
        <f>COUNTIF(benchmark!A:A, benchmark!A14)</f>
        <v>10</v>
      </c>
      <c r="C14" t="str" cm="1">
        <f t="array" ref="C14">INDEX(benchmark!C:C, (ROW()-2)*$B14+2)</f>
        <v>SCIP</v>
      </c>
      <c r="D14" t="str" cm="1">
        <f t="array" ref="D14">INDEX(benchmark!D:D, (ROW()-2)*$B14+2)</f>
        <v>9.2.2</v>
      </c>
      <c r="E14" t="str" cm="1">
        <f t="array" ref="E14">INDEX(benchmark!E:E, (ROW()-2)*$B14+2)</f>
        <v>solved</v>
      </c>
      <c r="F14">
        <f>IFERROR(_xlfn.STDEV.S(INDEX(benchmark!F:F, (ROW()-2)*averages!$B14+2):INDEX(benchmark!F:F, (ROW()-2)*averages!$B14+averages!$B14+1)), "")</f>
        <v>0</v>
      </c>
      <c r="G14">
        <f>IFERROR(_xlfn.STDEV.S(INDEX(benchmark!G:G, (ROW()-2)*averages!$B14+2):INDEX(benchmark!G:G, (ROW()-2)*averages!$B14+averages!$B14+1)), "")</f>
        <v>0</v>
      </c>
      <c r="H14" t="str">
        <f>IFERROR(_xlfn.STDEV.S(INDEX(benchmark!H:H, (ROW()-2)*averages!$B14+2):INDEX(benchmark!H:H, (ROW()-2)*averages!$B14+averages!$B14+1)), "")</f>
        <v/>
      </c>
      <c r="I14" t="str">
        <f>IFERROR(_xlfn.STDEV.S(INDEX(benchmark!I:I, (ROW()-2)*averages!$B14+2):INDEX(benchmark!I:I, (ROW()-2)*averages!$B14+averages!$B14+1)), "")</f>
        <v/>
      </c>
      <c r="J14" t="str">
        <f>IFERROR(_xlfn.STDEV.S(INDEX(benchmark!J:J, (ROW()-2)*averages!$B14+2):INDEX(benchmark!J:J, (ROW()-2)*averages!$B14+averages!$B14+1)), "")</f>
        <v/>
      </c>
      <c r="K14" t="str">
        <f>IFERROR(_xlfn.STDEV.S(INDEX(benchmark!K:K, (ROW()-2)*averages!$B14+2):INDEX(benchmark!K:K, (ROW()-2)*averages!$B14+averages!$B14+1)), "")</f>
        <v/>
      </c>
      <c r="L14" t="str">
        <f>IFERROR(_xlfn.STDEV.S(INDEX(benchmark!L:L, (ROW()-2)*averages!$B14+2):INDEX(benchmark!L:L, (ROW()-2)*averages!$B14+averages!$B14+1)), "")</f>
        <v/>
      </c>
      <c r="M14" t="str">
        <f>IFERROR(_xlfn.STDEV.S(INDEX(benchmark!M:M, (ROW()-2)*averages!$B14+2):INDEX(benchmark!M:M, (ROW()-2)*averages!$B14+averages!$B14+1)), "")</f>
        <v/>
      </c>
      <c r="N14" t="str">
        <f>IFERROR(_xlfn.STDEV.S(INDEX(benchmark!N:N, (ROW()-2)*averages!$B14+2):INDEX(benchmark!N:N, (ROW()-2)*averages!$B14+averages!$B14+1)), "")</f>
        <v/>
      </c>
      <c r="O14" t="str">
        <f>IFERROR(_xlfn.STDEV.S(INDEX(benchmark!O:O, (ROW()-2)*averages!$B14+2):INDEX(benchmark!O:O, (ROW()-2)*averages!$B14+averages!$B14+1)), "")</f>
        <v/>
      </c>
      <c r="P14" t="str">
        <f>IFERROR(_xlfn.STDEV.S(INDEX(benchmark!P:P, (ROW()-2)*averages!$B14+2):INDEX(benchmark!P:P, (ROW()-2)*averages!$B14+averages!$B14+1)), "")</f>
        <v/>
      </c>
      <c r="Q14" t="str">
        <f>IFERROR(_xlfn.STDEV.S(INDEX(benchmark!Q:Q, (ROW()-2)*averages!$B14+2):INDEX(benchmark!Q:Q, (ROW()-2)*averages!$B14+averages!$B14+1)), "")</f>
        <v/>
      </c>
      <c r="R14" t="str">
        <f>IFERROR(_xlfn.STDEV.S(INDEX(benchmark!R:R, (ROW()-2)*averages!$B14+2):INDEX(benchmark!R:R, (ROW()-2)*averages!$B14+averages!$B14+1)), "")</f>
        <v/>
      </c>
      <c r="S14" t="str">
        <f>IFERROR(_xlfn.STDEV.S(INDEX(benchmark!S:S, (ROW()-2)*averages!$B14+2):INDEX(benchmark!S:S, (ROW()-2)*averages!$B14+averages!$B14+1)), "")</f>
        <v/>
      </c>
      <c r="T14" t="str">
        <f>IFERROR(_xlfn.STDEV.S(INDEX(benchmark!T:T, (ROW()-2)*averages!$B14+2):INDEX(benchmark!T:T, (ROW()-2)*averages!$B14+averages!$B14+1)), "")</f>
        <v/>
      </c>
      <c r="U14" t="str">
        <f>IFERROR(_xlfn.STDEV.S(INDEX(benchmark!U:U, (ROW()-2)*averages!$B14+2):INDEX(benchmark!U:U, (ROW()-2)*averages!$B14+averages!$B14+1)), "")</f>
        <v/>
      </c>
      <c r="V14" t="str">
        <f>IFERROR(_xlfn.STDEV.S(INDEX(benchmark!V:V, (ROW()-2)*averages!$B14+2):INDEX(benchmark!V:V, (ROW()-2)*averages!$B14+averages!$B14+1)), "")</f>
        <v/>
      </c>
      <c r="W14">
        <f>IFERROR(_xlfn.STDEV.S(INDEX(benchmark!W:W, (ROW()-2)*averages!$B14+2):INDEX(benchmark!W:W, (ROW()-2)*averages!$B14+averages!$B14+1)), "")</f>
        <v>0.15583541888087271</v>
      </c>
      <c r="X14">
        <f>IFERROR(_xlfn.STDEV.S(INDEX(benchmark!X:X, (ROW()-2)*averages!$B14+2):INDEX(benchmark!X:X, (ROW()-2)*averages!$B14+averages!$B14+1)), "")</f>
        <v>1.4358384116760648E-2</v>
      </c>
      <c r="Y14">
        <f>IFERROR(_xlfn.STDEV.S(INDEX(benchmark!Y:Y, (ROW()-2)*averages!$B14+2):INDEX(benchmark!Y:Y, (ROW()-2)*averages!$B14+averages!$B14+1)), "")</f>
        <v>1.5537951968933648E-2</v>
      </c>
      <c r="Z14">
        <f>IFERROR(_xlfn.STDEV.S(INDEX(benchmark!Z:Z, (ROW()-2)*averages!$B14+2):INDEX(benchmark!Z:Z, (ROW()-2)*averages!$B14+averages!$B14+1)), "")</f>
        <v>1.48231765320393E-2</v>
      </c>
      <c r="AA14">
        <f>IFERROR(_xlfn.STDEV.S(INDEX(benchmark!AA:AA, (ROW()-2)*averages!$B14+2):INDEX(benchmark!AA:AA, (ROW()-2)*averages!$B14+averages!$B14+1)), "")</f>
        <v>0.71640320738782204</v>
      </c>
      <c r="AB14">
        <f>IFERROR(_xlfn.STDEV.S(INDEX(benchmark!AB:AB, (ROW()-2)*averages!$B14+2):INDEX(benchmark!AB:AB, (ROW()-2)*averages!$B14+averages!$B14+1)), "")</f>
        <v>0.33785989042139281</v>
      </c>
      <c r="AC14">
        <f>IFERROR(_xlfn.STDEV.S(INDEX(benchmark!AC:AC, (ROW()-2)*averages!$B14+2):INDEX(benchmark!AC:AC, (ROW()-2)*averages!$B14+averages!$B14+1)), "")</f>
        <v>0.70119139993319779</v>
      </c>
      <c r="AD14">
        <f>IFERROR(_xlfn.STDEV.S(INDEX(benchmark!AD:AD, (ROW()-2)*averages!$B14+2):INDEX(benchmark!AD:AD, (ROW()-2)*averages!$B14+averages!$B14+1)), "")</f>
        <v>0.66354452838210742</v>
      </c>
      <c r="AE14">
        <f>IFERROR(_xlfn.STDEV.S(INDEX(benchmark!AE:AE, (ROW()-2)*averages!$B14+2):INDEX(benchmark!AE:AE, (ROW()-2)*averages!$B14+averages!$B14+1)), "")</f>
        <v>0</v>
      </c>
      <c r="AF14">
        <f>IFERROR(_xlfn.STDEV.S(INDEX(benchmark!AF:AF, (ROW()-2)*averages!$B14+2):INDEX(benchmark!AF:AF, (ROW()-2)*averages!$B14+averages!$B14+1)), "")</f>
        <v>0</v>
      </c>
      <c r="AG14">
        <f>IFERROR(_xlfn.STDEV.S(INDEX(benchmark!AG:AG, (ROW()-2)*averages!$B14+2):INDEX(benchmark!AG:AG, (ROW()-2)*averages!$B14+averages!$B14+1)), "")</f>
        <v>0</v>
      </c>
      <c r="AH14">
        <f>IFERROR(_xlfn.STDEV.S(INDEX(benchmark!AH:AH, (ROW()-2)*averages!$B14+2):INDEX(benchmark!AH:AH, (ROW()-2)*averages!$B14+averages!$B14+1)), "")</f>
        <v>0</v>
      </c>
      <c r="AI14">
        <f>IFERROR(_xlfn.STDEV.S(INDEX(benchmark!AI:AI, (ROW()-2)*averages!$B14+2):INDEX(benchmark!AI:AI, (ROW()-2)*averages!$B14+averages!$B14+1)), "")</f>
        <v>1.3929876123614808E-3</v>
      </c>
      <c r="AJ14">
        <f>IFERROR(_xlfn.STDEV.S(INDEX(benchmark!AJ:AJ, (ROW()-2)*averages!$B14+2):INDEX(benchmark!AJ:AJ, (ROW()-2)*averages!$B14+averages!$B14+1)), "")</f>
        <v>1.3917176231147048E-3</v>
      </c>
      <c r="AK14" cm="1">
        <f t="array" ref="AK14">IFERROR(_xlfn.STDEV.S(INDEX(benchmark!W:W, (ROW()-2)*$B14+2):INDEX(benchmark!W:W, (ROW()-2)*$B14 + $B14+1) + INDEX(benchmark!AA:AA, (ROW()-2)*$B14+2):INDEX(benchmark!AA:AA, (ROW()-2)*$B14 + $B14+1)), "")</f>
        <v>0.77528819731045118</v>
      </c>
      <c r="AL14" cm="1">
        <f t="array" ref="AL14">IFERROR(_xlfn.STDEV.S(MOD(VALUE(INDEX(benchmark!AJ:AJ, (ROW()-2)*$B14+2):INDEX(benchmark!AJ:AJ, (ROW()-2)*$B14 + $B14+1)) - VALUE(INDEX(benchmark!AI:AI, (ROW()-2)*$B14+2):INDEX(benchmark!AI:AI, (ROW()-2)*$B14 + $B14+1)), 1) * 86400), "")</f>
        <v>0.79631442701151567</v>
      </c>
      <c r="AM14" t="str">
        <f>IFERROR(_xlfn.STDEV.S(INDEX(benchmark!S:S, (ROW()-2)*$B14+2):INDEX(benchmark!S:S, (ROW()-2)*$B14 + $B14+1)), "")</f>
        <v/>
      </c>
    </row>
    <row r="15" spans="1:39" x14ac:dyDescent="0.25">
      <c r="A15" t="str" cm="1">
        <f t="array" ref="A15">INDEX(benchmark!A:A, (ROW()-2)*$B15+2)</f>
        <v>kinematic-car-conopt</v>
      </c>
      <c r="B15">
        <f>COUNTIF(benchmark!A:A, benchmark!A15)</f>
        <v>10</v>
      </c>
      <c r="C15" t="str" cm="1">
        <f t="array" ref="C15">INDEX(benchmark!C:C, (ROW()-2)*$B15+2)</f>
        <v/>
      </c>
      <c r="D15" t="str" cm="1">
        <f t="array" ref="D15">INDEX(benchmark!D:D, (ROW()-2)*$B15+2)</f>
        <v/>
      </c>
      <c r="E15" t="str" cm="1">
        <f t="array" ref="E15">INDEX(benchmark!E:E, (ROW()-2)*$B15+2)</f>
        <v>solved?</v>
      </c>
      <c r="F15">
        <f>IFERROR(_xlfn.STDEV.S(INDEX(benchmark!F:F, (ROW()-2)*averages!$B15+2):INDEX(benchmark!F:F, (ROW()-2)*averages!$B15+averages!$B15+1)), "")</f>
        <v>0</v>
      </c>
      <c r="G15">
        <f>IFERROR(_xlfn.STDEV.S(INDEX(benchmark!G:G, (ROW()-2)*averages!$B15+2):INDEX(benchmark!G:G, (ROW()-2)*averages!$B15+averages!$B15+1)), "")</f>
        <v>2.3405556457178008E-16</v>
      </c>
      <c r="H15" t="str">
        <f>IFERROR(_xlfn.STDEV.S(INDEX(benchmark!H:H, (ROW()-2)*averages!$B15+2):INDEX(benchmark!H:H, (ROW()-2)*averages!$B15+averages!$B15+1)), "")</f>
        <v/>
      </c>
      <c r="I15" t="str">
        <f>IFERROR(_xlfn.STDEV.S(INDEX(benchmark!I:I, (ROW()-2)*averages!$B15+2):INDEX(benchmark!I:I, (ROW()-2)*averages!$B15+averages!$B15+1)), "")</f>
        <v/>
      </c>
      <c r="J15" t="str">
        <f>IFERROR(_xlfn.STDEV.S(INDEX(benchmark!J:J, (ROW()-2)*averages!$B15+2):INDEX(benchmark!J:J, (ROW()-2)*averages!$B15+averages!$B15+1)), "")</f>
        <v/>
      </c>
      <c r="K15" t="str">
        <f>IFERROR(_xlfn.STDEV.S(INDEX(benchmark!K:K, (ROW()-2)*averages!$B15+2):INDEX(benchmark!K:K, (ROW()-2)*averages!$B15+averages!$B15+1)), "")</f>
        <v/>
      </c>
      <c r="L15" t="str">
        <f>IFERROR(_xlfn.STDEV.S(INDEX(benchmark!L:L, (ROW()-2)*averages!$B15+2):INDEX(benchmark!L:L, (ROW()-2)*averages!$B15+averages!$B15+1)), "")</f>
        <v/>
      </c>
      <c r="M15" t="str">
        <f>IFERROR(_xlfn.STDEV.S(INDEX(benchmark!M:M, (ROW()-2)*averages!$B15+2):INDEX(benchmark!M:M, (ROW()-2)*averages!$B15+averages!$B15+1)), "")</f>
        <v/>
      </c>
      <c r="N15" t="str">
        <f>IFERROR(_xlfn.STDEV.S(INDEX(benchmark!N:N, (ROW()-2)*averages!$B15+2):INDEX(benchmark!N:N, (ROW()-2)*averages!$B15+averages!$B15+1)), "")</f>
        <v/>
      </c>
      <c r="O15" t="str">
        <f>IFERROR(_xlfn.STDEV.S(INDEX(benchmark!O:O, (ROW()-2)*averages!$B15+2):INDEX(benchmark!O:O, (ROW()-2)*averages!$B15+averages!$B15+1)), "")</f>
        <v/>
      </c>
      <c r="P15" t="str">
        <f>IFERROR(_xlfn.STDEV.S(INDEX(benchmark!P:P, (ROW()-2)*averages!$B15+2):INDEX(benchmark!P:P, (ROW()-2)*averages!$B15+averages!$B15+1)), "")</f>
        <v/>
      </c>
      <c r="Q15" t="str">
        <f>IFERROR(_xlfn.STDEV.S(INDEX(benchmark!Q:Q, (ROW()-2)*averages!$B15+2):INDEX(benchmark!Q:Q, (ROW()-2)*averages!$B15+averages!$B15+1)), "")</f>
        <v/>
      </c>
      <c r="R15" t="str">
        <f>IFERROR(_xlfn.STDEV.S(INDEX(benchmark!R:R, (ROW()-2)*averages!$B15+2):INDEX(benchmark!R:R, (ROW()-2)*averages!$B15+averages!$B15+1)), "")</f>
        <v/>
      </c>
      <c r="S15" t="str">
        <f>IFERROR(_xlfn.STDEV.S(INDEX(benchmark!S:S, (ROW()-2)*averages!$B15+2):INDEX(benchmark!S:S, (ROW()-2)*averages!$B15+averages!$B15+1)), "")</f>
        <v/>
      </c>
      <c r="T15" t="str">
        <f>IFERROR(_xlfn.STDEV.S(INDEX(benchmark!T:T, (ROW()-2)*averages!$B15+2):INDEX(benchmark!T:T, (ROW()-2)*averages!$B15+averages!$B15+1)), "")</f>
        <v/>
      </c>
      <c r="U15" t="str">
        <f>IFERROR(_xlfn.STDEV.S(INDEX(benchmark!U:U, (ROW()-2)*averages!$B15+2):INDEX(benchmark!U:U, (ROW()-2)*averages!$B15+averages!$B15+1)), "")</f>
        <v/>
      </c>
      <c r="V15" t="str">
        <f>IFERROR(_xlfn.STDEV.S(INDEX(benchmark!V:V, (ROW()-2)*averages!$B15+2):INDEX(benchmark!V:V, (ROW()-2)*averages!$B15+averages!$B15+1)), "")</f>
        <v/>
      </c>
      <c r="W15">
        <f>IFERROR(_xlfn.STDEV.S(INDEX(benchmark!W:W, (ROW()-2)*averages!$B15+2):INDEX(benchmark!W:W, (ROW()-2)*averages!$B15+averages!$B15+1)), "")</f>
        <v>2.4787093415727147E-2</v>
      </c>
      <c r="X15">
        <f>IFERROR(_xlfn.STDEV.S(INDEX(benchmark!X:X, (ROW()-2)*averages!$B15+2):INDEX(benchmark!X:X, (ROW()-2)*averages!$B15+averages!$B15+1)), "")</f>
        <v>1.9207384286026849E-2</v>
      </c>
      <c r="Y15">
        <f>IFERROR(_xlfn.STDEV.S(INDEX(benchmark!Y:Y, (ROW()-2)*averages!$B15+2):INDEX(benchmark!Y:Y, (ROW()-2)*averages!$B15+averages!$B15+1)), "")</f>
        <v>2.2158382693940257E-2</v>
      </c>
      <c r="Z15">
        <f>IFERROR(_xlfn.STDEV.S(INDEX(benchmark!Z:Z, (ROW()-2)*averages!$B15+2):INDEX(benchmark!Z:Z, (ROW()-2)*averages!$B15+averages!$B15+1)), "")</f>
        <v>1.7195389603353314E-2</v>
      </c>
      <c r="AA15">
        <f>IFERROR(_xlfn.STDEV.S(INDEX(benchmark!AA:AA, (ROW()-2)*averages!$B15+2):INDEX(benchmark!AA:AA, (ROW()-2)*averages!$B15+averages!$B15+1)), "")</f>
        <v>1.8684812608699614E-2</v>
      </c>
      <c r="AB15">
        <f>IFERROR(_xlfn.STDEV.S(INDEX(benchmark!AB:AB, (ROW()-2)*averages!$B15+2):INDEX(benchmark!AB:AB, (ROW()-2)*averages!$B15+averages!$B15+1)), "")</f>
        <v>1.2325166214790868E-2</v>
      </c>
      <c r="AC15">
        <f>IFERROR(_xlfn.STDEV.S(INDEX(benchmark!AC:AC, (ROW()-2)*averages!$B15+2):INDEX(benchmark!AC:AC, (ROW()-2)*averages!$B15+averages!$B15+1)), "")</f>
        <v>1.4358384116760648E-2</v>
      </c>
      <c r="AD15">
        <f>IFERROR(_xlfn.STDEV.S(INDEX(benchmark!AD:AD, (ROW()-2)*averages!$B15+2):INDEX(benchmark!AD:AD, (ROW()-2)*averages!$B15+averages!$B15+1)), "")</f>
        <v>1.8042195912175804E-2</v>
      </c>
      <c r="AE15">
        <f>IFERROR(_xlfn.STDEV.S(INDEX(benchmark!AE:AE, (ROW()-2)*averages!$B15+2):INDEX(benchmark!AE:AE, (ROW()-2)*averages!$B15+averages!$B15+1)), "")</f>
        <v>0</v>
      </c>
      <c r="AF15">
        <f>IFERROR(_xlfn.STDEV.S(INDEX(benchmark!AF:AF, (ROW()-2)*averages!$B15+2):INDEX(benchmark!AF:AF, (ROW()-2)*averages!$B15+averages!$B15+1)), "")</f>
        <v>0</v>
      </c>
      <c r="AG15">
        <f>IFERROR(_xlfn.STDEV.S(INDEX(benchmark!AG:AG, (ROW()-2)*averages!$B15+2):INDEX(benchmark!AG:AG, (ROW()-2)*averages!$B15+averages!$B15+1)), "")</f>
        <v>0</v>
      </c>
      <c r="AH15">
        <f>IFERROR(_xlfn.STDEV.S(INDEX(benchmark!AH:AH, (ROW()-2)*averages!$B15+2):INDEX(benchmark!AH:AH, (ROW()-2)*averages!$B15+averages!$B15+1)), "")</f>
        <v>0</v>
      </c>
      <c r="AI15">
        <f>IFERROR(_xlfn.STDEV.S(INDEX(benchmark!AI:AI, (ROW()-2)*averages!$B15+2):INDEX(benchmark!AI:AI, (ROW()-2)*averages!$B15+averages!$B15+1)), "")</f>
        <v>2.0243305917530764E-5</v>
      </c>
      <c r="AJ15">
        <f>IFERROR(_xlfn.STDEV.S(INDEX(benchmark!AJ:AJ, (ROW()-2)*averages!$B15+2):INDEX(benchmark!AJ:AJ, (ROW()-2)*averages!$B15+averages!$B15+1)), "")</f>
        <v>2.0346623831891355E-5</v>
      </c>
      <c r="AK15" cm="1">
        <f t="array" ref="AK15">IFERROR(_xlfn.STDEV.S(INDEX(benchmark!W:W, (ROW()-2)*$B15+2):INDEX(benchmark!W:W, (ROW()-2)*$B15 + $B15+1) + INDEX(benchmark!AA:AA, (ROW()-2)*$B15+2):INDEX(benchmark!AA:AA, (ROW()-2)*$B15 + $B15+1)), "")</f>
        <v>2.5335306940666377E-2</v>
      </c>
      <c r="AL15" cm="1">
        <f t="array" ref="AL15">IFERROR(_xlfn.STDEV.S(MOD(VALUE(INDEX(benchmark!AJ:AJ, (ROW()-2)*$B15+2):INDEX(benchmark!AJ:AJ, (ROW()-2)*$B15 + $B15+1)) - VALUE(INDEX(benchmark!AI:AI, (ROW()-2)*$B15+2):INDEX(benchmark!AI:AI, (ROW()-2)*$B15 + $B15+1)), 1) * 86400), "")</f>
        <v>2.5841396591055256E-2</v>
      </c>
      <c r="AM15" t="str">
        <f>IFERROR(_xlfn.STDEV.S(INDEX(benchmark!S:S, (ROW()-2)*$B15+2):INDEX(benchmark!S:S, (ROW()-2)*$B15 + $B15+1)), "")</f>
        <v/>
      </c>
    </row>
    <row r="16" spans="1:39" x14ac:dyDescent="0.25">
      <c r="A16" t="str" cm="1">
        <f t="array" ref="A16">INDEX(benchmark!A:A, (ROW()-2)*$B16+2)</f>
        <v>kinematic-car-filter</v>
      </c>
      <c r="B16">
        <f>COUNTIF(benchmark!A:A, benchmark!A16)</f>
        <v>10</v>
      </c>
      <c r="C16" t="str" cm="1">
        <f t="array" ref="C16">INDEX(benchmark!C:C, (ROW()-2)*$B16+2)</f>
        <v/>
      </c>
      <c r="D16" t="str" cm="1">
        <f t="array" ref="D16">INDEX(benchmark!D:D, (ROW()-2)*$B16+2)</f>
        <v/>
      </c>
      <c r="E16" t="str" cm="1">
        <f t="array" ref="E16">INDEX(benchmark!E:E, (ROW()-2)*$B16+2)</f>
        <v>failure</v>
      </c>
      <c r="F16">
        <f>IFERROR(_xlfn.STDEV.S(INDEX(benchmark!F:F, (ROW()-2)*averages!$B16+2):INDEX(benchmark!F:F, (ROW()-2)*averages!$B16+averages!$B16+1)), "")</f>
        <v>0</v>
      </c>
      <c r="G16">
        <f>IFERROR(_xlfn.STDEV.S(INDEX(benchmark!G:G, (ROW()-2)*averages!$B16+2):INDEX(benchmark!G:G, (ROW()-2)*averages!$B16+averages!$B16+1)), "")</f>
        <v>0</v>
      </c>
      <c r="H16" t="str">
        <f>IFERROR(_xlfn.STDEV.S(INDEX(benchmark!H:H, (ROW()-2)*averages!$B16+2):INDEX(benchmark!H:H, (ROW()-2)*averages!$B16+averages!$B16+1)), "")</f>
        <v/>
      </c>
      <c r="I16" t="str">
        <f>IFERROR(_xlfn.STDEV.S(INDEX(benchmark!I:I, (ROW()-2)*averages!$B16+2):INDEX(benchmark!I:I, (ROW()-2)*averages!$B16+averages!$B16+1)), "")</f>
        <v/>
      </c>
      <c r="J16" t="str">
        <f>IFERROR(_xlfn.STDEV.S(INDEX(benchmark!J:J, (ROW()-2)*averages!$B16+2):INDEX(benchmark!J:J, (ROW()-2)*averages!$B16+averages!$B16+1)), "")</f>
        <v/>
      </c>
      <c r="K16" t="str">
        <f>IFERROR(_xlfn.STDEV.S(INDEX(benchmark!K:K, (ROW()-2)*averages!$B16+2):INDEX(benchmark!K:K, (ROW()-2)*averages!$B16+averages!$B16+1)), "")</f>
        <v/>
      </c>
      <c r="L16" t="str">
        <f>IFERROR(_xlfn.STDEV.S(INDEX(benchmark!L:L, (ROW()-2)*averages!$B16+2):INDEX(benchmark!L:L, (ROW()-2)*averages!$B16+averages!$B16+1)), "")</f>
        <v/>
      </c>
      <c r="M16" t="str">
        <f>IFERROR(_xlfn.STDEV.S(INDEX(benchmark!M:M, (ROW()-2)*averages!$B16+2):INDEX(benchmark!M:M, (ROW()-2)*averages!$B16+averages!$B16+1)), "")</f>
        <v/>
      </c>
      <c r="N16" t="str">
        <f>IFERROR(_xlfn.STDEV.S(INDEX(benchmark!N:N, (ROW()-2)*averages!$B16+2):INDEX(benchmark!N:N, (ROW()-2)*averages!$B16+averages!$B16+1)), "")</f>
        <v/>
      </c>
      <c r="O16" t="str">
        <f>IFERROR(_xlfn.STDEV.S(INDEX(benchmark!O:O, (ROW()-2)*averages!$B16+2):INDEX(benchmark!O:O, (ROW()-2)*averages!$B16+averages!$B16+1)), "")</f>
        <v/>
      </c>
      <c r="P16" t="str">
        <f>IFERROR(_xlfn.STDEV.S(INDEX(benchmark!P:P, (ROW()-2)*averages!$B16+2):INDEX(benchmark!P:P, (ROW()-2)*averages!$B16+averages!$B16+1)), "")</f>
        <v/>
      </c>
      <c r="Q16" t="str">
        <f>IFERROR(_xlfn.STDEV.S(INDEX(benchmark!Q:Q, (ROW()-2)*averages!$B16+2):INDEX(benchmark!Q:Q, (ROW()-2)*averages!$B16+averages!$B16+1)), "")</f>
        <v/>
      </c>
      <c r="R16" t="str">
        <f>IFERROR(_xlfn.STDEV.S(INDEX(benchmark!R:R, (ROW()-2)*averages!$B16+2):INDEX(benchmark!R:R, (ROW()-2)*averages!$B16+averages!$B16+1)), "")</f>
        <v/>
      </c>
      <c r="S16" t="str">
        <f>IFERROR(_xlfn.STDEV.S(INDEX(benchmark!S:S, (ROW()-2)*averages!$B16+2):INDEX(benchmark!S:S, (ROW()-2)*averages!$B16+averages!$B16+1)), "")</f>
        <v/>
      </c>
      <c r="T16" t="str">
        <f>IFERROR(_xlfn.STDEV.S(INDEX(benchmark!T:T, (ROW()-2)*averages!$B16+2):INDEX(benchmark!T:T, (ROW()-2)*averages!$B16+averages!$B16+1)), "")</f>
        <v/>
      </c>
      <c r="U16" t="str">
        <f>IFERROR(_xlfn.STDEV.S(INDEX(benchmark!U:U, (ROW()-2)*averages!$B16+2):INDEX(benchmark!U:U, (ROW()-2)*averages!$B16+averages!$B16+1)), "")</f>
        <v/>
      </c>
      <c r="V16" t="str">
        <f>IFERROR(_xlfn.STDEV.S(INDEX(benchmark!V:V, (ROW()-2)*averages!$B16+2):INDEX(benchmark!V:V, (ROW()-2)*averages!$B16+averages!$B16+1)), "")</f>
        <v/>
      </c>
      <c r="W16">
        <f>IFERROR(_xlfn.STDEV.S(INDEX(benchmark!W:W, (ROW()-2)*averages!$B16+2):INDEX(benchmark!W:W, (ROW()-2)*averages!$B16+averages!$B16+1)), "")</f>
        <v>7.6659419947366497E-3</v>
      </c>
      <c r="X16">
        <f>IFERROR(_xlfn.STDEV.S(INDEX(benchmark!X:X, (ROW()-2)*averages!$B16+2):INDEX(benchmark!X:X, (ROW()-2)*averages!$B16+averages!$B16+1)), "")</f>
        <v>2.2097086912079612E-2</v>
      </c>
      <c r="Y16">
        <f>IFERROR(_xlfn.STDEV.S(INDEX(benchmark!Y:Y, (ROW()-2)*averages!$B16+2):INDEX(benchmark!Y:Y, (ROW()-2)*averages!$B16+averages!$B16+1)), "")</f>
        <v>1.2757759076995719E-2</v>
      </c>
      <c r="Z16">
        <f>IFERROR(_xlfn.STDEV.S(INDEX(benchmark!Z:Z, (ROW()-2)*averages!$B16+2):INDEX(benchmark!Z:Z, (ROW()-2)*averages!$B16+averages!$B16+1)), "")</f>
        <v>1.647019614671031E-2</v>
      </c>
      <c r="AA16">
        <f>IFERROR(_xlfn.STDEV.S(INDEX(benchmark!AA:AA, (ROW()-2)*averages!$B16+2):INDEX(benchmark!AA:AA, (ROW()-2)*averages!$B16+averages!$B16+1)), "")</f>
        <v>5.059644256269407E-3</v>
      </c>
      <c r="AB16">
        <f>IFERROR(_xlfn.STDEV.S(INDEX(benchmark!AB:AB, (ROW()-2)*averages!$B16+2):INDEX(benchmark!AB:AB, (ROW()-2)*averages!$B16+averages!$B16+1)), "")</f>
        <v>0</v>
      </c>
      <c r="AC16">
        <f>IFERROR(_xlfn.STDEV.S(INDEX(benchmark!AC:AC, (ROW()-2)*averages!$B16+2):INDEX(benchmark!AC:AC, (ROW()-2)*averages!$B16+averages!$B16+1)), "")</f>
        <v>0</v>
      </c>
      <c r="AD16">
        <f>IFERROR(_xlfn.STDEV.S(INDEX(benchmark!AD:AD, (ROW()-2)*averages!$B16+2):INDEX(benchmark!AD:AD, (ROW()-2)*averages!$B16+averages!$B16+1)), "")</f>
        <v>0</v>
      </c>
      <c r="AE16">
        <f>IFERROR(_xlfn.STDEV.S(INDEX(benchmark!AE:AE, (ROW()-2)*averages!$B16+2):INDEX(benchmark!AE:AE, (ROW()-2)*averages!$B16+averages!$B16+1)), "")</f>
        <v>0</v>
      </c>
      <c r="AF16">
        <f>IFERROR(_xlfn.STDEV.S(INDEX(benchmark!AF:AF, (ROW()-2)*averages!$B16+2):INDEX(benchmark!AF:AF, (ROW()-2)*averages!$B16+averages!$B16+1)), "")</f>
        <v>0</v>
      </c>
      <c r="AG16">
        <f>IFERROR(_xlfn.STDEV.S(INDEX(benchmark!AG:AG, (ROW()-2)*averages!$B16+2):INDEX(benchmark!AG:AG, (ROW()-2)*averages!$B16+averages!$B16+1)), "")</f>
        <v>0</v>
      </c>
      <c r="AH16">
        <f>IFERROR(_xlfn.STDEV.S(INDEX(benchmark!AH:AH, (ROW()-2)*averages!$B16+2):INDEX(benchmark!AH:AH, (ROW()-2)*averages!$B16+averages!$B16+1)), "")</f>
        <v>0</v>
      </c>
      <c r="AI16">
        <f>IFERROR(_xlfn.STDEV.S(INDEX(benchmark!AI:AI, (ROW()-2)*averages!$B16+2):INDEX(benchmark!AI:AI, (ROW()-2)*averages!$B16+averages!$B16+1)), "")</f>
        <v>1.0169273017388222E-5</v>
      </c>
      <c r="AJ16">
        <f>IFERROR(_xlfn.STDEV.S(INDEX(benchmark!AJ:AJ, (ROW()-2)*averages!$B16+2):INDEX(benchmark!AJ:AJ, (ROW()-2)*averages!$B16+averages!$B16+1)), "")</f>
        <v>1.0084554790034688E-5</v>
      </c>
      <c r="AK16" cm="1">
        <f t="array" ref="AK16">IFERROR(_xlfn.STDEV.S(INDEX(benchmark!W:W, (ROW()-2)*$B16+2):INDEX(benchmark!W:W, (ROW()-2)*$B16 + $B16+1) + INDEX(benchmark!AA:AA, (ROW()-2)*$B16+2):INDEX(benchmark!AA:AA, (ROW()-2)*$B16 + $B16+1)), "")</f>
        <v>6.7007462271004188E-3</v>
      </c>
      <c r="AL16" cm="1">
        <f t="array" ref="AL16">IFERROR(_xlfn.STDEV.S(MOD(VALUE(INDEX(benchmark!AJ:AJ, (ROW()-2)*$B16+2):INDEX(benchmark!AJ:AJ, (ROW()-2)*$B16 + $B16+1)) - VALUE(INDEX(benchmark!AI:AI, (ROW()-2)*$B16+2):INDEX(benchmark!AI:AI, (ROW()-2)*$B16 + $B16+1)), 1) * 86400), "")</f>
        <v>1.7126976771572423E-2</v>
      </c>
      <c r="AM16" t="str">
        <f>IFERROR(_xlfn.STDEV.S(INDEX(benchmark!S:S, (ROW()-2)*$B16+2):INDEX(benchmark!S:S, (ROW()-2)*$B16 + $B16+1)), "")</f>
        <v/>
      </c>
    </row>
    <row r="17" spans="1:39" x14ac:dyDescent="0.25">
      <c r="A17" t="str" cm="1">
        <f t="array" ref="A17">INDEX(benchmark!A:A, (ROW()-2)*$B17+2)</f>
        <v>kinematic-car-gurobi</v>
      </c>
      <c r="B17">
        <f>COUNTIF(benchmark!A:A, benchmark!A17)</f>
        <v>10</v>
      </c>
      <c r="C17" t="str" cm="1">
        <f t="array" ref="C17">INDEX(benchmark!C:C, (ROW()-2)*$B17+2)</f>
        <v>Gurobi</v>
      </c>
      <c r="D17" t="str" cm="1">
        <f t="array" ref="D17">INDEX(benchmark!D:D, (ROW()-2)*$B17+2)</f>
        <v>12.0.3</v>
      </c>
      <c r="E17" t="str" cm="1">
        <f t="array" ref="E17">INDEX(benchmark!E:E, (ROW()-2)*$B17+2)</f>
        <v>solved</v>
      </c>
      <c r="F17">
        <f>IFERROR(_xlfn.STDEV.S(INDEX(benchmark!F:F, (ROW()-2)*averages!$B17+2):INDEX(benchmark!F:F, (ROW()-2)*averages!$B17+averages!$B17+1)), "")</f>
        <v>0</v>
      </c>
      <c r="G17">
        <f>IFERROR(_xlfn.STDEV.S(INDEX(benchmark!G:G, (ROW()-2)*averages!$B17+2):INDEX(benchmark!G:G, (ROW()-2)*averages!$B17+averages!$B17+1)), "")</f>
        <v>2.3405556457178008E-16</v>
      </c>
      <c r="H17" t="str">
        <f>IFERROR(_xlfn.STDEV.S(INDEX(benchmark!H:H, (ROW()-2)*averages!$B17+2):INDEX(benchmark!H:H, (ROW()-2)*averages!$B17+averages!$B17+1)), "")</f>
        <v/>
      </c>
      <c r="I17" t="str">
        <f>IFERROR(_xlfn.STDEV.S(INDEX(benchmark!I:I, (ROW()-2)*averages!$B17+2):INDEX(benchmark!I:I, (ROW()-2)*averages!$B17+averages!$B17+1)), "")</f>
        <v/>
      </c>
      <c r="J17" t="str">
        <f>IFERROR(_xlfn.STDEV.S(INDEX(benchmark!J:J, (ROW()-2)*averages!$B17+2):INDEX(benchmark!J:J, (ROW()-2)*averages!$B17+averages!$B17+1)), "")</f>
        <v/>
      </c>
      <c r="K17" t="str">
        <f>IFERROR(_xlfn.STDEV.S(INDEX(benchmark!K:K, (ROW()-2)*averages!$B17+2):INDEX(benchmark!K:K, (ROW()-2)*averages!$B17+averages!$B17+1)), "")</f>
        <v/>
      </c>
      <c r="L17" t="str">
        <f>IFERROR(_xlfn.STDEV.S(INDEX(benchmark!L:L, (ROW()-2)*averages!$B17+2):INDEX(benchmark!L:L, (ROW()-2)*averages!$B17+averages!$B17+1)), "")</f>
        <v/>
      </c>
      <c r="M17" t="str">
        <f>IFERROR(_xlfn.STDEV.S(INDEX(benchmark!M:M, (ROW()-2)*averages!$B17+2):INDEX(benchmark!M:M, (ROW()-2)*averages!$B17+averages!$B17+1)), "")</f>
        <v/>
      </c>
      <c r="N17" t="str">
        <f>IFERROR(_xlfn.STDEV.S(INDEX(benchmark!N:N, (ROW()-2)*averages!$B17+2):INDEX(benchmark!N:N, (ROW()-2)*averages!$B17+averages!$B17+1)), "")</f>
        <v/>
      </c>
      <c r="O17" t="str">
        <f>IFERROR(_xlfn.STDEV.S(INDEX(benchmark!O:O, (ROW()-2)*averages!$B17+2):INDEX(benchmark!O:O, (ROW()-2)*averages!$B17+averages!$B17+1)), "")</f>
        <v/>
      </c>
      <c r="P17" t="str">
        <f>IFERROR(_xlfn.STDEV.S(INDEX(benchmark!P:P, (ROW()-2)*averages!$B17+2):INDEX(benchmark!P:P, (ROW()-2)*averages!$B17+averages!$B17+1)), "")</f>
        <v/>
      </c>
      <c r="Q17" t="str">
        <f>IFERROR(_xlfn.STDEV.S(INDEX(benchmark!Q:Q, (ROW()-2)*averages!$B17+2):INDEX(benchmark!Q:Q, (ROW()-2)*averages!$B17+averages!$B17+1)), "")</f>
        <v/>
      </c>
      <c r="R17" t="str">
        <f>IFERROR(_xlfn.STDEV.S(INDEX(benchmark!R:R, (ROW()-2)*averages!$B17+2):INDEX(benchmark!R:R, (ROW()-2)*averages!$B17+averages!$B17+1)), "")</f>
        <v/>
      </c>
      <c r="S17" t="str">
        <f>IFERROR(_xlfn.STDEV.S(INDEX(benchmark!S:S, (ROW()-2)*averages!$B17+2):INDEX(benchmark!S:S, (ROW()-2)*averages!$B17+averages!$B17+1)), "")</f>
        <v/>
      </c>
      <c r="T17" t="str">
        <f>IFERROR(_xlfn.STDEV.S(INDEX(benchmark!T:T, (ROW()-2)*averages!$B17+2):INDEX(benchmark!T:T, (ROW()-2)*averages!$B17+averages!$B17+1)), "")</f>
        <v/>
      </c>
      <c r="U17" t="str">
        <f>IFERROR(_xlfn.STDEV.S(INDEX(benchmark!U:U, (ROW()-2)*averages!$B17+2):INDEX(benchmark!U:U, (ROW()-2)*averages!$B17+averages!$B17+1)), "")</f>
        <v/>
      </c>
      <c r="V17" t="str">
        <f>IFERROR(_xlfn.STDEV.S(INDEX(benchmark!V:V, (ROW()-2)*averages!$B17+2):INDEX(benchmark!V:V, (ROW()-2)*averages!$B17+averages!$B17+1)), "")</f>
        <v/>
      </c>
      <c r="W17">
        <f>IFERROR(_xlfn.STDEV.S(INDEX(benchmark!W:W, (ROW()-2)*averages!$B17+2):INDEX(benchmark!W:W, (ROW()-2)*averages!$B17+averages!$B17+1)), "")</f>
        <v>2.3619436440731705E-2</v>
      </c>
      <c r="X17">
        <f>IFERROR(_xlfn.STDEV.S(INDEX(benchmark!X:X, (ROW()-2)*averages!$B17+2):INDEX(benchmark!X:X, (ROW()-2)*averages!$B17+averages!$B17+1)), "")</f>
        <v>1.9764235376052371E-2</v>
      </c>
      <c r="Y17">
        <f>IFERROR(_xlfn.STDEV.S(INDEX(benchmark!Y:Y, (ROW()-2)*averages!$B17+2):INDEX(benchmark!Y:Y, (ROW()-2)*averages!$B17+averages!$B17+1)), "")</f>
        <v>1.8414239093399676E-2</v>
      </c>
      <c r="Z17">
        <f>IFERROR(_xlfn.STDEV.S(INDEX(benchmark!Z:Z, (ROW()-2)*averages!$B17+2):INDEX(benchmark!Z:Z, (ROW()-2)*averages!$B17+averages!$B17+1)), "")</f>
        <v>1.5537951968933648E-2</v>
      </c>
      <c r="AA17">
        <f>IFERROR(_xlfn.STDEV.S(INDEX(benchmark!AA:AA, (ROW()-2)*averages!$B17+2):INDEX(benchmark!AA:AA, (ROW()-2)*averages!$B17+averages!$B17+1)), "")</f>
        <v>8.0385460266283335E-2</v>
      </c>
      <c r="AB17">
        <f>IFERROR(_xlfn.STDEV.S(INDEX(benchmark!AB:AB, (ROW()-2)*averages!$B17+2):INDEX(benchmark!AB:AB, (ROW()-2)*averages!$B17+averages!$B17+1)), "")</f>
        <v>0.15121218822586874</v>
      </c>
      <c r="AC17">
        <f>IFERROR(_xlfn.STDEV.S(INDEX(benchmark!AC:AC, (ROW()-2)*averages!$B17+2):INDEX(benchmark!AC:AC, (ROW()-2)*averages!$B17+averages!$B17+1)), "")</f>
        <v>1.4736224219706764</v>
      </c>
      <c r="AD17">
        <f>IFERROR(_xlfn.STDEV.S(INDEX(benchmark!AD:AD, (ROW()-2)*averages!$B17+2):INDEX(benchmark!AD:AD, (ROW()-2)*averages!$B17+averages!$B17+1)), "")</f>
        <v>1.5693288274768931</v>
      </c>
      <c r="AE17">
        <f>IFERROR(_xlfn.STDEV.S(INDEX(benchmark!AE:AE, (ROW()-2)*averages!$B17+2):INDEX(benchmark!AE:AE, (ROW()-2)*averages!$B17+averages!$B17+1)), "")</f>
        <v>0</v>
      </c>
      <c r="AF17">
        <f>IFERROR(_xlfn.STDEV.S(INDEX(benchmark!AF:AF, (ROW()-2)*averages!$B17+2):INDEX(benchmark!AF:AF, (ROW()-2)*averages!$B17+averages!$B17+1)), "")</f>
        <v>0</v>
      </c>
      <c r="AG17">
        <f>IFERROR(_xlfn.STDEV.S(INDEX(benchmark!AG:AG, (ROW()-2)*averages!$B17+2):INDEX(benchmark!AG:AG, (ROW()-2)*averages!$B17+averages!$B17+1)), "")</f>
        <v>0</v>
      </c>
      <c r="AH17">
        <f>IFERROR(_xlfn.STDEV.S(INDEX(benchmark!AH:AH, (ROW()-2)*averages!$B17+2):INDEX(benchmark!AH:AH, (ROW()-2)*averages!$B17+averages!$B17+1)), "")</f>
        <v>0</v>
      </c>
      <c r="AI17">
        <f>IFERROR(_xlfn.STDEV.S(INDEX(benchmark!AI:AI, (ROW()-2)*averages!$B17+2):INDEX(benchmark!AI:AI, (ROW()-2)*averages!$B17+averages!$B17+1)), "")</f>
        <v>1.4325516427607013E-4</v>
      </c>
      <c r="AJ17">
        <f>IFERROR(_xlfn.STDEV.S(INDEX(benchmark!AJ:AJ, (ROW()-2)*averages!$B17+2):INDEX(benchmark!AJ:AJ, (ROW()-2)*averages!$B17+averages!$B17+1)), "")</f>
        <v>1.4270341606629564E-4</v>
      </c>
      <c r="AK17" cm="1">
        <f t="array" ref="AK17">IFERROR(_xlfn.STDEV.S(INDEX(benchmark!W:W, (ROW()-2)*$B17+2):INDEX(benchmark!W:W, (ROW()-2)*$B17 + $B17+1) + INDEX(benchmark!AA:AA, (ROW()-2)*$B17+2):INDEX(benchmark!AA:AA, (ROW()-2)*$B17 + $B17+1)), "")</f>
        <v>8.874338786010412E-2</v>
      </c>
      <c r="AL17" cm="1">
        <f t="array" ref="AL17">IFERROR(_xlfn.STDEV.S(MOD(VALUE(INDEX(benchmark!AJ:AJ, (ROW()-2)*$B17+2):INDEX(benchmark!AJ:AJ, (ROW()-2)*$B17 + $B17+1)) - VALUE(INDEX(benchmark!AI:AI, (ROW()-2)*$B17+2):INDEX(benchmark!AI:AI, (ROW()-2)*$B17 + $B17+1)), 1) * 86400), "")</f>
        <v>8.8216904401689403E-2</v>
      </c>
      <c r="AM17" t="str">
        <f>IFERROR(_xlfn.STDEV.S(INDEX(benchmark!S:S, (ROW()-2)*$B17+2):INDEX(benchmark!S:S, (ROW()-2)*$B17 + $B17+1)), "")</f>
        <v/>
      </c>
    </row>
    <row r="18" spans="1:39" x14ac:dyDescent="0.25">
      <c r="A18" t="str" cm="1">
        <f t="array" ref="A18">INDEX(benchmark!A:A, (ROW()-2)*$B18+2)</f>
        <v>kinematic-car-ipopt</v>
      </c>
      <c r="B18">
        <f>COUNTIF(benchmark!A:A, benchmark!A18)</f>
        <v>10</v>
      </c>
      <c r="C18" t="str" cm="1">
        <f t="array" ref="C18">INDEX(benchmark!C:C, (ROW()-2)*$B18+2)</f>
        <v>Ipopt</v>
      </c>
      <c r="D18" t="str" cm="1">
        <f t="array" ref="D18">INDEX(benchmark!D:D, (ROW()-2)*$B18+2)</f>
        <v>3.12.13</v>
      </c>
      <c r="E18" t="str" cm="1">
        <f t="array" ref="E18">INDEX(benchmark!E:E, (ROW()-2)*$B18+2)</f>
        <v>solved</v>
      </c>
      <c r="F18">
        <f>IFERROR(_xlfn.STDEV.S(INDEX(benchmark!F:F, (ROW()-2)*averages!$B18+2):INDEX(benchmark!F:F, (ROW()-2)*averages!$B18+averages!$B18+1)), "")</f>
        <v>0</v>
      </c>
      <c r="G18">
        <f>IFERROR(_xlfn.STDEV.S(INDEX(benchmark!G:G, (ROW()-2)*averages!$B18+2):INDEX(benchmark!G:G, (ROW()-2)*averages!$B18+averages!$B18+1)), "")</f>
        <v>4.6811112914356016E-16</v>
      </c>
      <c r="H18" t="str">
        <f>IFERROR(_xlfn.STDEV.S(INDEX(benchmark!H:H, (ROW()-2)*averages!$B18+2):INDEX(benchmark!H:H, (ROW()-2)*averages!$B18+averages!$B18+1)), "")</f>
        <v/>
      </c>
      <c r="I18">
        <f>IFERROR(_xlfn.STDEV.S(INDEX(benchmark!I:I, (ROW()-2)*averages!$B18+2):INDEX(benchmark!I:I, (ROW()-2)*averages!$B18+averages!$B18+1)), "")</f>
        <v>0</v>
      </c>
      <c r="J18">
        <f>IFERROR(_xlfn.STDEV.S(INDEX(benchmark!J:J, (ROW()-2)*averages!$B18+2):INDEX(benchmark!J:J, (ROW()-2)*averages!$B18+averages!$B18+1)), "")</f>
        <v>0</v>
      </c>
      <c r="K18">
        <f>IFERROR(_xlfn.STDEV.S(INDEX(benchmark!K:K, (ROW()-2)*averages!$B18+2):INDEX(benchmark!K:K, (ROW()-2)*averages!$B18+averages!$B18+1)), "")</f>
        <v>0</v>
      </c>
      <c r="L18">
        <f>IFERROR(_xlfn.STDEV.S(INDEX(benchmark!L:L, (ROW()-2)*averages!$B18+2):INDEX(benchmark!L:L, (ROW()-2)*averages!$B18+averages!$B18+1)), "")</f>
        <v>0</v>
      </c>
      <c r="M18">
        <f>IFERROR(_xlfn.STDEV.S(INDEX(benchmark!M:M, (ROW()-2)*averages!$B18+2):INDEX(benchmark!M:M, (ROW()-2)*averages!$B18+averages!$B18+1)), "")</f>
        <v>0</v>
      </c>
      <c r="N18">
        <f>IFERROR(_xlfn.STDEV.S(INDEX(benchmark!N:N, (ROW()-2)*averages!$B18+2):INDEX(benchmark!N:N, (ROW()-2)*averages!$B18+averages!$B18+1)), "")</f>
        <v>0</v>
      </c>
      <c r="O18">
        <f>IFERROR(_xlfn.STDEV.S(INDEX(benchmark!O:O, (ROW()-2)*averages!$B18+2):INDEX(benchmark!O:O, (ROW()-2)*averages!$B18+averages!$B18+1)), "")</f>
        <v>0</v>
      </c>
      <c r="P18">
        <f>IFERROR(_xlfn.STDEV.S(INDEX(benchmark!P:P, (ROW()-2)*averages!$B18+2):INDEX(benchmark!P:P, (ROW()-2)*averages!$B18+averages!$B18+1)), "")</f>
        <v>0</v>
      </c>
      <c r="Q18">
        <f>IFERROR(_xlfn.STDEV.S(INDEX(benchmark!Q:Q, (ROW()-2)*averages!$B18+2):INDEX(benchmark!Q:Q, (ROW()-2)*averages!$B18+averages!$B18+1)), "")</f>
        <v>0</v>
      </c>
      <c r="R18">
        <f>IFERROR(_xlfn.STDEV.S(INDEX(benchmark!R:R, (ROW()-2)*averages!$B18+2):INDEX(benchmark!R:R, (ROW()-2)*averages!$B18+averages!$B18+1)), "")</f>
        <v>3.9283725779400189E-2</v>
      </c>
      <c r="S18">
        <f>IFERROR(_xlfn.STDEV.S(INDEX(benchmark!S:S, (ROW()-2)*averages!$B18+2):INDEX(benchmark!S:S, (ROW()-2)*averages!$B18+averages!$B18+1)), "")</f>
        <v>6.0882400303097998E-3</v>
      </c>
      <c r="T18">
        <f>IFERROR(_xlfn.STDEV.S(INDEX(benchmark!T:T, (ROW()-2)*averages!$B18+2):INDEX(benchmark!T:T, (ROW()-2)*averages!$B18+averages!$B18+1)), "")</f>
        <v>0</v>
      </c>
      <c r="U18">
        <f>IFERROR(_xlfn.STDEV.S(INDEX(benchmark!U:U, (ROW()-2)*averages!$B18+2):INDEX(benchmark!U:U, (ROW()-2)*averages!$B18+averages!$B18+1)), "")</f>
        <v>0</v>
      </c>
      <c r="V18">
        <f>IFERROR(_xlfn.STDEV.S(INDEX(benchmark!V:V, (ROW()-2)*averages!$B18+2):INDEX(benchmark!V:V, (ROW()-2)*averages!$B18+averages!$B18+1)), "")</f>
        <v>0</v>
      </c>
      <c r="W18">
        <f>IFERROR(_xlfn.STDEV.S(INDEX(benchmark!W:W, (ROW()-2)*averages!$B18+2):INDEX(benchmark!W:W, (ROW()-2)*averages!$B18+averages!$B18+1)), "")</f>
        <v>2.2480608928091034E-2</v>
      </c>
      <c r="X18">
        <f>IFERROR(_xlfn.STDEV.S(INDEX(benchmark!X:X, (ROW()-2)*averages!$B18+2):INDEX(benchmark!X:X, (ROW()-2)*averages!$B18+averages!$B18+1)), "")</f>
        <v>2.0898336091394666E-2</v>
      </c>
      <c r="Y18">
        <f>IFERROR(_xlfn.STDEV.S(INDEX(benchmark!Y:Y, (ROW()-2)*averages!$B18+2):INDEX(benchmark!Y:Y, (ROW()-2)*averages!$B18+averages!$B18+1)), "")</f>
        <v>3.0547663122114956E-2</v>
      </c>
      <c r="Z18">
        <f>IFERROR(_xlfn.STDEV.S(INDEX(benchmark!Z:Z, (ROW()-2)*averages!$B18+2):INDEX(benchmark!Z:Z, (ROW()-2)*averages!$B18+averages!$B18+1)), "")</f>
        <v>2.3350533095270718E-2</v>
      </c>
      <c r="AA18">
        <f>IFERROR(_xlfn.STDEV.S(INDEX(benchmark!AA:AA, (ROW()-2)*averages!$B18+2):INDEX(benchmark!AA:AA, (ROW()-2)*averages!$B18+averages!$B18+1)), "")</f>
        <v>4.316698841578933E-2</v>
      </c>
      <c r="AB18">
        <f>IFERROR(_xlfn.STDEV.S(INDEX(benchmark!AB:AB, (ROW()-2)*averages!$B18+2):INDEX(benchmark!AB:AB, (ROW()-2)*averages!$B18+averages!$B18+1)), "")</f>
        <v>2.1156350012072812E-2</v>
      </c>
      <c r="AC18">
        <f>IFERROR(_xlfn.STDEV.S(INDEX(benchmark!AC:AC, (ROW()-2)*averages!$B18+2):INDEX(benchmark!AC:AC, (ROW()-2)*averages!$B18+averages!$B18+1)), "")</f>
        <v>4.5880657386552594E-2</v>
      </c>
      <c r="AD18">
        <f>IFERROR(_xlfn.STDEV.S(INDEX(benchmark!AD:AD, (ROW()-2)*averages!$B18+2):INDEX(benchmark!AD:AD, (ROW()-2)*averages!$B18+averages!$B18+1)), "")</f>
        <v>3.9010381898070844E-2</v>
      </c>
      <c r="AE18">
        <f>IFERROR(_xlfn.STDEV.S(INDEX(benchmark!AE:AE, (ROW()-2)*averages!$B18+2):INDEX(benchmark!AE:AE, (ROW()-2)*averages!$B18+averages!$B18+1)), "")</f>
        <v>0</v>
      </c>
      <c r="AF18">
        <f>IFERROR(_xlfn.STDEV.S(INDEX(benchmark!AF:AF, (ROW()-2)*averages!$B18+2):INDEX(benchmark!AF:AF, (ROW()-2)*averages!$B18+averages!$B18+1)), "")</f>
        <v>0</v>
      </c>
      <c r="AG18">
        <f>IFERROR(_xlfn.STDEV.S(INDEX(benchmark!AG:AG, (ROW()-2)*averages!$B18+2):INDEX(benchmark!AG:AG, (ROW()-2)*averages!$B18+averages!$B18+1)), "")</f>
        <v>0</v>
      </c>
      <c r="AH18">
        <f>IFERROR(_xlfn.STDEV.S(INDEX(benchmark!AH:AH, (ROW()-2)*averages!$B18+2):INDEX(benchmark!AH:AH, (ROW()-2)*averages!$B18+averages!$B18+1)), "")</f>
        <v>0</v>
      </c>
      <c r="AI18">
        <f>IFERROR(_xlfn.STDEV.S(INDEX(benchmark!AI:AI, (ROW()-2)*averages!$B18+2):INDEX(benchmark!AI:AI, (ROW()-2)*averages!$B18+averages!$B18+1)), "")</f>
        <v>4.3278819902388117E-5</v>
      </c>
      <c r="AJ18">
        <f>IFERROR(_xlfn.STDEV.S(INDEX(benchmark!AJ:AJ, (ROW()-2)*averages!$B18+2):INDEX(benchmark!AJ:AJ, (ROW()-2)*averages!$B18+averages!$B18+1)), "")</f>
        <v>4.3609792659707493E-5</v>
      </c>
      <c r="AK18" cm="1">
        <f t="array" ref="AK18">IFERROR(_xlfn.STDEV.S(INDEX(benchmark!W:W, (ROW()-2)*$B18+2):INDEX(benchmark!W:W, (ROW()-2)*$B18 + $B18+1) + INDEX(benchmark!AA:AA, (ROW()-2)*$B18+2):INDEX(benchmark!AA:AA, (ROW()-2)*$B18 + $B18+1)), "")</f>
        <v>5.5879731964679671E-2</v>
      </c>
      <c r="AL18" cm="1">
        <f t="array" ref="AL18">IFERROR(_xlfn.STDEV.S(MOD(VALUE(INDEX(benchmark!AJ:AJ, (ROW()-2)*$B18+2):INDEX(benchmark!AJ:AJ, (ROW()-2)*$B18 + $B18+1)) - VALUE(INDEX(benchmark!AI:AI, (ROW()-2)*$B18+2):INDEX(benchmark!AI:AI, (ROW()-2)*$B18 + $B18+1)), 1) * 86400), "")</f>
        <v>6.7527772064493563E-2</v>
      </c>
      <c r="AM18">
        <f>IFERROR(_xlfn.STDEV.S(INDEX(benchmark!S:S, (ROW()-2)*$B18+2):INDEX(benchmark!S:S, (ROW()-2)*$B18 + $B18+1)), "")</f>
        <v>6.0882400303097998E-3</v>
      </c>
    </row>
    <row r="19" spans="1:39" x14ac:dyDescent="0.25">
      <c r="A19" t="str" cm="1">
        <f t="array" ref="A19">INDEX(benchmark!A:A, (ROW()-2)*$B19+2)</f>
        <v>kinematic-car-knitro</v>
      </c>
      <c r="B19">
        <f>COUNTIF(benchmark!A:A, benchmark!A19)</f>
        <v>10</v>
      </c>
      <c r="C19" t="str" cm="1">
        <f t="array" ref="C19">INDEX(benchmark!C:C, (ROW()-2)*$B19+2)</f>
        <v>Knitro</v>
      </c>
      <c r="D19" t="str" cm="1">
        <f t="array" ref="D19">INDEX(benchmark!D:D, (ROW()-2)*$B19+2)</f>
        <v>14.2.0</v>
      </c>
      <c r="E19" t="str" cm="1">
        <f t="array" ref="E19">INDEX(benchmark!E:E, (ROW()-2)*$B19+2)</f>
        <v/>
      </c>
      <c r="F19" t="str">
        <f>IFERROR(_xlfn.STDEV.S(INDEX(benchmark!F:F, (ROW()-2)*averages!$B19+2):INDEX(benchmark!F:F, (ROW()-2)*averages!$B19+averages!$B19+1)), "")</f>
        <v/>
      </c>
      <c r="G19" t="str">
        <f>IFERROR(_xlfn.STDEV.S(INDEX(benchmark!G:G, (ROW()-2)*averages!$B19+2):INDEX(benchmark!G:G, (ROW()-2)*averages!$B19+averages!$B19+1)), "")</f>
        <v/>
      </c>
      <c r="H19" t="str">
        <f>IFERROR(_xlfn.STDEV.S(INDEX(benchmark!H:H, (ROW()-2)*averages!$B19+2):INDEX(benchmark!H:H, (ROW()-2)*averages!$B19+averages!$B19+1)), "")</f>
        <v/>
      </c>
      <c r="I19" t="str">
        <f>IFERROR(_xlfn.STDEV.S(INDEX(benchmark!I:I, (ROW()-2)*averages!$B19+2):INDEX(benchmark!I:I, (ROW()-2)*averages!$B19+averages!$B19+1)), "")</f>
        <v/>
      </c>
      <c r="J19" t="str">
        <f>IFERROR(_xlfn.STDEV.S(INDEX(benchmark!J:J, (ROW()-2)*averages!$B19+2):INDEX(benchmark!J:J, (ROW()-2)*averages!$B19+averages!$B19+1)), "")</f>
        <v/>
      </c>
      <c r="K19" t="str">
        <f>IFERROR(_xlfn.STDEV.S(INDEX(benchmark!K:K, (ROW()-2)*averages!$B19+2):INDEX(benchmark!K:K, (ROW()-2)*averages!$B19+averages!$B19+1)), "")</f>
        <v/>
      </c>
      <c r="L19" t="str">
        <f>IFERROR(_xlfn.STDEV.S(INDEX(benchmark!L:L, (ROW()-2)*averages!$B19+2):INDEX(benchmark!L:L, (ROW()-2)*averages!$B19+averages!$B19+1)), "")</f>
        <v/>
      </c>
      <c r="M19" t="str">
        <f>IFERROR(_xlfn.STDEV.S(INDEX(benchmark!M:M, (ROW()-2)*averages!$B19+2):INDEX(benchmark!M:M, (ROW()-2)*averages!$B19+averages!$B19+1)), "")</f>
        <v/>
      </c>
      <c r="N19" t="str">
        <f>IFERROR(_xlfn.STDEV.S(INDEX(benchmark!N:N, (ROW()-2)*averages!$B19+2):INDEX(benchmark!N:N, (ROW()-2)*averages!$B19+averages!$B19+1)), "")</f>
        <v/>
      </c>
      <c r="O19" t="str">
        <f>IFERROR(_xlfn.STDEV.S(INDEX(benchmark!O:O, (ROW()-2)*averages!$B19+2):INDEX(benchmark!O:O, (ROW()-2)*averages!$B19+averages!$B19+1)), "")</f>
        <v/>
      </c>
      <c r="P19" t="str">
        <f>IFERROR(_xlfn.STDEV.S(INDEX(benchmark!P:P, (ROW()-2)*averages!$B19+2):INDEX(benchmark!P:P, (ROW()-2)*averages!$B19+averages!$B19+1)), "")</f>
        <v/>
      </c>
      <c r="Q19" t="str">
        <f>IFERROR(_xlfn.STDEV.S(INDEX(benchmark!Q:Q, (ROW()-2)*averages!$B19+2):INDEX(benchmark!Q:Q, (ROW()-2)*averages!$B19+averages!$B19+1)), "")</f>
        <v/>
      </c>
      <c r="R19" t="str">
        <f>IFERROR(_xlfn.STDEV.S(INDEX(benchmark!R:R, (ROW()-2)*averages!$B19+2):INDEX(benchmark!R:R, (ROW()-2)*averages!$B19+averages!$B19+1)), "")</f>
        <v/>
      </c>
      <c r="S19" t="str">
        <f>IFERROR(_xlfn.STDEV.S(INDEX(benchmark!S:S, (ROW()-2)*averages!$B19+2):INDEX(benchmark!S:S, (ROW()-2)*averages!$B19+averages!$B19+1)), "")</f>
        <v/>
      </c>
      <c r="T19" t="str">
        <f>IFERROR(_xlfn.STDEV.S(INDEX(benchmark!T:T, (ROW()-2)*averages!$B19+2):INDEX(benchmark!T:T, (ROW()-2)*averages!$B19+averages!$B19+1)), "")</f>
        <v/>
      </c>
      <c r="U19" t="str">
        <f>IFERROR(_xlfn.STDEV.S(INDEX(benchmark!U:U, (ROW()-2)*averages!$B19+2):INDEX(benchmark!U:U, (ROW()-2)*averages!$B19+averages!$B19+1)), "")</f>
        <v/>
      </c>
      <c r="V19" t="str">
        <f>IFERROR(_xlfn.STDEV.S(INDEX(benchmark!V:V, (ROW()-2)*averages!$B19+2):INDEX(benchmark!V:V, (ROW()-2)*averages!$B19+averages!$B19+1)), "")</f>
        <v/>
      </c>
      <c r="W19" t="str">
        <f>IFERROR(_xlfn.STDEV.S(INDEX(benchmark!W:W, (ROW()-2)*averages!$B19+2):INDEX(benchmark!W:W, (ROW()-2)*averages!$B19+averages!$B19+1)), "")</f>
        <v/>
      </c>
      <c r="X19" t="str">
        <f>IFERROR(_xlfn.STDEV.S(INDEX(benchmark!X:X, (ROW()-2)*averages!$B19+2):INDEX(benchmark!X:X, (ROW()-2)*averages!$B19+averages!$B19+1)), "")</f>
        <v/>
      </c>
      <c r="Y19" t="str">
        <f>IFERROR(_xlfn.STDEV.S(INDEX(benchmark!Y:Y, (ROW()-2)*averages!$B19+2):INDEX(benchmark!Y:Y, (ROW()-2)*averages!$B19+averages!$B19+1)), "")</f>
        <v/>
      </c>
      <c r="Z19" t="str">
        <f>IFERROR(_xlfn.STDEV.S(INDEX(benchmark!Z:Z, (ROW()-2)*averages!$B19+2):INDEX(benchmark!Z:Z, (ROW()-2)*averages!$B19+averages!$B19+1)), "")</f>
        <v/>
      </c>
      <c r="AA19" t="str">
        <f>IFERROR(_xlfn.STDEV.S(INDEX(benchmark!AA:AA, (ROW()-2)*averages!$B19+2):INDEX(benchmark!AA:AA, (ROW()-2)*averages!$B19+averages!$B19+1)), "")</f>
        <v/>
      </c>
      <c r="AB19" t="str">
        <f>IFERROR(_xlfn.STDEV.S(INDEX(benchmark!AB:AB, (ROW()-2)*averages!$B19+2):INDEX(benchmark!AB:AB, (ROW()-2)*averages!$B19+averages!$B19+1)), "")</f>
        <v/>
      </c>
      <c r="AC19" t="str">
        <f>IFERROR(_xlfn.STDEV.S(INDEX(benchmark!AC:AC, (ROW()-2)*averages!$B19+2):INDEX(benchmark!AC:AC, (ROW()-2)*averages!$B19+averages!$B19+1)), "")</f>
        <v/>
      </c>
      <c r="AD19" t="str">
        <f>IFERROR(_xlfn.STDEV.S(INDEX(benchmark!AD:AD, (ROW()-2)*averages!$B19+2):INDEX(benchmark!AD:AD, (ROW()-2)*averages!$B19+averages!$B19+1)), "")</f>
        <v/>
      </c>
      <c r="AE19" t="str">
        <f>IFERROR(_xlfn.STDEV.S(INDEX(benchmark!AE:AE, (ROW()-2)*averages!$B19+2):INDEX(benchmark!AE:AE, (ROW()-2)*averages!$B19+averages!$B19+1)), "")</f>
        <v/>
      </c>
      <c r="AF19" t="str">
        <f>IFERROR(_xlfn.STDEV.S(INDEX(benchmark!AF:AF, (ROW()-2)*averages!$B19+2):INDEX(benchmark!AF:AF, (ROW()-2)*averages!$B19+averages!$B19+1)), "")</f>
        <v/>
      </c>
      <c r="AG19" t="str">
        <f>IFERROR(_xlfn.STDEV.S(INDEX(benchmark!AG:AG, (ROW()-2)*averages!$B19+2):INDEX(benchmark!AG:AG, (ROW()-2)*averages!$B19+averages!$B19+1)), "")</f>
        <v/>
      </c>
      <c r="AH19" t="str">
        <f>IFERROR(_xlfn.STDEV.S(INDEX(benchmark!AH:AH, (ROW()-2)*averages!$B19+2):INDEX(benchmark!AH:AH, (ROW()-2)*averages!$B19+averages!$B19+1)), "")</f>
        <v/>
      </c>
      <c r="AI19">
        <f>IFERROR(_xlfn.STDEV.S(INDEX(benchmark!AI:AI, (ROW()-2)*averages!$B19+2):INDEX(benchmark!AI:AI, (ROW()-2)*averages!$B19+averages!$B19+1)), "")</f>
        <v>1.4044990390449732E-5</v>
      </c>
      <c r="AJ19">
        <f>IFERROR(_xlfn.STDEV.S(INDEX(benchmark!AJ:AJ, (ROW()-2)*averages!$B19+2):INDEX(benchmark!AJ:AJ, (ROW()-2)*averages!$B19+averages!$B19+1)), "")</f>
        <v>1.3995374752071716E-5</v>
      </c>
      <c r="AK19" cm="1">
        <f t="array" ref="AK19">IFERROR(_xlfn.STDEV.S(INDEX(benchmark!W:W, (ROW()-2)*$B19+2):INDEX(benchmark!W:W, (ROW()-2)*$B19 + $B19+1) + INDEX(benchmark!AA:AA, (ROW()-2)*$B19+2):INDEX(benchmark!AA:AA, (ROW()-2)*$B19 + $B19+1)), "")</f>
        <v>0</v>
      </c>
      <c r="AL19" cm="1">
        <f t="array" ref="AL19">IFERROR(_xlfn.STDEV.S(MOD(VALUE(INDEX(benchmark!AJ:AJ, (ROW()-2)*$B19+2):INDEX(benchmark!AJ:AJ, (ROW()-2)*$B19 + $B19+1)) - VALUE(INDEX(benchmark!AI:AI, (ROW()-2)*$B19+2):INDEX(benchmark!AI:AI, (ROW()-2)*$B19 + $B19+1)), 1) * 86400), "")</f>
        <v>2.6687491868343214E-2</v>
      </c>
      <c r="AM19" t="str">
        <f>IFERROR(_xlfn.STDEV.S(INDEX(benchmark!S:S, (ROW()-2)*$B19+2):INDEX(benchmark!S:S, (ROW()-2)*$B19 + $B19+1)), "")</f>
        <v/>
      </c>
    </row>
    <row r="20" spans="1:39" x14ac:dyDescent="0.25">
      <c r="A20" t="str" cm="1">
        <f t="array" ref="A20">INDEX(benchmark!A:A, (ROW()-2)*$B20+2)</f>
        <v>kinematic-car-lancelot</v>
      </c>
      <c r="B20">
        <f>COUNTIF(benchmark!A:A, benchmark!A20)</f>
        <v>10</v>
      </c>
      <c r="C20" t="str" cm="1">
        <f t="array" ref="C20">INDEX(benchmark!C:C, (ROW()-2)*$B20+2)</f>
        <v/>
      </c>
      <c r="D20" t="str" cm="1">
        <f t="array" ref="D20">INDEX(benchmark!D:D, (ROW()-2)*$B20+2)</f>
        <v/>
      </c>
      <c r="E20" t="str" cm="1">
        <f t="array" ref="E20">INDEX(benchmark!E:E, (ROW()-2)*$B20+2)</f>
        <v>failure</v>
      </c>
      <c r="F20">
        <f>IFERROR(_xlfn.STDEV.S(INDEX(benchmark!F:F, (ROW()-2)*averages!$B20+2):INDEX(benchmark!F:F, (ROW()-2)*averages!$B20+averages!$B20+1)), "")</f>
        <v>0</v>
      </c>
      <c r="G20">
        <f>IFERROR(_xlfn.STDEV.S(INDEX(benchmark!G:G, (ROW()-2)*averages!$B20+2):INDEX(benchmark!G:G, (ROW()-2)*averages!$B20+averages!$B20+1)), "")</f>
        <v>0</v>
      </c>
      <c r="H20" t="str">
        <f>IFERROR(_xlfn.STDEV.S(INDEX(benchmark!H:H, (ROW()-2)*averages!$B20+2):INDEX(benchmark!H:H, (ROW()-2)*averages!$B20+averages!$B20+1)), "")</f>
        <v/>
      </c>
      <c r="I20" t="str">
        <f>IFERROR(_xlfn.STDEV.S(INDEX(benchmark!I:I, (ROW()-2)*averages!$B20+2):INDEX(benchmark!I:I, (ROW()-2)*averages!$B20+averages!$B20+1)), "")</f>
        <v/>
      </c>
      <c r="J20" t="str">
        <f>IFERROR(_xlfn.STDEV.S(INDEX(benchmark!J:J, (ROW()-2)*averages!$B20+2):INDEX(benchmark!J:J, (ROW()-2)*averages!$B20+averages!$B20+1)), "")</f>
        <v/>
      </c>
      <c r="K20" t="str">
        <f>IFERROR(_xlfn.STDEV.S(INDEX(benchmark!K:K, (ROW()-2)*averages!$B20+2):INDEX(benchmark!K:K, (ROW()-2)*averages!$B20+averages!$B20+1)), "")</f>
        <v/>
      </c>
      <c r="L20" t="str">
        <f>IFERROR(_xlfn.STDEV.S(INDEX(benchmark!L:L, (ROW()-2)*averages!$B20+2):INDEX(benchmark!L:L, (ROW()-2)*averages!$B20+averages!$B20+1)), "")</f>
        <v/>
      </c>
      <c r="M20" t="str">
        <f>IFERROR(_xlfn.STDEV.S(INDEX(benchmark!M:M, (ROW()-2)*averages!$B20+2):INDEX(benchmark!M:M, (ROW()-2)*averages!$B20+averages!$B20+1)), "")</f>
        <v/>
      </c>
      <c r="N20" t="str">
        <f>IFERROR(_xlfn.STDEV.S(INDEX(benchmark!N:N, (ROW()-2)*averages!$B20+2):INDEX(benchmark!N:N, (ROW()-2)*averages!$B20+averages!$B20+1)), "")</f>
        <v/>
      </c>
      <c r="O20" t="str">
        <f>IFERROR(_xlfn.STDEV.S(INDEX(benchmark!O:O, (ROW()-2)*averages!$B20+2):INDEX(benchmark!O:O, (ROW()-2)*averages!$B20+averages!$B20+1)), "")</f>
        <v/>
      </c>
      <c r="P20" t="str">
        <f>IFERROR(_xlfn.STDEV.S(INDEX(benchmark!P:P, (ROW()-2)*averages!$B20+2):INDEX(benchmark!P:P, (ROW()-2)*averages!$B20+averages!$B20+1)), "")</f>
        <v/>
      </c>
      <c r="Q20" t="str">
        <f>IFERROR(_xlfn.STDEV.S(INDEX(benchmark!Q:Q, (ROW()-2)*averages!$B20+2):INDEX(benchmark!Q:Q, (ROW()-2)*averages!$B20+averages!$B20+1)), "")</f>
        <v/>
      </c>
      <c r="R20" t="str">
        <f>IFERROR(_xlfn.STDEV.S(INDEX(benchmark!R:R, (ROW()-2)*averages!$B20+2):INDEX(benchmark!R:R, (ROW()-2)*averages!$B20+averages!$B20+1)), "")</f>
        <v/>
      </c>
      <c r="S20" t="str">
        <f>IFERROR(_xlfn.STDEV.S(INDEX(benchmark!S:S, (ROW()-2)*averages!$B20+2):INDEX(benchmark!S:S, (ROW()-2)*averages!$B20+averages!$B20+1)), "")</f>
        <v/>
      </c>
      <c r="T20" t="str">
        <f>IFERROR(_xlfn.STDEV.S(INDEX(benchmark!T:T, (ROW()-2)*averages!$B20+2):INDEX(benchmark!T:T, (ROW()-2)*averages!$B20+averages!$B20+1)), "")</f>
        <v/>
      </c>
      <c r="U20" t="str">
        <f>IFERROR(_xlfn.STDEV.S(INDEX(benchmark!U:U, (ROW()-2)*averages!$B20+2):INDEX(benchmark!U:U, (ROW()-2)*averages!$B20+averages!$B20+1)), "")</f>
        <v/>
      </c>
      <c r="V20" t="str">
        <f>IFERROR(_xlfn.STDEV.S(INDEX(benchmark!V:V, (ROW()-2)*averages!$B20+2):INDEX(benchmark!V:V, (ROW()-2)*averages!$B20+averages!$B20+1)), "")</f>
        <v/>
      </c>
      <c r="W20">
        <f>IFERROR(_xlfn.STDEV.S(INDEX(benchmark!W:W, (ROW()-2)*averages!$B20+2):INDEX(benchmark!W:W, (ROW()-2)*averages!$B20+averages!$B20+1)), "")</f>
        <v>1.0503438590396118E-2</v>
      </c>
      <c r="X20">
        <f>IFERROR(_xlfn.STDEV.S(INDEX(benchmark!X:X, (ROW()-2)*averages!$B20+2):INDEX(benchmark!X:X, (ROW()-2)*averages!$B20+averages!$B20+1)), "")</f>
        <v>2.3524145397158781E-2</v>
      </c>
      <c r="Y20">
        <f>IFERROR(_xlfn.STDEV.S(INDEX(benchmark!Y:Y, (ROW()-2)*averages!$B20+2):INDEX(benchmark!Y:Y, (ROW()-2)*averages!$B20+averages!$B20+1)), "")</f>
        <v>2.14112549907234E-2</v>
      </c>
      <c r="Z20">
        <f>IFERROR(_xlfn.STDEV.S(INDEX(benchmark!Z:Z, (ROW()-2)*averages!$B20+2):INDEX(benchmark!Z:Z, (ROW()-2)*averages!$B20+averages!$B20+1)), "")</f>
        <v>7.5475920553069991E-3</v>
      </c>
      <c r="AA20">
        <f>IFERROR(_xlfn.STDEV.S(INDEX(benchmark!AA:AA, (ROW()-2)*averages!$B20+2):INDEX(benchmark!AA:AA, (ROW()-2)*averages!$B20+averages!$B20+1)), "")</f>
        <v>5.059644256269407E-3</v>
      </c>
      <c r="AB20">
        <f>IFERROR(_xlfn.STDEV.S(INDEX(benchmark!AB:AB, (ROW()-2)*averages!$B20+2):INDEX(benchmark!AB:AB, (ROW()-2)*averages!$B20+averages!$B20+1)), "")</f>
        <v>0</v>
      </c>
      <c r="AC20">
        <f>IFERROR(_xlfn.STDEV.S(INDEX(benchmark!AC:AC, (ROW()-2)*averages!$B20+2):INDEX(benchmark!AC:AC, (ROW()-2)*averages!$B20+averages!$B20+1)), "")</f>
        <v>0</v>
      </c>
      <c r="AD20">
        <f>IFERROR(_xlfn.STDEV.S(INDEX(benchmark!AD:AD, (ROW()-2)*averages!$B20+2):INDEX(benchmark!AD:AD, (ROW()-2)*averages!$B20+averages!$B20+1)), "")</f>
        <v>0</v>
      </c>
      <c r="AE20">
        <f>IFERROR(_xlfn.STDEV.S(INDEX(benchmark!AE:AE, (ROW()-2)*averages!$B20+2):INDEX(benchmark!AE:AE, (ROW()-2)*averages!$B20+averages!$B20+1)), "")</f>
        <v>0</v>
      </c>
      <c r="AF20">
        <f>IFERROR(_xlfn.STDEV.S(INDEX(benchmark!AF:AF, (ROW()-2)*averages!$B20+2):INDEX(benchmark!AF:AF, (ROW()-2)*averages!$B20+averages!$B20+1)), "")</f>
        <v>0</v>
      </c>
      <c r="AG20">
        <f>IFERROR(_xlfn.STDEV.S(INDEX(benchmark!AG:AG, (ROW()-2)*averages!$B20+2):INDEX(benchmark!AG:AG, (ROW()-2)*averages!$B20+averages!$B20+1)), "")</f>
        <v>0</v>
      </c>
      <c r="AH20">
        <f>IFERROR(_xlfn.STDEV.S(INDEX(benchmark!AH:AH, (ROW()-2)*averages!$B20+2):INDEX(benchmark!AH:AH, (ROW()-2)*averages!$B20+averages!$B20+1)), "")</f>
        <v>0</v>
      </c>
      <c r="AI20">
        <f>IFERROR(_xlfn.STDEV.S(INDEX(benchmark!AI:AI, (ROW()-2)*averages!$B20+2):INDEX(benchmark!AI:AI, (ROW()-2)*averages!$B20+averages!$B20+1)), "")</f>
        <v>1.0230271049194374E-5</v>
      </c>
      <c r="AJ20">
        <f>IFERROR(_xlfn.STDEV.S(INDEX(benchmark!AJ:AJ, (ROW()-2)*averages!$B20+2):INDEX(benchmark!AJ:AJ, (ROW()-2)*averages!$B20+averages!$B20+1)), "")</f>
        <v>1.0157850056566168E-5</v>
      </c>
      <c r="AK20" cm="1">
        <f t="array" ref="AK20">IFERROR(_xlfn.STDEV.S(INDEX(benchmark!W:W, (ROW()-2)*$B20+2):INDEX(benchmark!W:W, (ROW()-2)*$B20 + $B20+1) + INDEX(benchmark!AA:AA, (ROW()-2)*$B20+2):INDEX(benchmark!AA:AA, (ROW()-2)*$B20 + $B20+1)), "")</f>
        <v>8.9100442697491265E-3</v>
      </c>
      <c r="AL20" cm="1">
        <f t="array" ref="AL20">IFERROR(_xlfn.STDEV.S(MOD(VALUE(INDEX(benchmark!AJ:AJ, (ROW()-2)*$B20+2):INDEX(benchmark!AJ:AJ, (ROW()-2)*$B20 + $B20+1)) - VALUE(INDEX(benchmark!AI:AI, (ROW()-2)*$B20+2):INDEX(benchmark!AI:AI, (ROW()-2)*$B20 + $B20+1)), 1) * 86400), "")</f>
        <v>1.0540925533932056E-2</v>
      </c>
      <c r="AM20" t="str">
        <f>IFERROR(_xlfn.STDEV.S(INDEX(benchmark!S:S, (ROW()-2)*$B20+2):INDEX(benchmark!S:S, (ROW()-2)*$B20 + $B20+1)), "")</f>
        <v/>
      </c>
    </row>
    <row r="21" spans="1:39" x14ac:dyDescent="0.25">
      <c r="A21" t="str" cm="1">
        <f t="array" ref="A21">INDEX(benchmark!A:A, (ROW()-2)*$B21+2)</f>
        <v>kinematic-car-loqo</v>
      </c>
      <c r="B21">
        <f>COUNTIF(benchmark!A:A, benchmark!A21)</f>
        <v>10</v>
      </c>
      <c r="C21" t="str" cm="1">
        <f t="array" ref="C21">INDEX(benchmark!C:C, (ROW()-2)*$B21+2)</f>
        <v/>
      </c>
      <c r="D21" t="str" cm="1">
        <f t="array" ref="D21">INDEX(benchmark!D:D, (ROW()-2)*$B21+2)</f>
        <v/>
      </c>
      <c r="E21" t="str" cm="1">
        <f t="array" ref="E21">INDEX(benchmark!E:E, (ROW()-2)*$B21+2)</f>
        <v>solved</v>
      </c>
      <c r="F21">
        <f>IFERROR(_xlfn.STDEV.S(INDEX(benchmark!F:F, (ROW()-2)*averages!$B21+2):INDEX(benchmark!F:F, (ROW()-2)*averages!$B21+averages!$B21+1)), "")</f>
        <v>0</v>
      </c>
      <c r="G21">
        <f>IFERROR(_xlfn.STDEV.S(INDEX(benchmark!G:G, (ROW()-2)*averages!$B21+2):INDEX(benchmark!G:G, (ROW()-2)*averages!$B21+averages!$B21+1)), "")</f>
        <v>2.3405556457178008E-16</v>
      </c>
      <c r="H21" t="str">
        <f>IFERROR(_xlfn.STDEV.S(INDEX(benchmark!H:H, (ROW()-2)*averages!$B21+2):INDEX(benchmark!H:H, (ROW()-2)*averages!$B21+averages!$B21+1)), "")</f>
        <v/>
      </c>
      <c r="I21" t="str">
        <f>IFERROR(_xlfn.STDEV.S(INDEX(benchmark!I:I, (ROW()-2)*averages!$B21+2):INDEX(benchmark!I:I, (ROW()-2)*averages!$B21+averages!$B21+1)), "")</f>
        <v/>
      </c>
      <c r="J21" t="str">
        <f>IFERROR(_xlfn.STDEV.S(INDEX(benchmark!J:J, (ROW()-2)*averages!$B21+2):INDEX(benchmark!J:J, (ROW()-2)*averages!$B21+averages!$B21+1)), "")</f>
        <v/>
      </c>
      <c r="K21" t="str">
        <f>IFERROR(_xlfn.STDEV.S(INDEX(benchmark!K:K, (ROW()-2)*averages!$B21+2):INDEX(benchmark!K:K, (ROW()-2)*averages!$B21+averages!$B21+1)), "")</f>
        <v/>
      </c>
      <c r="L21" t="str">
        <f>IFERROR(_xlfn.STDEV.S(INDEX(benchmark!L:L, (ROW()-2)*averages!$B21+2):INDEX(benchmark!L:L, (ROW()-2)*averages!$B21+averages!$B21+1)), "")</f>
        <v/>
      </c>
      <c r="M21" t="str">
        <f>IFERROR(_xlfn.STDEV.S(INDEX(benchmark!M:M, (ROW()-2)*averages!$B21+2):INDEX(benchmark!M:M, (ROW()-2)*averages!$B21+averages!$B21+1)), "")</f>
        <v/>
      </c>
      <c r="N21" t="str">
        <f>IFERROR(_xlfn.STDEV.S(INDEX(benchmark!N:N, (ROW()-2)*averages!$B21+2):INDEX(benchmark!N:N, (ROW()-2)*averages!$B21+averages!$B21+1)), "")</f>
        <v/>
      </c>
      <c r="O21" t="str">
        <f>IFERROR(_xlfn.STDEV.S(INDEX(benchmark!O:O, (ROW()-2)*averages!$B21+2):INDEX(benchmark!O:O, (ROW()-2)*averages!$B21+averages!$B21+1)), "")</f>
        <v/>
      </c>
      <c r="P21" t="str">
        <f>IFERROR(_xlfn.STDEV.S(INDEX(benchmark!P:P, (ROW()-2)*averages!$B21+2):INDEX(benchmark!P:P, (ROW()-2)*averages!$B21+averages!$B21+1)), "")</f>
        <v/>
      </c>
      <c r="Q21" t="str">
        <f>IFERROR(_xlfn.STDEV.S(INDEX(benchmark!Q:Q, (ROW()-2)*averages!$B21+2):INDEX(benchmark!Q:Q, (ROW()-2)*averages!$B21+averages!$B21+1)), "")</f>
        <v/>
      </c>
      <c r="R21" t="str">
        <f>IFERROR(_xlfn.STDEV.S(INDEX(benchmark!R:R, (ROW()-2)*averages!$B21+2):INDEX(benchmark!R:R, (ROW()-2)*averages!$B21+averages!$B21+1)), "")</f>
        <v/>
      </c>
      <c r="S21" t="str">
        <f>IFERROR(_xlfn.STDEV.S(INDEX(benchmark!S:S, (ROW()-2)*averages!$B21+2):INDEX(benchmark!S:S, (ROW()-2)*averages!$B21+averages!$B21+1)), "")</f>
        <v/>
      </c>
      <c r="T21" t="str">
        <f>IFERROR(_xlfn.STDEV.S(INDEX(benchmark!T:T, (ROW()-2)*averages!$B21+2):INDEX(benchmark!T:T, (ROW()-2)*averages!$B21+averages!$B21+1)), "")</f>
        <v/>
      </c>
      <c r="U21" t="str">
        <f>IFERROR(_xlfn.STDEV.S(INDEX(benchmark!U:U, (ROW()-2)*averages!$B21+2):INDEX(benchmark!U:U, (ROW()-2)*averages!$B21+averages!$B21+1)), "")</f>
        <v/>
      </c>
      <c r="V21" t="str">
        <f>IFERROR(_xlfn.STDEV.S(INDEX(benchmark!V:V, (ROW()-2)*averages!$B21+2):INDEX(benchmark!V:V, (ROW()-2)*averages!$B21+averages!$B21+1)), "")</f>
        <v/>
      </c>
      <c r="W21">
        <f>IFERROR(_xlfn.STDEV.S(INDEX(benchmark!W:W, (ROW()-2)*averages!$B21+2):INDEX(benchmark!W:W, (ROW()-2)*averages!$B21+averages!$B21+1)), "")</f>
        <v>1.9924580017879927E-2</v>
      </c>
      <c r="X21">
        <f>IFERROR(_xlfn.STDEV.S(INDEX(benchmark!X:X, (ROW()-2)*averages!$B21+2):INDEX(benchmark!X:X, (ROW()-2)*averages!$B21+averages!$B21+1)), "")</f>
        <v>1.3681172433920516E-2</v>
      </c>
      <c r="Y21">
        <f>IFERROR(_xlfn.STDEV.S(INDEX(benchmark!Y:Y, (ROW()-2)*averages!$B21+2):INDEX(benchmark!Y:Y, (ROW()-2)*averages!$B21+averages!$B21+1)), "")</f>
        <v>1.8117215761381335E-2</v>
      </c>
      <c r="Z21">
        <f>IFERROR(_xlfn.STDEV.S(INDEX(benchmark!Z:Z, (ROW()-2)*averages!$B21+2):INDEX(benchmark!Z:Z, (ROW()-2)*averages!$B21+averages!$B21+1)), "")</f>
        <v>1.7738944131173353E-2</v>
      </c>
      <c r="AA21">
        <f>IFERROR(_xlfn.STDEV.S(INDEX(benchmark!AA:AA, (ROW()-2)*averages!$B21+2):INDEX(benchmark!AA:AA, (ROW()-2)*averages!$B21+averages!$B21+1)), "")</f>
        <v>0.173106133147654</v>
      </c>
      <c r="AB21">
        <f>IFERROR(_xlfn.STDEV.S(INDEX(benchmark!AB:AB, (ROW()-2)*averages!$B21+2):INDEX(benchmark!AB:AB, (ROW()-2)*averages!$B21+averages!$B21+1)), "")</f>
        <v>1.3681172433920518E-2</v>
      </c>
      <c r="AC21">
        <f>IFERROR(_xlfn.STDEV.S(INDEX(benchmark!AC:AC, (ROW()-2)*averages!$B21+2):INDEX(benchmark!AC:AC, (ROW()-2)*averages!$B21+averages!$B21+1)), "")</f>
        <v>1.2757759076995719E-2</v>
      </c>
      <c r="AD21">
        <f>IFERROR(_xlfn.STDEV.S(INDEX(benchmark!AD:AD, (ROW()-2)*averages!$B21+2):INDEX(benchmark!AD:AD, (ROW()-2)*averages!$B21+averages!$B21+1)), "")</f>
        <v>1.1529137302697215E-2</v>
      </c>
      <c r="AE21">
        <f>IFERROR(_xlfn.STDEV.S(INDEX(benchmark!AE:AE, (ROW()-2)*averages!$B21+2):INDEX(benchmark!AE:AE, (ROW()-2)*averages!$B21+averages!$B21+1)), "")</f>
        <v>0</v>
      </c>
      <c r="AF21">
        <f>IFERROR(_xlfn.STDEV.S(INDEX(benchmark!AF:AF, (ROW()-2)*averages!$B21+2):INDEX(benchmark!AF:AF, (ROW()-2)*averages!$B21+averages!$B21+1)), "")</f>
        <v>0</v>
      </c>
      <c r="AG21">
        <f>IFERROR(_xlfn.STDEV.S(INDEX(benchmark!AG:AG, (ROW()-2)*averages!$B21+2):INDEX(benchmark!AG:AG, (ROW()-2)*averages!$B21+averages!$B21+1)), "")</f>
        <v>0</v>
      </c>
      <c r="AH21">
        <f>IFERROR(_xlfn.STDEV.S(INDEX(benchmark!AH:AH, (ROW()-2)*averages!$B21+2):INDEX(benchmark!AH:AH, (ROW()-2)*averages!$B21+averages!$B21+1)), "")</f>
        <v>0</v>
      </c>
      <c r="AI21">
        <f>IFERROR(_xlfn.STDEV.S(INDEX(benchmark!AI:AI, (ROW()-2)*averages!$B21+2):INDEX(benchmark!AI:AI, (ROW()-2)*averages!$B21+averages!$B21+1)), "")</f>
        <v>1.9532184953235536E-5</v>
      </c>
      <c r="AJ21">
        <f>IFERROR(_xlfn.STDEV.S(INDEX(benchmark!AJ:AJ, (ROW()-2)*averages!$B21+2):INDEX(benchmark!AJ:AJ, (ROW()-2)*averages!$B21+averages!$B21+1)), "")</f>
        <v>1.8394404687287733E-5</v>
      </c>
      <c r="AK21" cm="1">
        <f t="array" ref="AK21">IFERROR(_xlfn.STDEV.S(INDEX(benchmark!W:W, (ROW()-2)*$B21+2):INDEX(benchmark!W:W, (ROW()-2)*$B21 + $B21+1) + INDEX(benchmark!AA:AA, (ROW()-2)*$B21+2):INDEX(benchmark!AA:AA, (ROW()-2)*$B21 + $B21+1)), "")</f>
        <v>0.17653142622333418</v>
      </c>
      <c r="AL21" cm="1">
        <f t="array" ref="AL21">IFERROR(_xlfn.STDEV.S(MOD(VALUE(INDEX(benchmark!AJ:AJ, (ROW()-2)*$B21+2):INDEX(benchmark!AJ:AJ, (ROW()-2)*$B21 + $B21+1)) - VALUE(INDEX(benchmark!AI:AI, (ROW()-2)*$B21+2):INDEX(benchmark!AI:AI, (ROW()-2)*$B21 + $B21+1)), 1) * 86400), "")</f>
        <v>0.1672523044186382</v>
      </c>
      <c r="AM21" t="str">
        <f>IFERROR(_xlfn.STDEV.S(INDEX(benchmark!S:S, (ROW()-2)*$B21+2):INDEX(benchmark!S:S, (ROW()-2)*$B21 + $B21+1)), "")</f>
        <v/>
      </c>
    </row>
    <row r="22" spans="1:39" x14ac:dyDescent="0.25">
      <c r="A22" t="str" cm="1">
        <f t="array" ref="A22">INDEX(benchmark!A:A, (ROW()-2)*$B22+2)</f>
        <v>kinematic-car-minos</v>
      </c>
      <c r="B22">
        <f>COUNTIF(benchmark!A:A, benchmark!A22)</f>
        <v>10</v>
      </c>
      <c r="C22" t="str" cm="1">
        <f t="array" ref="C22">INDEX(benchmark!C:C, (ROW()-2)*$B22+2)</f>
        <v/>
      </c>
      <c r="D22" t="str" cm="1">
        <f t="array" ref="D22">INDEX(benchmark!D:D, (ROW()-2)*$B22+2)</f>
        <v/>
      </c>
      <c r="E22" t="str" cm="1">
        <f t="array" ref="E22">INDEX(benchmark!E:E, (ROW()-2)*$B22+2)</f>
        <v>infeasible</v>
      </c>
      <c r="F22">
        <f>IFERROR(_xlfn.STDEV.S(INDEX(benchmark!F:F, (ROW()-2)*averages!$B22+2):INDEX(benchmark!F:F, (ROW()-2)*averages!$B22+averages!$B22+1)), "")</f>
        <v>0</v>
      </c>
      <c r="G22">
        <f>IFERROR(_xlfn.STDEV.S(INDEX(benchmark!G:G, (ROW()-2)*averages!$B22+2):INDEX(benchmark!G:G, (ROW()-2)*averages!$B22+averages!$B22+1)), "")</f>
        <v>0</v>
      </c>
      <c r="H22" t="str">
        <f>IFERROR(_xlfn.STDEV.S(INDEX(benchmark!H:H, (ROW()-2)*averages!$B22+2):INDEX(benchmark!H:H, (ROW()-2)*averages!$B22+averages!$B22+1)), "")</f>
        <v/>
      </c>
      <c r="I22" t="str">
        <f>IFERROR(_xlfn.STDEV.S(INDEX(benchmark!I:I, (ROW()-2)*averages!$B22+2):INDEX(benchmark!I:I, (ROW()-2)*averages!$B22+averages!$B22+1)), "")</f>
        <v/>
      </c>
      <c r="J22" t="str">
        <f>IFERROR(_xlfn.STDEV.S(INDEX(benchmark!J:J, (ROW()-2)*averages!$B22+2):INDEX(benchmark!J:J, (ROW()-2)*averages!$B22+averages!$B22+1)), "")</f>
        <v/>
      </c>
      <c r="K22" t="str">
        <f>IFERROR(_xlfn.STDEV.S(INDEX(benchmark!K:K, (ROW()-2)*averages!$B22+2):INDEX(benchmark!K:K, (ROW()-2)*averages!$B22+averages!$B22+1)), "")</f>
        <v/>
      </c>
      <c r="L22" t="str">
        <f>IFERROR(_xlfn.STDEV.S(INDEX(benchmark!L:L, (ROW()-2)*averages!$B22+2):INDEX(benchmark!L:L, (ROW()-2)*averages!$B22+averages!$B22+1)), "")</f>
        <v/>
      </c>
      <c r="M22" t="str">
        <f>IFERROR(_xlfn.STDEV.S(INDEX(benchmark!M:M, (ROW()-2)*averages!$B22+2):INDEX(benchmark!M:M, (ROW()-2)*averages!$B22+averages!$B22+1)), "")</f>
        <v/>
      </c>
      <c r="N22" t="str">
        <f>IFERROR(_xlfn.STDEV.S(INDEX(benchmark!N:N, (ROW()-2)*averages!$B22+2):INDEX(benchmark!N:N, (ROW()-2)*averages!$B22+averages!$B22+1)), "")</f>
        <v/>
      </c>
      <c r="O22" t="str">
        <f>IFERROR(_xlfn.STDEV.S(INDEX(benchmark!O:O, (ROW()-2)*averages!$B22+2):INDEX(benchmark!O:O, (ROW()-2)*averages!$B22+averages!$B22+1)), "")</f>
        <v/>
      </c>
      <c r="P22" t="str">
        <f>IFERROR(_xlfn.STDEV.S(INDEX(benchmark!P:P, (ROW()-2)*averages!$B22+2):INDEX(benchmark!P:P, (ROW()-2)*averages!$B22+averages!$B22+1)), "")</f>
        <v/>
      </c>
      <c r="Q22" t="str">
        <f>IFERROR(_xlfn.STDEV.S(INDEX(benchmark!Q:Q, (ROW()-2)*averages!$B22+2):INDEX(benchmark!Q:Q, (ROW()-2)*averages!$B22+averages!$B22+1)), "")</f>
        <v/>
      </c>
      <c r="R22" t="str">
        <f>IFERROR(_xlfn.STDEV.S(INDEX(benchmark!R:R, (ROW()-2)*averages!$B22+2):INDEX(benchmark!R:R, (ROW()-2)*averages!$B22+averages!$B22+1)), "")</f>
        <v/>
      </c>
      <c r="S22" t="str">
        <f>IFERROR(_xlfn.STDEV.S(INDEX(benchmark!S:S, (ROW()-2)*averages!$B22+2):INDEX(benchmark!S:S, (ROW()-2)*averages!$B22+averages!$B22+1)), "")</f>
        <v/>
      </c>
      <c r="T22" t="str">
        <f>IFERROR(_xlfn.STDEV.S(INDEX(benchmark!T:T, (ROW()-2)*averages!$B22+2):INDEX(benchmark!T:T, (ROW()-2)*averages!$B22+averages!$B22+1)), "")</f>
        <v/>
      </c>
      <c r="U22" t="str">
        <f>IFERROR(_xlfn.STDEV.S(INDEX(benchmark!U:U, (ROW()-2)*averages!$B22+2):INDEX(benchmark!U:U, (ROW()-2)*averages!$B22+averages!$B22+1)), "")</f>
        <v/>
      </c>
      <c r="V22" t="str">
        <f>IFERROR(_xlfn.STDEV.S(INDEX(benchmark!V:V, (ROW()-2)*averages!$B22+2):INDEX(benchmark!V:V, (ROW()-2)*averages!$B22+averages!$B22+1)), "")</f>
        <v/>
      </c>
      <c r="W22">
        <f>IFERROR(_xlfn.STDEV.S(INDEX(benchmark!W:W, (ROW()-2)*averages!$B22+2):INDEX(benchmark!W:W, (ROW()-2)*averages!$B22+averages!$B22+1)), "")</f>
        <v>1.6893128122931443E-2</v>
      </c>
      <c r="X22">
        <f>IFERROR(_xlfn.STDEV.S(INDEX(benchmark!X:X, (ROW()-2)*averages!$B22+2):INDEX(benchmark!X:X, (ROW()-2)*averages!$B22+averages!$B22+1)), "")</f>
        <v>1.9764235376052371E-2</v>
      </c>
      <c r="Y22">
        <f>IFERROR(_xlfn.STDEV.S(INDEX(benchmark!Y:Y, (ROW()-2)*averages!$B22+2):INDEX(benchmark!Y:Y, (ROW()-2)*averages!$B22+averages!$B22+1)), "")</f>
        <v>2.3524145397158785E-2</v>
      </c>
      <c r="Z22">
        <f>IFERROR(_xlfn.STDEV.S(INDEX(benchmark!Z:Z, (ROW()-2)*averages!$B22+2):INDEX(benchmark!Z:Z, (ROW()-2)*averages!$B22+averages!$B22+1)), "")</f>
        <v>1.0416666666666666E-2</v>
      </c>
      <c r="AA22">
        <f>IFERROR(_xlfn.STDEV.S(INDEX(benchmark!AA:AA, (ROW()-2)*averages!$B22+2):INDEX(benchmark!AA:AA, (ROW()-2)*averages!$B22+averages!$B22+1)), "")</f>
        <v>7.9441732665450376E-2</v>
      </c>
      <c r="AB22">
        <f>IFERROR(_xlfn.STDEV.S(INDEX(benchmark!AB:AB, (ROW()-2)*averages!$B22+2):INDEX(benchmark!AB:AB, (ROW()-2)*averages!$B22+averages!$B22+1)), "")</f>
        <v>1.4823176532039279E-2</v>
      </c>
      <c r="AC22">
        <f>IFERROR(_xlfn.STDEV.S(INDEX(benchmark!AC:AC, (ROW()-2)*averages!$B22+2):INDEX(benchmark!AC:AC, (ROW()-2)*averages!$B22+averages!$B22+1)), "")</f>
        <v>1.3176156917368252E-2</v>
      </c>
      <c r="AD22">
        <f>IFERROR(_xlfn.STDEV.S(INDEX(benchmark!AD:AD, (ROW()-2)*averages!$B22+2):INDEX(benchmark!AD:AD, (ROW()-2)*averages!$B22+averages!$B22+1)), "")</f>
        <v>1.0546071214227381E-2</v>
      </c>
      <c r="AE22">
        <f>IFERROR(_xlfn.STDEV.S(INDEX(benchmark!AE:AE, (ROW()-2)*averages!$B22+2):INDEX(benchmark!AE:AE, (ROW()-2)*averages!$B22+averages!$B22+1)), "")</f>
        <v>0</v>
      </c>
      <c r="AF22">
        <f>IFERROR(_xlfn.STDEV.S(INDEX(benchmark!AF:AF, (ROW()-2)*averages!$B22+2):INDEX(benchmark!AF:AF, (ROW()-2)*averages!$B22+averages!$B22+1)), "")</f>
        <v>0</v>
      </c>
      <c r="AG22">
        <f>IFERROR(_xlfn.STDEV.S(INDEX(benchmark!AG:AG, (ROW()-2)*averages!$B22+2):INDEX(benchmark!AG:AG, (ROW()-2)*averages!$B22+averages!$B22+1)), "")</f>
        <v>0</v>
      </c>
      <c r="AH22">
        <f>IFERROR(_xlfn.STDEV.S(INDEX(benchmark!AH:AH, (ROW()-2)*averages!$B22+2):INDEX(benchmark!AH:AH, (ROW()-2)*averages!$B22+averages!$B22+1)), "")</f>
        <v>0</v>
      </c>
      <c r="AI22">
        <f>IFERROR(_xlfn.STDEV.S(INDEX(benchmark!AI:AI, (ROW()-2)*averages!$B22+2):INDEX(benchmark!AI:AI, (ROW()-2)*averages!$B22+averages!$B22+1)), "")</f>
        <v>2.0999296085813423E-5</v>
      </c>
      <c r="AJ22">
        <f>IFERROR(_xlfn.STDEV.S(INDEX(benchmark!AJ:AJ, (ROW()-2)*averages!$B22+2):INDEX(benchmark!AJ:AJ, (ROW()-2)*averages!$B22+averages!$B22+1)), "")</f>
        <v>2.0606547414217731E-5</v>
      </c>
      <c r="AK22" cm="1">
        <f t="array" ref="AK22">IFERROR(_xlfn.STDEV.S(INDEX(benchmark!W:W, (ROW()-2)*$B22+2):INDEX(benchmark!W:W, (ROW()-2)*$B22 + $B22+1) + INDEX(benchmark!AA:AA, (ROW()-2)*$B22+2):INDEX(benchmark!AA:AA, (ROW()-2)*$B22 + $B22+1)), "")</f>
        <v>7.1222733574173802E-2</v>
      </c>
      <c r="AL22" cm="1">
        <f t="array" ref="AL22">IFERROR(_xlfn.STDEV.S(MOD(VALUE(INDEX(benchmark!AJ:AJ, (ROW()-2)*$B22+2):INDEX(benchmark!AJ:AJ, (ROW()-2)*$B22 + $B22+1)) - VALUE(INDEX(benchmark!AI:AI, (ROW()-2)*$B22+2):INDEX(benchmark!AI:AI, (ROW()-2)*$B22 + $B22+1)), 1) * 86400), "")</f>
        <v>6.2574400161347063E-2</v>
      </c>
      <c r="AM22" t="str">
        <f>IFERROR(_xlfn.STDEV.S(INDEX(benchmark!S:S, (ROW()-2)*$B22+2):INDEX(benchmark!S:S, (ROW()-2)*$B22 + $B22+1)), "")</f>
        <v/>
      </c>
    </row>
    <row r="23" spans="1:39" x14ac:dyDescent="0.25">
      <c r="A23" t="str" cm="1">
        <f t="array" ref="A23">INDEX(benchmark!A:A, (ROW()-2)*$B23+2)</f>
        <v>kinematic-car-snopt</v>
      </c>
      <c r="B23">
        <f>COUNTIF(benchmark!A:A, benchmark!A23)</f>
        <v>10</v>
      </c>
      <c r="C23" t="str" cm="1">
        <f t="array" ref="C23">INDEX(benchmark!C:C, (ROW()-2)*$B23+2)</f>
        <v/>
      </c>
      <c r="D23" t="str" cm="1">
        <f t="array" ref="D23">INDEX(benchmark!D:D, (ROW()-2)*$B23+2)</f>
        <v/>
      </c>
      <c r="E23" t="str" cm="1">
        <f t="array" ref="E23">INDEX(benchmark!E:E, (ROW()-2)*$B23+2)</f>
        <v>infeasible</v>
      </c>
      <c r="F23">
        <f>IFERROR(_xlfn.STDEV.S(INDEX(benchmark!F:F, (ROW()-2)*averages!$B23+2):INDEX(benchmark!F:F, (ROW()-2)*averages!$B23+averages!$B23+1)), "")</f>
        <v>0</v>
      </c>
      <c r="G23">
        <f>IFERROR(_xlfn.STDEV.S(INDEX(benchmark!G:G, (ROW()-2)*averages!$B23+2):INDEX(benchmark!G:G, (ROW()-2)*averages!$B23+averages!$B23+1)), "")</f>
        <v>0</v>
      </c>
      <c r="H23" t="str">
        <f>IFERROR(_xlfn.STDEV.S(INDEX(benchmark!H:H, (ROW()-2)*averages!$B23+2):INDEX(benchmark!H:H, (ROW()-2)*averages!$B23+averages!$B23+1)), "")</f>
        <v/>
      </c>
      <c r="I23" t="str">
        <f>IFERROR(_xlfn.STDEV.S(INDEX(benchmark!I:I, (ROW()-2)*averages!$B23+2):INDEX(benchmark!I:I, (ROW()-2)*averages!$B23+averages!$B23+1)), "")</f>
        <v/>
      </c>
      <c r="J23" t="str">
        <f>IFERROR(_xlfn.STDEV.S(INDEX(benchmark!J:J, (ROW()-2)*averages!$B23+2):INDEX(benchmark!J:J, (ROW()-2)*averages!$B23+averages!$B23+1)), "")</f>
        <v/>
      </c>
      <c r="K23" t="str">
        <f>IFERROR(_xlfn.STDEV.S(INDEX(benchmark!K:K, (ROW()-2)*averages!$B23+2):INDEX(benchmark!K:K, (ROW()-2)*averages!$B23+averages!$B23+1)), "")</f>
        <v/>
      </c>
      <c r="L23" t="str">
        <f>IFERROR(_xlfn.STDEV.S(INDEX(benchmark!L:L, (ROW()-2)*averages!$B23+2):INDEX(benchmark!L:L, (ROW()-2)*averages!$B23+averages!$B23+1)), "")</f>
        <v/>
      </c>
      <c r="M23" t="str">
        <f>IFERROR(_xlfn.STDEV.S(INDEX(benchmark!M:M, (ROW()-2)*averages!$B23+2):INDEX(benchmark!M:M, (ROW()-2)*averages!$B23+averages!$B23+1)), "")</f>
        <v/>
      </c>
      <c r="N23" t="str">
        <f>IFERROR(_xlfn.STDEV.S(INDEX(benchmark!N:N, (ROW()-2)*averages!$B23+2):INDEX(benchmark!N:N, (ROW()-2)*averages!$B23+averages!$B23+1)), "")</f>
        <v/>
      </c>
      <c r="O23" t="str">
        <f>IFERROR(_xlfn.STDEV.S(INDEX(benchmark!O:O, (ROW()-2)*averages!$B23+2):INDEX(benchmark!O:O, (ROW()-2)*averages!$B23+averages!$B23+1)), "")</f>
        <v/>
      </c>
      <c r="P23" t="str">
        <f>IFERROR(_xlfn.STDEV.S(INDEX(benchmark!P:P, (ROW()-2)*averages!$B23+2):INDEX(benchmark!P:P, (ROW()-2)*averages!$B23+averages!$B23+1)), "")</f>
        <v/>
      </c>
      <c r="Q23" t="str">
        <f>IFERROR(_xlfn.STDEV.S(INDEX(benchmark!Q:Q, (ROW()-2)*averages!$B23+2):INDEX(benchmark!Q:Q, (ROW()-2)*averages!$B23+averages!$B23+1)), "")</f>
        <v/>
      </c>
      <c r="R23" t="str">
        <f>IFERROR(_xlfn.STDEV.S(INDEX(benchmark!R:R, (ROW()-2)*averages!$B23+2):INDEX(benchmark!R:R, (ROW()-2)*averages!$B23+averages!$B23+1)), "")</f>
        <v/>
      </c>
      <c r="S23" t="str">
        <f>IFERROR(_xlfn.STDEV.S(INDEX(benchmark!S:S, (ROW()-2)*averages!$B23+2):INDEX(benchmark!S:S, (ROW()-2)*averages!$B23+averages!$B23+1)), "")</f>
        <v/>
      </c>
      <c r="T23" t="str">
        <f>IFERROR(_xlfn.STDEV.S(INDEX(benchmark!T:T, (ROW()-2)*averages!$B23+2):INDEX(benchmark!T:T, (ROW()-2)*averages!$B23+averages!$B23+1)), "")</f>
        <v/>
      </c>
      <c r="U23" t="str">
        <f>IFERROR(_xlfn.STDEV.S(INDEX(benchmark!U:U, (ROW()-2)*averages!$B23+2):INDEX(benchmark!U:U, (ROW()-2)*averages!$B23+averages!$B23+1)), "")</f>
        <v/>
      </c>
      <c r="V23" t="str">
        <f>IFERROR(_xlfn.STDEV.S(INDEX(benchmark!V:V, (ROW()-2)*averages!$B23+2):INDEX(benchmark!V:V, (ROW()-2)*averages!$B23+averages!$B23+1)), "")</f>
        <v/>
      </c>
      <c r="W23">
        <f>IFERROR(_xlfn.STDEV.S(INDEX(benchmark!W:W, (ROW()-2)*averages!$B23+2):INDEX(benchmark!W:W, (ROW()-2)*averages!$B23+averages!$B23+1)), "")</f>
        <v>1.5029230777979888E-2</v>
      </c>
      <c r="X23">
        <f>IFERROR(_xlfn.STDEV.S(INDEX(benchmark!X:X, (ROW()-2)*averages!$B23+2):INDEX(benchmark!X:X, (ROW()-2)*averages!$B23+averages!$B23+1)), "")</f>
        <v>2.14112549907234E-2</v>
      </c>
      <c r="Y23">
        <f>IFERROR(_xlfn.STDEV.S(INDEX(benchmark!Y:Y, (ROW()-2)*averages!$B23+2):INDEX(benchmark!Y:Y, (ROW()-2)*averages!$B23+averages!$B23+1)), "")</f>
        <v>1.0546071214227381E-2</v>
      </c>
      <c r="Z23">
        <f>IFERROR(_xlfn.STDEV.S(INDEX(benchmark!Z:Z, (ROW()-2)*averages!$B23+2):INDEX(benchmark!Z:Z, (ROW()-2)*averages!$B23+averages!$B23+1)), "")</f>
        <v>1.9764235376052375E-2</v>
      </c>
      <c r="AA23">
        <f>IFERROR(_xlfn.STDEV.S(INDEX(benchmark!AA:AA, (ROW()-2)*averages!$B23+2):INDEX(benchmark!AA:AA, (ROW()-2)*averages!$B23+averages!$B23+1)), "")</f>
        <v>5.6188670269607485E-2</v>
      </c>
      <c r="AB23">
        <f>IFERROR(_xlfn.STDEV.S(INDEX(benchmark!AB:AB, (ROW()-2)*averages!$B23+2):INDEX(benchmark!AB:AB, (ROW()-2)*averages!$B23+averages!$B23+1)), "")</f>
        <v>1.6137430609197569E-2</v>
      </c>
      <c r="AC23">
        <f>IFERROR(_xlfn.STDEV.S(INDEX(benchmark!AC:AC, (ROW()-2)*averages!$B23+2):INDEX(benchmark!AC:AC, (ROW()-2)*averages!$B23+averages!$B23+1)), "")</f>
        <v>1.2325166214790868E-2</v>
      </c>
      <c r="AD23">
        <f>IFERROR(_xlfn.STDEV.S(INDEX(benchmark!AD:AD, (ROW()-2)*averages!$B23+2):INDEX(benchmark!AD:AD, (ROW()-2)*averages!$B23+averages!$B23+1)), "")</f>
        <v>2.4650332429581735E-2</v>
      </c>
      <c r="AE23">
        <f>IFERROR(_xlfn.STDEV.S(INDEX(benchmark!AE:AE, (ROW()-2)*averages!$B23+2):INDEX(benchmark!AE:AE, (ROW()-2)*averages!$B23+averages!$B23+1)), "")</f>
        <v>0</v>
      </c>
      <c r="AF23">
        <f>IFERROR(_xlfn.STDEV.S(INDEX(benchmark!AF:AF, (ROW()-2)*averages!$B23+2):INDEX(benchmark!AF:AF, (ROW()-2)*averages!$B23+averages!$B23+1)), "")</f>
        <v>0</v>
      </c>
      <c r="AG23">
        <f>IFERROR(_xlfn.STDEV.S(INDEX(benchmark!AG:AG, (ROW()-2)*averages!$B23+2):INDEX(benchmark!AG:AG, (ROW()-2)*averages!$B23+averages!$B23+1)), "")</f>
        <v>0</v>
      </c>
      <c r="AH23">
        <f>IFERROR(_xlfn.STDEV.S(INDEX(benchmark!AH:AH, (ROW()-2)*averages!$B23+2):INDEX(benchmark!AH:AH, (ROW()-2)*averages!$B23+averages!$B23+1)), "")</f>
        <v>0</v>
      </c>
      <c r="AI23">
        <f>IFERROR(_xlfn.STDEV.S(INDEX(benchmark!AI:AI, (ROW()-2)*averages!$B23+2):INDEX(benchmark!AI:AI, (ROW()-2)*averages!$B23+averages!$B23+1)), "")</f>
        <v>1.8569310488778596E-5</v>
      </c>
      <c r="AJ23">
        <f>IFERROR(_xlfn.STDEV.S(INDEX(benchmark!AJ:AJ, (ROW()-2)*averages!$B23+2):INDEX(benchmark!AJ:AJ, (ROW()-2)*averages!$B23+averages!$B23+1)), "")</f>
        <v>1.8363241104879345E-5</v>
      </c>
      <c r="AK23" cm="1">
        <f t="array" ref="AK23">IFERROR(_xlfn.STDEV.S(INDEX(benchmark!W:W, (ROW()-2)*$B23+2):INDEX(benchmark!W:W, (ROW()-2)*$B23 + $B23+1) + INDEX(benchmark!AA:AA, (ROW()-2)*$B23+2):INDEX(benchmark!AA:AA, (ROW()-2)*$B23 + $B23+1)), "")</f>
        <v>4.7133851953770935E-2</v>
      </c>
      <c r="AL23" cm="1">
        <f t="array" ref="AL23">IFERROR(_xlfn.STDEV.S(MOD(VALUE(INDEX(benchmark!AJ:AJ, (ROW()-2)*$B23+2):INDEX(benchmark!AJ:AJ, (ROW()-2)*$B23 + $B23+1)) - VALUE(INDEX(benchmark!AI:AI, (ROW()-2)*$B23+2):INDEX(benchmark!AI:AI, (ROW()-2)*$B23 + $B23+1)), 1) * 86400), "")</f>
        <v>4.5018514709732983E-2</v>
      </c>
      <c r="AM23" t="str">
        <f>IFERROR(_xlfn.STDEV.S(INDEX(benchmark!S:S, (ROW()-2)*$B23+2):INDEX(benchmark!S:S, (ROW()-2)*$B23 + $B23+1)), "")</f>
        <v/>
      </c>
    </row>
    <row r="24" spans="1:39" x14ac:dyDescent="0.25">
      <c r="A24" t="str" cm="1">
        <f t="array" ref="A24">INDEX(benchmark!A:A, (ROW()-2)*$B24+2)</f>
        <v>moving-block</v>
      </c>
      <c r="B24">
        <f>COUNTIF(benchmark!A:A, benchmark!A24)</f>
        <v>10</v>
      </c>
      <c r="C24" t="str" cm="1">
        <f t="array" ref="C24">INDEX(benchmark!C:C, (ROW()-2)*$B24+2)</f>
        <v>Ipopt</v>
      </c>
      <c r="D24" t="str" cm="1">
        <f t="array" ref="D24">INDEX(benchmark!D:D, (ROW()-2)*$B24+2)</f>
        <v>3.12.13</v>
      </c>
      <c r="E24" t="str" cm="1">
        <f t="array" ref="E24">INDEX(benchmark!E:E, (ROW()-2)*$B24+2)</f>
        <v>solved</v>
      </c>
      <c r="F24">
        <f>IFERROR(_xlfn.STDEV.S(INDEX(benchmark!F:F, (ROW()-2)*averages!$B24+2):INDEX(benchmark!F:F, (ROW()-2)*averages!$B24+averages!$B24+1)), "")</f>
        <v>0</v>
      </c>
      <c r="G24">
        <f>IFERROR(_xlfn.STDEV.S(INDEX(benchmark!G:G, (ROW()-2)*averages!$B24+2):INDEX(benchmark!G:G, (ROW()-2)*averages!$B24+averages!$B24+1)), "")</f>
        <v>1.8724445165742407E-15</v>
      </c>
      <c r="H24" t="str">
        <f>IFERROR(_xlfn.STDEV.S(INDEX(benchmark!H:H, (ROW()-2)*averages!$B24+2):INDEX(benchmark!H:H, (ROW()-2)*averages!$B24+averages!$B24+1)), "")</f>
        <v/>
      </c>
      <c r="I24">
        <f>IFERROR(_xlfn.STDEV.S(INDEX(benchmark!I:I, (ROW()-2)*averages!$B24+2):INDEX(benchmark!I:I, (ROW()-2)*averages!$B24+averages!$B24+1)), "")</f>
        <v>0</v>
      </c>
      <c r="J24">
        <f>IFERROR(_xlfn.STDEV.S(INDEX(benchmark!J:J, (ROW()-2)*averages!$B24+2):INDEX(benchmark!J:J, (ROW()-2)*averages!$B24+averages!$B24+1)), "")</f>
        <v>0</v>
      </c>
      <c r="K24">
        <f>IFERROR(_xlfn.STDEV.S(INDEX(benchmark!K:K, (ROW()-2)*averages!$B24+2):INDEX(benchmark!K:K, (ROW()-2)*averages!$B24+averages!$B24+1)), "")</f>
        <v>0</v>
      </c>
      <c r="L24">
        <f>IFERROR(_xlfn.STDEV.S(INDEX(benchmark!L:L, (ROW()-2)*averages!$B24+2):INDEX(benchmark!L:L, (ROW()-2)*averages!$B24+averages!$B24+1)), "")</f>
        <v>0</v>
      </c>
      <c r="M24">
        <f>IFERROR(_xlfn.STDEV.S(INDEX(benchmark!M:M, (ROW()-2)*averages!$B24+2):INDEX(benchmark!M:M, (ROW()-2)*averages!$B24+averages!$B24+1)), "")</f>
        <v>0</v>
      </c>
      <c r="N24">
        <f>IFERROR(_xlfn.STDEV.S(INDEX(benchmark!N:N, (ROW()-2)*averages!$B24+2):INDEX(benchmark!N:N, (ROW()-2)*averages!$B24+averages!$B24+1)), "")</f>
        <v>0</v>
      </c>
      <c r="O24">
        <f>IFERROR(_xlfn.STDEV.S(INDEX(benchmark!O:O, (ROW()-2)*averages!$B24+2):INDEX(benchmark!O:O, (ROW()-2)*averages!$B24+averages!$B24+1)), "")</f>
        <v>0</v>
      </c>
      <c r="P24">
        <f>IFERROR(_xlfn.STDEV.S(INDEX(benchmark!P:P, (ROW()-2)*averages!$B24+2):INDEX(benchmark!P:P, (ROW()-2)*averages!$B24+averages!$B24+1)), "")</f>
        <v>0</v>
      </c>
      <c r="Q24">
        <f>IFERROR(_xlfn.STDEV.S(INDEX(benchmark!Q:Q, (ROW()-2)*averages!$B24+2):INDEX(benchmark!Q:Q, (ROW()-2)*averages!$B24+averages!$B24+1)), "")</f>
        <v>0</v>
      </c>
      <c r="R24">
        <f>IFERROR(_xlfn.STDEV.S(INDEX(benchmark!R:R, (ROW()-2)*averages!$B24+2):INDEX(benchmark!R:R, (ROW()-2)*averages!$B24+averages!$B24+1)), "")</f>
        <v>5.1639777949432221E-4</v>
      </c>
      <c r="S24">
        <f>IFERROR(_xlfn.STDEV.S(INDEX(benchmark!S:S, (ROW()-2)*averages!$B24+2):INDEX(benchmark!S:S, (ROW()-2)*averages!$B24+averages!$B24+1)), "")</f>
        <v>0</v>
      </c>
      <c r="T24">
        <f>IFERROR(_xlfn.STDEV.S(INDEX(benchmark!T:T, (ROW()-2)*averages!$B24+2):INDEX(benchmark!T:T, (ROW()-2)*averages!$B24+averages!$B24+1)), "")</f>
        <v>0</v>
      </c>
      <c r="U24">
        <f>IFERROR(_xlfn.STDEV.S(INDEX(benchmark!U:U, (ROW()-2)*averages!$B24+2):INDEX(benchmark!U:U, (ROW()-2)*averages!$B24+averages!$B24+1)), "")</f>
        <v>0</v>
      </c>
      <c r="V24">
        <f>IFERROR(_xlfn.STDEV.S(INDEX(benchmark!V:V, (ROW()-2)*averages!$B24+2):INDEX(benchmark!V:V, (ROW()-2)*averages!$B24+averages!$B24+1)), "")</f>
        <v>0</v>
      </c>
      <c r="W24">
        <f>IFERROR(_xlfn.STDEV.S(INDEX(benchmark!W:W, (ROW()-2)*averages!$B24+2):INDEX(benchmark!W:W, (ROW()-2)*averages!$B24+averages!$B24+1)), "")</f>
        <v>1.9368932741779084E-2</v>
      </c>
      <c r="X24">
        <f>IFERROR(_xlfn.STDEV.S(INDEX(benchmark!X:X, (ROW()-2)*averages!$B24+2):INDEX(benchmark!X:X, (ROW()-2)*averages!$B24+averages!$B24+1)), "")</f>
        <v>7.5475920553069982E-3</v>
      </c>
      <c r="Y24">
        <f>IFERROR(_xlfn.STDEV.S(INDEX(benchmark!Y:Y, (ROW()-2)*averages!$B24+2):INDEX(benchmark!Y:Y, (ROW()-2)*averages!$B24+averages!$B24+1)), "")</f>
        <v>1.2325166214790868E-2</v>
      </c>
      <c r="Z24">
        <f>IFERROR(_xlfn.STDEV.S(INDEX(benchmark!Z:Z, (ROW()-2)*averages!$B24+2):INDEX(benchmark!Z:Z, (ROW()-2)*averages!$B24+averages!$B24+1)), "")</f>
        <v>8.235098073355155E-3</v>
      </c>
      <c r="AA24">
        <f>IFERROR(_xlfn.STDEV.S(INDEX(benchmark!AA:AA, (ROW()-2)*averages!$B24+2):INDEX(benchmark!AA:AA, (ROW()-2)*averages!$B24+averages!$B24+1)), "")</f>
        <v>6.498717822257952E-3</v>
      </c>
      <c r="AB24">
        <f>IFERROR(_xlfn.STDEV.S(INDEX(benchmark!AB:AB, (ROW()-2)*averages!$B24+2):INDEX(benchmark!AB:AB, (ROW()-2)*averages!$B24+averages!$B24+1)), "")</f>
        <v>1.2325166214790868E-2</v>
      </c>
      <c r="AC24">
        <f>IFERROR(_xlfn.STDEV.S(INDEX(benchmark!AC:AC, (ROW()-2)*averages!$B24+2):INDEX(benchmark!AC:AC, (ROW()-2)*averages!$B24+averages!$B24+1)), "")</f>
        <v>6.5880784586841235E-3</v>
      </c>
      <c r="AD24">
        <f>IFERROR(_xlfn.STDEV.S(INDEX(benchmark!AD:AD, (ROW()-2)*averages!$B24+2):INDEX(benchmark!AD:AD, (ROW()-2)*averages!$B24+averages!$B24+1)), "")</f>
        <v>1.2757759076995719E-2</v>
      </c>
      <c r="AE24">
        <f>IFERROR(_xlfn.STDEV.S(INDEX(benchmark!AE:AE, (ROW()-2)*averages!$B24+2):INDEX(benchmark!AE:AE, (ROW()-2)*averages!$B24+averages!$B24+1)), "")</f>
        <v>0</v>
      </c>
      <c r="AF24">
        <f>IFERROR(_xlfn.STDEV.S(INDEX(benchmark!AF:AF, (ROW()-2)*averages!$B24+2):INDEX(benchmark!AF:AF, (ROW()-2)*averages!$B24+averages!$B24+1)), "")</f>
        <v>0</v>
      </c>
      <c r="AG24">
        <f>IFERROR(_xlfn.STDEV.S(INDEX(benchmark!AG:AG, (ROW()-2)*averages!$B24+2):INDEX(benchmark!AG:AG, (ROW()-2)*averages!$B24+averages!$B24+1)), "")</f>
        <v>0</v>
      </c>
      <c r="AH24">
        <f>IFERROR(_xlfn.STDEV.S(INDEX(benchmark!AH:AH, (ROW()-2)*averages!$B24+2):INDEX(benchmark!AH:AH, (ROW()-2)*averages!$B24+averages!$B24+1)), "")</f>
        <v>0</v>
      </c>
      <c r="AI24">
        <f>IFERROR(_xlfn.STDEV.S(INDEX(benchmark!AI:AI, (ROW()-2)*averages!$B24+2):INDEX(benchmark!AI:AI, (ROW()-2)*averages!$B24+averages!$B24+1)), "")</f>
        <v>1.7184046482790741E-5</v>
      </c>
      <c r="AJ24">
        <f>IFERROR(_xlfn.STDEV.S(INDEX(benchmark!AJ:AJ, (ROW()-2)*averages!$B24+2):INDEX(benchmark!AJ:AJ, (ROW()-2)*averages!$B24+averages!$B24+1)), "")</f>
        <v>1.7224617764498115E-5</v>
      </c>
      <c r="AK24" cm="1">
        <f t="array" ref="AK24">IFERROR(_xlfn.STDEV.S(INDEX(benchmark!W:W, (ROW()-2)*$B24+2):INDEX(benchmark!W:W, (ROW()-2)*$B24 + $B24+1) + INDEX(benchmark!AA:AA, (ROW()-2)*$B24+2):INDEX(benchmark!AA:AA, (ROW()-2)*$B24 + $B24+1)), "")</f>
        <v>1.5029230777979876E-2</v>
      </c>
      <c r="AL24" cm="1">
        <f t="array" ref="AL24">IFERROR(_xlfn.STDEV.S(MOD(VALUE(INDEX(benchmark!AJ:AJ, (ROW()-2)*$B24+2):INDEX(benchmark!AJ:AJ, (ROW()-2)*$B24 + $B24+1)) - VALUE(INDEX(benchmark!AI:AI, (ROW()-2)*$B24+2):INDEX(benchmark!AI:AI, (ROW()-2)*$B24 + $B24+1)), 1) * 86400), "")</f>
        <v>1.370320319403851E-2</v>
      </c>
      <c r="AM24">
        <f>IFERROR(_xlfn.STDEV.S(INDEX(benchmark!S:S, (ROW()-2)*$B24+2):INDEX(benchmark!S:S, (ROW()-2)*$B24 + $B24+1)), "")</f>
        <v>0</v>
      </c>
    </row>
    <row r="25" spans="1:39" x14ac:dyDescent="0.25">
      <c r="A25" t="str" cm="1">
        <f t="array" ref="A25">INDEX(benchmark!A:A, (ROW()-2)*$B25+2)</f>
        <v>spot-col3</v>
      </c>
      <c r="B25">
        <f>COUNTIF(benchmark!A:A, benchmark!A25)</f>
        <v>10</v>
      </c>
      <c r="C25" t="str" cm="1">
        <f t="array" ref="C25">INDEX(benchmark!C:C, (ROW()-2)*$B25+2)</f>
        <v>Ipopt</v>
      </c>
      <c r="D25" t="str" cm="1">
        <f t="array" ref="D25">INDEX(benchmark!D:D, (ROW()-2)*$B25+2)</f>
        <v>3.12.13</v>
      </c>
      <c r="E25" t="str" cm="1">
        <f t="array" ref="E25">INDEX(benchmark!E:E, (ROW()-2)*$B25+2)</f>
        <v>solved</v>
      </c>
      <c r="F25">
        <f>IFERROR(_xlfn.STDEV.S(INDEX(benchmark!F:F, (ROW()-2)*averages!$B25+2):INDEX(benchmark!F:F, (ROW()-2)*averages!$B25+averages!$B25+1)), "")</f>
        <v>0</v>
      </c>
      <c r="G25">
        <f>IFERROR(_xlfn.STDEV.S(INDEX(benchmark!G:G, (ROW()-2)*averages!$B25+2):INDEX(benchmark!G:G, (ROW()-2)*averages!$B25+averages!$B25+1)), "")</f>
        <v>0</v>
      </c>
      <c r="H25">
        <f>IFERROR(_xlfn.STDEV.S(INDEX(benchmark!H:H, (ROW()-2)*averages!$B25+2):INDEX(benchmark!H:H, (ROW()-2)*averages!$B25+averages!$B25+1)), "")</f>
        <v>0</v>
      </c>
      <c r="I25">
        <f>IFERROR(_xlfn.STDEV.S(INDEX(benchmark!I:I, (ROW()-2)*averages!$B25+2):INDEX(benchmark!I:I, (ROW()-2)*averages!$B25+averages!$B25+1)), "")</f>
        <v>0</v>
      </c>
      <c r="J25">
        <f>IFERROR(_xlfn.STDEV.S(INDEX(benchmark!J:J, (ROW()-2)*averages!$B25+2):INDEX(benchmark!J:J, (ROW()-2)*averages!$B25+averages!$B25+1)), "")</f>
        <v>0</v>
      </c>
      <c r="K25">
        <f>IFERROR(_xlfn.STDEV.S(INDEX(benchmark!K:K, (ROW()-2)*averages!$B25+2):INDEX(benchmark!K:K, (ROW()-2)*averages!$B25+averages!$B25+1)), "")</f>
        <v>0</v>
      </c>
      <c r="L25">
        <f>IFERROR(_xlfn.STDEV.S(INDEX(benchmark!L:L, (ROW()-2)*averages!$B25+2):INDEX(benchmark!L:L, (ROW()-2)*averages!$B25+averages!$B25+1)), "")</f>
        <v>0</v>
      </c>
      <c r="M25">
        <f>IFERROR(_xlfn.STDEV.S(INDEX(benchmark!M:M, (ROW()-2)*averages!$B25+2):INDEX(benchmark!M:M, (ROW()-2)*averages!$B25+averages!$B25+1)), "")</f>
        <v>0</v>
      </c>
      <c r="N25">
        <f>IFERROR(_xlfn.STDEV.S(INDEX(benchmark!N:N, (ROW()-2)*averages!$B25+2):INDEX(benchmark!N:N, (ROW()-2)*averages!$B25+averages!$B25+1)), "")</f>
        <v>0</v>
      </c>
      <c r="O25">
        <f>IFERROR(_xlfn.STDEV.S(INDEX(benchmark!O:O, (ROW()-2)*averages!$B25+2):INDEX(benchmark!O:O, (ROW()-2)*averages!$B25+averages!$B25+1)), "")</f>
        <v>0</v>
      </c>
      <c r="P25">
        <f>IFERROR(_xlfn.STDEV.S(INDEX(benchmark!P:P, (ROW()-2)*averages!$B25+2):INDEX(benchmark!P:P, (ROW()-2)*averages!$B25+averages!$B25+1)), "")</f>
        <v>0</v>
      </c>
      <c r="Q25">
        <f>IFERROR(_xlfn.STDEV.S(INDEX(benchmark!Q:Q, (ROW()-2)*averages!$B25+2):INDEX(benchmark!Q:Q, (ROW()-2)*averages!$B25+averages!$B25+1)), "")</f>
        <v>0</v>
      </c>
      <c r="R25">
        <f>IFERROR(_xlfn.STDEV.S(INDEX(benchmark!R:R, (ROW()-2)*averages!$B25+2):INDEX(benchmark!R:R, (ROW()-2)*averages!$B25+averages!$B25+1)), "")</f>
        <v>0.3941249096979848</v>
      </c>
      <c r="S25">
        <f>IFERROR(_xlfn.STDEV.S(INDEX(benchmark!S:S, (ROW()-2)*averages!$B25+2):INDEX(benchmark!S:S, (ROW()-2)*averages!$B25+averages!$B25+1)), "")</f>
        <v>1.1963879387556533</v>
      </c>
      <c r="T25">
        <f>IFERROR(_xlfn.STDEV.S(INDEX(benchmark!T:T, (ROW()-2)*averages!$B25+2):INDEX(benchmark!T:T, (ROW()-2)*averages!$B25+averages!$B25+1)), "")</f>
        <v>0</v>
      </c>
      <c r="U25">
        <f>IFERROR(_xlfn.STDEV.S(INDEX(benchmark!U:U, (ROW()-2)*averages!$B25+2):INDEX(benchmark!U:U, (ROW()-2)*averages!$B25+averages!$B25+1)), "")</f>
        <v>0</v>
      </c>
      <c r="V25">
        <f>IFERROR(_xlfn.STDEV.S(INDEX(benchmark!V:V, (ROW()-2)*averages!$B25+2):INDEX(benchmark!V:V, (ROW()-2)*averages!$B25+averages!$B25+1)), "")</f>
        <v>0</v>
      </c>
      <c r="W25">
        <f>IFERROR(_xlfn.STDEV.S(INDEX(benchmark!W:W, (ROW()-2)*averages!$B25+2):INDEX(benchmark!W:W, (ROW()-2)*averages!$B25+averages!$B25+1)), "")</f>
        <v>0.78097233554645595</v>
      </c>
      <c r="X25">
        <f>IFERROR(_xlfn.STDEV.S(INDEX(benchmark!X:X, (ROW()-2)*averages!$B25+2):INDEX(benchmark!X:X, (ROW()-2)*averages!$B25+averages!$B25+1)), "")</f>
        <v>0.18179993200707686</v>
      </c>
      <c r="Y25">
        <f>IFERROR(_xlfn.STDEV.S(INDEX(benchmark!Y:Y, (ROW()-2)*averages!$B25+2):INDEX(benchmark!Y:Y, (ROW()-2)*averages!$B25+averages!$B25+1)), "")</f>
        <v>0.56682366085053293</v>
      </c>
      <c r="Z25">
        <f>IFERROR(_xlfn.STDEV.S(INDEX(benchmark!Z:Z, (ROW()-2)*averages!$B25+2):INDEX(benchmark!Z:Z, (ROW()-2)*averages!$B25+averages!$B25+1)), "")</f>
        <v>0.61556242631795233</v>
      </c>
      <c r="AA25">
        <f>IFERROR(_xlfn.STDEV.S(INDEX(benchmark!AA:AA, (ROW()-2)*averages!$B25+2):INDEX(benchmark!AA:AA, (ROW()-2)*averages!$B25+averages!$B25+1)), "")</f>
        <v>1.545376189368362</v>
      </c>
      <c r="AB25">
        <f>IFERROR(_xlfn.STDEV.S(INDEX(benchmark!AB:AB, (ROW()-2)*averages!$B25+2):INDEX(benchmark!AB:AB, (ROW()-2)*averages!$B25+averages!$B25+1)), "")</f>
        <v>0.43063815291959423</v>
      </c>
      <c r="AC25">
        <f>IFERROR(_xlfn.STDEV.S(INDEX(benchmark!AC:AC, (ROW()-2)*averages!$B25+2):INDEX(benchmark!AC:AC, (ROW()-2)*averages!$B25+averages!$B25+1)), "")</f>
        <v>1.8172650486223645</v>
      </c>
      <c r="AD25">
        <f>IFERROR(_xlfn.STDEV.S(INDEX(benchmark!AD:AD, (ROW()-2)*averages!$B25+2):INDEX(benchmark!AD:AD, (ROW()-2)*averages!$B25+averages!$B25+1)), "")</f>
        <v>1.6506259334634912</v>
      </c>
      <c r="AE25">
        <f>IFERROR(_xlfn.STDEV.S(INDEX(benchmark!AE:AE, (ROW()-2)*averages!$B25+2):INDEX(benchmark!AE:AE, (ROW()-2)*averages!$B25+averages!$B25+1)), "")</f>
        <v>0</v>
      </c>
      <c r="AF25">
        <f>IFERROR(_xlfn.STDEV.S(INDEX(benchmark!AF:AF, (ROW()-2)*averages!$B25+2):INDEX(benchmark!AF:AF, (ROW()-2)*averages!$B25+averages!$B25+1)), "")</f>
        <v>0</v>
      </c>
      <c r="AG25">
        <f>IFERROR(_xlfn.STDEV.S(INDEX(benchmark!AG:AG, (ROW()-2)*averages!$B25+2):INDEX(benchmark!AG:AG, (ROW()-2)*averages!$B25+averages!$B25+1)), "")</f>
        <v>0</v>
      </c>
      <c r="AH25">
        <f>IFERROR(_xlfn.STDEV.S(INDEX(benchmark!AH:AH, (ROW()-2)*averages!$B25+2):INDEX(benchmark!AH:AH, (ROW()-2)*averages!$B25+averages!$B25+1)), "")</f>
        <v>0</v>
      </c>
      <c r="AI25">
        <f>IFERROR(_xlfn.STDEV.S(INDEX(benchmark!AI:AI, (ROW()-2)*averages!$B25+2):INDEX(benchmark!AI:AI, (ROW()-2)*averages!$B25+averages!$B25+1)), "")</f>
        <v>7.0349723614935447E-3</v>
      </c>
      <c r="AJ25">
        <f>IFERROR(_xlfn.STDEV.S(INDEX(benchmark!AJ:AJ, (ROW()-2)*averages!$B25+2):INDEX(benchmark!AJ:AJ, (ROW()-2)*averages!$B25+averages!$B25+1)), "")</f>
        <v>7.0207522775114634E-3</v>
      </c>
      <c r="AK25" cm="1">
        <f t="array" ref="AK25">IFERROR(_xlfn.STDEV.S(INDEX(benchmark!W:W, (ROW()-2)*$B25+2):INDEX(benchmark!W:W, (ROW()-2)*$B25 + $B25+1) + INDEX(benchmark!AA:AA, (ROW()-2)*$B25+2):INDEX(benchmark!AA:AA, (ROW()-2)*$B25 + $B25+1)), "")</f>
        <v>2.1081676087699179</v>
      </c>
      <c r="AL25" cm="1">
        <f t="array" ref="AL25">IFERROR(_xlfn.STDEV.S(MOD(VALUE(INDEX(benchmark!AJ:AJ, (ROW()-2)*$B25+2):INDEX(benchmark!AJ:AJ, (ROW()-2)*$B25 + $B25+1)) - VALUE(INDEX(benchmark!AI:AI, (ROW()-2)*$B25+2):INDEX(benchmark!AI:AI, (ROW()-2)*$B25 + $B25+1)), 1) * 86400), "")</f>
        <v>2.1104038581380871</v>
      </c>
      <c r="AM25">
        <f>IFERROR(_xlfn.STDEV.S(INDEX(benchmark!S:S, (ROW()-2)*$B25+2):INDEX(benchmark!S:S, (ROW()-2)*$B25 + $B25+1)), "")</f>
        <v>1.1963879387556533</v>
      </c>
    </row>
    <row r="26" spans="1:39" x14ac:dyDescent="0.25">
      <c r="A26" t="str" cm="1">
        <f t="array" ref="A26">INDEX(benchmark!A:A, (ROW()-2)*$B26+2)</f>
        <v>spot-rk1</v>
      </c>
      <c r="B26">
        <f>COUNTIF(benchmark!A:A, benchmark!A26)</f>
        <v>10</v>
      </c>
      <c r="C26" t="str" cm="1">
        <f t="array" ref="C26">INDEX(benchmark!C:C, (ROW()-2)*$B26+2)</f>
        <v>Ipopt</v>
      </c>
      <c r="D26" t="str" cm="1">
        <f t="array" ref="D26">INDEX(benchmark!D:D, (ROW()-2)*$B26+2)</f>
        <v>3.12.13</v>
      </c>
      <c r="E26" t="str" cm="1">
        <f t="array" ref="E26">INDEX(benchmark!E:E, (ROW()-2)*$B26+2)</f>
        <v>solved</v>
      </c>
      <c r="F26">
        <f>IFERROR(_xlfn.STDEV.S(INDEX(benchmark!F:F, (ROW()-2)*averages!$B26+2):INDEX(benchmark!F:F, (ROW()-2)*averages!$B26+averages!$B26+1)), "")</f>
        <v>0</v>
      </c>
      <c r="G26">
        <f>IFERROR(_xlfn.STDEV.S(INDEX(benchmark!G:G, (ROW()-2)*averages!$B26+2):INDEX(benchmark!G:G, (ROW()-2)*averages!$B26+averages!$B26+1)), "")</f>
        <v>0</v>
      </c>
      <c r="H26">
        <f>IFERROR(_xlfn.STDEV.S(INDEX(benchmark!H:H, (ROW()-2)*averages!$B26+2):INDEX(benchmark!H:H, (ROW()-2)*averages!$B26+averages!$B26+1)), "")</f>
        <v>1.9173831849720224E-12</v>
      </c>
      <c r="I26">
        <f>IFERROR(_xlfn.STDEV.S(INDEX(benchmark!I:I, (ROW()-2)*averages!$B26+2):INDEX(benchmark!I:I, (ROW()-2)*averages!$B26+averages!$B26+1)), "")</f>
        <v>0</v>
      </c>
      <c r="J26">
        <f>IFERROR(_xlfn.STDEV.S(INDEX(benchmark!J:J, (ROW()-2)*averages!$B26+2):INDEX(benchmark!J:J, (ROW()-2)*averages!$B26+averages!$B26+1)), "")</f>
        <v>0</v>
      </c>
      <c r="K26">
        <f>IFERROR(_xlfn.STDEV.S(INDEX(benchmark!K:K, (ROW()-2)*averages!$B26+2):INDEX(benchmark!K:K, (ROW()-2)*averages!$B26+averages!$B26+1)), "")</f>
        <v>0</v>
      </c>
      <c r="L26">
        <f>IFERROR(_xlfn.STDEV.S(INDEX(benchmark!L:L, (ROW()-2)*averages!$B26+2):INDEX(benchmark!L:L, (ROW()-2)*averages!$B26+averages!$B26+1)), "")</f>
        <v>0</v>
      </c>
      <c r="M26">
        <f>IFERROR(_xlfn.STDEV.S(INDEX(benchmark!M:M, (ROW()-2)*averages!$B26+2):INDEX(benchmark!M:M, (ROW()-2)*averages!$B26+averages!$B26+1)), "")</f>
        <v>0</v>
      </c>
      <c r="N26">
        <f>IFERROR(_xlfn.STDEV.S(INDEX(benchmark!N:N, (ROW()-2)*averages!$B26+2):INDEX(benchmark!N:N, (ROW()-2)*averages!$B26+averages!$B26+1)), "")</f>
        <v>0</v>
      </c>
      <c r="O26">
        <f>IFERROR(_xlfn.STDEV.S(INDEX(benchmark!O:O, (ROW()-2)*averages!$B26+2):INDEX(benchmark!O:O, (ROW()-2)*averages!$B26+averages!$B26+1)), "")</f>
        <v>0</v>
      </c>
      <c r="P26">
        <f>IFERROR(_xlfn.STDEV.S(INDEX(benchmark!P:P, (ROW()-2)*averages!$B26+2):INDEX(benchmark!P:P, (ROW()-2)*averages!$B26+averages!$B26+1)), "")</f>
        <v>0</v>
      </c>
      <c r="Q26">
        <f>IFERROR(_xlfn.STDEV.S(INDEX(benchmark!Q:Q, (ROW()-2)*averages!$B26+2):INDEX(benchmark!Q:Q, (ROW()-2)*averages!$B26+averages!$B26+1)), "")</f>
        <v>0</v>
      </c>
      <c r="R26">
        <f>IFERROR(_xlfn.STDEV.S(INDEX(benchmark!R:R, (ROW()-2)*averages!$B26+2):INDEX(benchmark!R:R, (ROW()-2)*averages!$B26+averages!$B26+1)), "")</f>
        <v>0.67596791508341636</v>
      </c>
      <c r="S26">
        <f>IFERROR(_xlfn.STDEV.S(INDEX(benchmark!S:S, (ROW()-2)*averages!$B26+2):INDEX(benchmark!S:S, (ROW()-2)*averages!$B26+averages!$B26+1)), "")</f>
        <v>3.8416228399524672</v>
      </c>
      <c r="T26">
        <f>IFERROR(_xlfn.STDEV.S(INDEX(benchmark!T:T, (ROW()-2)*averages!$B26+2):INDEX(benchmark!T:T, (ROW()-2)*averages!$B26+averages!$B26+1)), "")</f>
        <v>0</v>
      </c>
      <c r="U26">
        <f>IFERROR(_xlfn.STDEV.S(INDEX(benchmark!U:U, (ROW()-2)*averages!$B26+2):INDEX(benchmark!U:U, (ROW()-2)*averages!$B26+averages!$B26+1)), "")</f>
        <v>0</v>
      </c>
      <c r="V26">
        <f>IFERROR(_xlfn.STDEV.S(INDEX(benchmark!V:V, (ROW()-2)*averages!$B26+2):INDEX(benchmark!V:V, (ROW()-2)*averages!$B26+averages!$B26+1)), "")</f>
        <v>0</v>
      </c>
      <c r="W26">
        <f>IFERROR(_xlfn.STDEV.S(INDEX(benchmark!W:W, (ROW()-2)*averages!$B26+2):INDEX(benchmark!W:W, (ROW()-2)*averages!$B26+averages!$B26+1)), "")</f>
        <v>0.27077469108712904</v>
      </c>
      <c r="X26">
        <f>IFERROR(_xlfn.STDEV.S(INDEX(benchmark!X:X, (ROW()-2)*averages!$B26+2):INDEX(benchmark!X:X, (ROW()-2)*averages!$B26+averages!$B26+1)), "")</f>
        <v>5.2730356071136943E-2</v>
      </c>
      <c r="Y26">
        <f>IFERROR(_xlfn.STDEV.S(INDEX(benchmark!Y:Y, (ROW()-2)*averages!$B26+2):INDEX(benchmark!Y:Y, (ROW()-2)*averages!$B26+averages!$B26+1)), "")</f>
        <v>9.5768207037443626E-2</v>
      </c>
      <c r="Z26">
        <f>IFERROR(_xlfn.STDEV.S(INDEX(benchmark!Z:Z, (ROW()-2)*averages!$B26+2):INDEX(benchmark!Z:Z, (ROW()-2)*averages!$B26+averages!$B26+1)), "")</f>
        <v>0.1131060066928366</v>
      </c>
      <c r="AA26">
        <f>IFERROR(_xlfn.STDEV.S(INDEX(benchmark!AA:AA, (ROW()-2)*averages!$B26+2):INDEX(benchmark!AA:AA, (ROW()-2)*averages!$B26+averages!$B26+1)), "")</f>
        <v>4.3532278968855076</v>
      </c>
      <c r="AB26">
        <f>IFERROR(_xlfn.STDEV.S(INDEX(benchmark!AB:AB, (ROW()-2)*averages!$B26+2):INDEX(benchmark!AB:AB, (ROW()-2)*averages!$B26+averages!$B26+1)), "")</f>
        <v>0.42694357469368521</v>
      </c>
      <c r="AC26">
        <f>IFERROR(_xlfn.STDEV.S(INDEX(benchmark!AC:AC, (ROW()-2)*averages!$B26+2):INDEX(benchmark!AC:AC, (ROW()-2)*averages!$B26+averages!$B26+1)), "")</f>
        <v>4.5393799790960498</v>
      </c>
      <c r="AD26">
        <f>IFERROR(_xlfn.STDEV.S(INDEX(benchmark!AD:AD, (ROW()-2)*averages!$B26+2):INDEX(benchmark!AD:AD, (ROW()-2)*averages!$B26+averages!$B26+1)), "")</f>
        <v>4.4746770741065465</v>
      </c>
      <c r="AE26">
        <f>IFERROR(_xlfn.STDEV.S(INDEX(benchmark!AE:AE, (ROW()-2)*averages!$B26+2):INDEX(benchmark!AE:AE, (ROW()-2)*averages!$B26+averages!$B26+1)), "")</f>
        <v>0</v>
      </c>
      <c r="AF26">
        <f>IFERROR(_xlfn.STDEV.S(INDEX(benchmark!AF:AF, (ROW()-2)*averages!$B26+2):INDEX(benchmark!AF:AF, (ROW()-2)*averages!$B26+averages!$B26+1)), "")</f>
        <v>0</v>
      </c>
      <c r="AG26">
        <f>IFERROR(_xlfn.STDEV.S(INDEX(benchmark!AG:AG, (ROW()-2)*averages!$B26+2):INDEX(benchmark!AG:AG, (ROW()-2)*averages!$B26+averages!$B26+1)), "")</f>
        <v>0</v>
      </c>
      <c r="AH26">
        <f>IFERROR(_xlfn.STDEV.S(INDEX(benchmark!AH:AH, (ROW()-2)*averages!$B26+2):INDEX(benchmark!AH:AH, (ROW()-2)*averages!$B26+averages!$B26+1)), "")</f>
        <v>0</v>
      </c>
      <c r="AI26">
        <f>IFERROR(_xlfn.STDEV.S(INDEX(benchmark!AI:AI, (ROW()-2)*averages!$B26+2):INDEX(benchmark!AI:AI, (ROW()-2)*averages!$B26+averages!$B26+1)), "")</f>
        <v>7.6000935963184187E-3</v>
      </c>
      <c r="AJ26">
        <f>IFERROR(_xlfn.STDEV.S(INDEX(benchmark!AJ:AJ, (ROW()-2)*averages!$B26+2):INDEX(benchmark!AJ:AJ, (ROW()-2)*averages!$B26+averages!$B26+1)), "")</f>
        <v>7.6379880375197062E-3</v>
      </c>
      <c r="AK26" cm="1">
        <f t="array" ref="AK26">IFERROR(_xlfn.STDEV.S(INDEX(benchmark!W:W, (ROW()-2)*$B26+2):INDEX(benchmark!W:W, (ROW()-2)*$B26 + $B26+1) + INDEX(benchmark!AA:AA, (ROW()-2)*$B26+2):INDEX(benchmark!AA:AA, (ROW()-2)*$B26 + $B26+1)), "")</f>
        <v>4.3938343783584335</v>
      </c>
      <c r="AL26" cm="1">
        <f t="array" ref="AL26">IFERROR(_xlfn.STDEV.S(MOD(VALUE(INDEX(benchmark!AJ:AJ, (ROW()-2)*$B26+2):INDEX(benchmark!AJ:AJ, (ROW()-2)*$B26 + $B26+1)) - VALUE(INDEX(benchmark!AI:AI, (ROW()-2)*$B26+2):INDEX(benchmark!AI:AI, (ROW()-2)*$B26 + $B26+1)), 1) * 86400), "")</f>
        <v>4.4048030602964126</v>
      </c>
      <c r="AM26">
        <f>IFERROR(_xlfn.STDEV.S(INDEX(benchmark!S:S, (ROW()-2)*$B26+2):INDEX(benchmark!S:S, (ROW()-2)*$B26 + $B26+1)), "")</f>
        <v>3.8416228399524672</v>
      </c>
    </row>
    <row r="27" spans="1:39" x14ac:dyDescent="0.25">
      <c r="A27" t="str" cm="1">
        <f t="array" ref="A27">INDEX(benchmark!A:A, (ROW()-2)*$B27+2)</f>
        <v>spot-rk4</v>
      </c>
      <c r="B27">
        <f>COUNTIF(benchmark!A:A, benchmark!A261)</f>
        <v>10</v>
      </c>
      <c r="C27" t="str" cm="1">
        <f t="array" ref="C27">INDEX(benchmark!C:C, (ROW()-2)*$B27+2)</f>
        <v>Ipopt</v>
      </c>
      <c r="D27" t="str" cm="1">
        <f t="array" ref="D27">INDEX(benchmark!D:D, (ROW()-2)*$B27+2)</f>
        <v>3.12.13</v>
      </c>
      <c r="E27" t="str" cm="1">
        <f t="array" ref="E27">INDEX(benchmark!E:E, (ROW()-2)*$B27+2)</f>
        <v>solved</v>
      </c>
      <c r="F27">
        <f>IFERROR(_xlfn.STDEV.S(INDEX(benchmark!F:F, (ROW()-2)*averages!$B27+2):INDEX(benchmark!F:F, (ROW()-2)*averages!$B27+averages!$B27+1)), "")</f>
        <v>0</v>
      </c>
      <c r="G27">
        <f>IFERROR(_xlfn.STDEV.S(INDEX(benchmark!G:G, (ROW()-2)*averages!$B27+2):INDEX(benchmark!G:G, (ROW()-2)*averages!$B27+averages!$B27+1)), "")</f>
        <v>1.5339065479776179E-11</v>
      </c>
      <c r="H27">
        <f>IFERROR(_xlfn.STDEV.S(INDEX(benchmark!H:H, (ROW()-2)*averages!$B27+2):INDEX(benchmark!H:H, (ROW()-2)*averages!$B27+averages!$B27+1)), "")</f>
        <v>0</v>
      </c>
      <c r="I27">
        <f>IFERROR(_xlfn.STDEV.S(INDEX(benchmark!I:I, (ROW()-2)*averages!$B27+2):INDEX(benchmark!I:I, (ROW()-2)*averages!$B27+averages!$B27+1)), "")</f>
        <v>0</v>
      </c>
      <c r="J27">
        <f>IFERROR(_xlfn.STDEV.S(INDEX(benchmark!J:J, (ROW()-2)*averages!$B27+2):INDEX(benchmark!J:J, (ROW()-2)*averages!$B27+averages!$B27+1)), "")</f>
        <v>0</v>
      </c>
      <c r="K27">
        <f>IFERROR(_xlfn.STDEV.S(INDEX(benchmark!K:K, (ROW()-2)*averages!$B27+2):INDEX(benchmark!K:K, (ROW()-2)*averages!$B27+averages!$B27+1)), "")</f>
        <v>0</v>
      </c>
      <c r="L27">
        <f>IFERROR(_xlfn.STDEV.S(INDEX(benchmark!L:L, (ROW()-2)*averages!$B27+2):INDEX(benchmark!L:L, (ROW()-2)*averages!$B27+averages!$B27+1)), "")</f>
        <v>0</v>
      </c>
      <c r="M27">
        <f>IFERROR(_xlfn.STDEV.S(INDEX(benchmark!M:M, (ROW()-2)*averages!$B27+2):INDEX(benchmark!M:M, (ROW()-2)*averages!$B27+averages!$B27+1)), "")</f>
        <v>0</v>
      </c>
      <c r="N27">
        <f>IFERROR(_xlfn.STDEV.S(INDEX(benchmark!N:N, (ROW()-2)*averages!$B27+2):INDEX(benchmark!N:N, (ROW()-2)*averages!$B27+averages!$B27+1)), "")</f>
        <v>0</v>
      </c>
      <c r="O27">
        <f>IFERROR(_xlfn.STDEV.S(INDEX(benchmark!O:O, (ROW()-2)*averages!$B27+2):INDEX(benchmark!O:O, (ROW()-2)*averages!$B27+averages!$B27+1)), "")</f>
        <v>0</v>
      </c>
      <c r="P27">
        <f>IFERROR(_xlfn.STDEV.S(INDEX(benchmark!P:P, (ROW()-2)*averages!$B27+2):INDEX(benchmark!P:P, (ROW()-2)*averages!$B27+averages!$B27+1)), "")</f>
        <v>0</v>
      </c>
      <c r="Q27">
        <f>IFERROR(_xlfn.STDEV.S(INDEX(benchmark!Q:Q, (ROW()-2)*averages!$B27+2):INDEX(benchmark!Q:Q, (ROW()-2)*averages!$B27+averages!$B27+1)), "")</f>
        <v>0</v>
      </c>
      <c r="R27">
        <f>IFERROR(_xlfn.STDEV.S(INDEX(benchmark!R:R, (ROW()-2)*averages!$B27+2):INDEX(benchmark!R:R, (ROW()-2)*averages!$B27+averages!$B27+1)), "")</f>
        <v>0.46033823313829697</v>
      </c>
      <c r="S27">
        <f>IFERROR(_xlfn.STDEV.S(INDEX(benchmark!S:S, (ROW()-2)*averages!$B27+2):INDEX(benchmark!S:S, (ROW()-2)*averages!$B27+averages!$B27+1)), "")</f>
        <v>2.4609347456245607</v>
      </c>
      <c r="T27">
        <f>IFERROR(_xlfn.STDEV.S(INDEX(benchmark!T:T, (ROW()-2)*averages!$B27+2):INDEX(benchmark!T:T, (ROW()-2)*averages!$B27+averages!$B27+1)), "")</f>
        <v>0</v>
      </c>
      <c r="U27">
        <f>IFERROR(_xlfn.STDEV.S(INDEX(benchmark!U:U, (ROW()-2)*averages!$B27+2):INDEX(benchmark!U:U, (ROW()-2)*averages!$B27+averages!$B27+1)), "")</f>
        <v>0</v>
      </c>
      <c r="V27">
        <f>IFERROR(_xlfn.STDEV.S(INDEX(benchmark!V:V, (ROW()-2)*averages!$B27+2):INDEX(benchmark!V:V, (ROW()-2)*averages!$B27+averages!$B27+1)), "")</f>
        <v>0</v>
      </c>
      <c r="W27">
        <f>IFERROR(_xlfn.STDEV.S(INDEX(benchmark!W:W, (ROW()-2)*averages!$B27+2):INDEX(benchmark!W:W, (ROW()-2)*averages!$B27+averages!$B27+1)), "")</f>
        <v>0.89577226768613305</v>
      </c>
      <c r="X27">
        <f>IFERROR(_xlfn.STDEV.S(INDEX(benchmark!X:X, (ROW()-2)*averages!$B27+2):INDEX(benchmark!X:X, (ROW()-2)*averages!$B27+averages!$B27+1)), "")</f>
        <v>0.13032286629431791</v>
      </c>
      <c r="Y27">
        <f>IFERROR(_xlfn.STDEV.S(INDEX(benchmark!Y:Y, (ROW()-2)*averages!$B27+2):INDEX(benchmark!Y:Y, (ROW()-2)*averages!$B27+averages!$B27+1)), "")</f>
        <v>0.45110300776110007</v>
      </c>
      <c r="Z27">
        <f>IFERROR(_xlfn.STDEV.S(INDEX(benchmark!Z:Z, (ROW()-2)*averages!$B27+2):INDEX(benchmark!Z:Z, (ROW()-2)*averages!$B27+averages!$B27+1)), "")</f>
        <v>0.47998401756522641</v>
      </c>
      <c r="AA27">
        <f>IFERROR(_xlfn.STDEV.S(INDEX(benchmark!AA:AA, (ROW()-2)*averages!$B27+2):INDEX(benchmark!AA:AA, (ROW()-2)*averages!$B27+averages!$B27+1)), "")</f>
        <v>2.8722482889425365</v>
      </c>
      <c r="AB27">
        <f>IFERROR(_xlfn.STDEV.S(INDEX(benchmark!AB:AB, (ROW()-2)*averages!$B27+2):INDEX(benchmark!AB:AB, (ROW()-2)*averages!$B27+averages!$B27+1)), "")</f>
        <v>0.27071311434390821</v>
      </c>
      <c r="AC27">
        <f>IFERROR(_xlfn.STDEV.S(INDEX(benchmark!AC:AC, (ROW()-2)*averages!$B27+2):INDEX(benchmark!AC:AC, (ROW()-2)*averages!$B27+averages!$B27+1)), "")</f>
        <v>2.986222341274638</v>
      </c>
      <c r="AD27">
        <f>IFERROR(_xlfn.STDEV.S(INDEX(benchmark!AD:AD, (ROW()-2)*averages!$B27+2):INDEX(benchmark!AD:AD, (ROW()-2)*averages!$B27+averages!$B27+1)), "")</f>
        <v>2.890603415835332</v>
      </c>
      <c r="AE27">
        <f>IFERROR(_xlfn.STDEV.S(INDEX(benchmark!AE:AE, (ROW()-2)*averages!$B27+2):INDEX(benchmark!AE:AE, (ROW()-2)*averages!$B27+averages!$B27+1)), "")</f>
        <v>0</v>
      </c>
      <c r="AF27">
        <f>IFERROR(_xlfn.STDEV.S(INDEX(benchmark!AF:AF, (ROW()-2)*averages!$B27+2):INDEX(benchmark!AF:AF, (ROW()-2)*averages!$B27+averages!$B27+1)), "")</f>
        <v>0</v>
      </c>
      <c r="AG27">
        <f>IFERROR(_xlfn.STDEV.S(INDEX(benchmark!AG:AG, (ROW()-2)*averages!$B27+2):INDEX(benchmark!AG:AG, (ROW()-2)*averages!$B27+averages!$B27+1)), "")</f>
        <v>0</v>
      </c>
      <c r="AH27">
        <f>IFERROR(_xlfn.STDEV.S(INDEX(benchmark!AH:AH, (ROW()-2)*averages!$B27+2):INDEX(benchmark!AH:AH, (ROW()-2)*averages!$B27+averages!$B27+1)), "")</f>
        <v>0</v>
      </c>
      <c r="AI27">
        <f>IFERROR(_xlfn.STDEV.S(INDEX(benchmark!AI:AI, (ROW()-2)*averages!$B27+2):INDEX(benchmark!AI:AI, (ROW()-2)*averages!$B27+averages!$B27+1)), "")</f>
        <v>5.6213792761010085E-3</v>
      </c>
      <c r="AJ27">
        <f>IFERROR(_xlfn.STDEV.S(INDEX(benchmark!AJ:AJ, (ROW()-2)*averages!$B27+2):INDEX(benchmark!AJ:AJ, (ROW()-2)*averages!$B27+averages!$B27+1)), "")</f>
        <v>5.5988258340517703E-3</v>
      </c>
      <c r="AK27" cm="1">
        <f t="array" ref="AK27">IFERROR(_xlfn.STDEV.S(INDEX(benchmark!W:W, (ROW()-2)*$B27+2):INDEX(benchmark!W:W, (ROW()-2)*$B27 + $B27+1) + INDEX(benchmark!AA:AA, (ROW()-2)*$B27+2):INDEX(benchmark!AA:AA, (ROW()-2)*$B27 + $B27+1)), "")</f>
        <v>2.9478735254793849</v>
      </c>
      <c r="AL27" cm="1">
        <f t="array" ref="AL27">IFERROR(_xlfn.STDEV.S(MOD(VALUE(INDEX(benchmark!AJ:AJ, (ROW()-2)*$B27+2):INDEX(benchmark!AJ:AJ, (ROW()-2)*$B27 + $B27+1)) - VALUE(INDEX(benchmark!AI:AI, (ROW()-2)*$B27+2):INDEX(benchmark!AI:AI, (ROW()-2)*$B27 + $B27+1)), 1) * 86400), "")</f>
        <v>2.9700512528314436</v>
      </c>
      <c r="AM27">
        <f>IFERROR(_xlfn.STDEV.S(INDEX(benchmark!S:S, (ROW()-2)*$B27+2):INDEX(benchmark!S:S, (ROW()-2)*$B27 + $B27+1)), "")</f>
        <v>2.4609347456245607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BC7C-7EC6-4411-BE89-65822781CD8F}">
  <dimension ref="A1:O7"/>
  <sheetViews>
    <sheetView workbookViewId="0">
      <selection activeCell="F2" sqref="F2"/>
    </sheetView>
  </sheetViews>
  <sheetFormatPr defaultRowHeight="15" x14ac:dyDescent="0.25"/>
  <cols>
    <col min="1" max="1" width="21.5703125" bestFit="1" customWidth="1"/>
    <col min="2" max="2" width="7.5703125" bestFit="1" customWidth="1"/>
    <col min="3" max="3" width="12.140625" bestFit="1" customWidth="1"/>
    <col min="4" max="4" width="10.28515625" bestFit="1" customWidth="1"/>
    <col min="5" max="5" width="12" bestFit="1" customWidth="1"/>
    <col min="6" max="6" width="12.5703125" bestFit="1" customWidth="1"/>
    <col min="7" max="7" width="13.5703125" bestFit="1" customWidth="1"/>
    <col min="8" max="8" width="13.85546875" bestFit="1" customWidth="1"/>
    <col min="9" max="9" width="17.28515625" bestFit="1" customWidth="1"/>
    <col min="10" max="10" width="7.5703125" bestFit="1" customWidth="1"/>
    <col min="11" max="11" width="7" bestFit="1" customWidth="1"/>
    <col min="12" max="12" width="10.5703125" bestFit="1" customWidth="1"/>
    <col min="13" max="13" width="15.85546875" bestFit="1" customWidth="1"/>
    <col min="14" max="14" width="6" bestFit="1" customWidth="1"/>
    <col min="15" max="15" width="4.7109375" bestFit="1" customWidth="1"/>
  </cols>
  <sheetData>
    <row r="1" spans="1:15" x14ac:dyDescent="0.25">
      <c r="A1" t="s">
        <v>53</v>
      </c>
      <c r="B1" t="s">
        <v>54</v>
      </c>
      <c r="C1" t="s">
        <v>55</v>
      </c>
      <c r="D1" t="s">
        <v>145</v>
      </c>
      <c r="E1" t="s">
        <v>57</v>
      </c>
      <c r="F1" t="s">
        <v>150</v>
      </c>
      <c r="G1" t="s">
        <v>59</v>
      </c>
      <c r="H1" t="s">
        <v>60</v>
      </c>
      <c r="I1" t="s">
        <v>61</v>
      </c>
      <c r="J1" t="s">
        <v>146</v>
      </c>
      <c r="K1" t="s">
        <v>147</v>
      </c>
      <c r="L1" t="s">
        <v>148</v>
      </c>
      <c r="M1" t="s">
        <v>149</v>
      </c>
      <c r="N1" t="s">
        <v>74</v>
      </c>
      <c r="O1" t="s">
        <v>144</v>
      </c>
    </row>
    <row r="2" spans="1:15" x14ac:dyDescent="0.25">
      <c r="A2" t="s">
        <v>156</v>
      </c>
      <c r="B2" t="s">
        <v>70</v>
      </c>
      <c r="C2" t="str">
        <f xml:space="preserve"> averages!C2 &amp; " " &amp; averages!D2</f>
        <v>Ipopt 3.12.13</v>
      </c>
      <c r="D2" t="s">
        <v>71</v>
      </c>
      <c r="E2" cm="1">
        <f t="array" ref="E2">INDEX(averages!G:G, $O2)</f>
        <v>69.877641620638045</v>
      </c>
      <c r="F2" cm="1">
        <f t="array" ref="F2">INDEX(averages!AK:AK, $O2)</f>
        <v>0.23279999999999995</v>
      </c>
      <c r="G2" cm="1">
        <f t="array" ref="G2">INDEX(averages!AL:AL, $O2)</f>
        <v>0.20300000000000001</v>
      </c>
      <c r="H2" cm="1">
        <f t="array" ref="H2">INDEX(averages!AM:AM, $O2)</f>
        <v>0.29699999999999999</v>
      </c>
      <c r="I2" cm="1">
        <f t="array" ref="I2">INDEX('std. dev'!AK:AK, $O2)</f>
        <v>2.9977028242009849E-2</v>
      </c>
      <c r="J2" cm="1">
        <f t="array" ref="J2">INDEX(averages!I:I, $O2)</f>
        <v>14</v>
      </c>
      <c r="K2" cm="1">
        <f t="array" ref="K2">INDEX(averages!T:T, $O2)</f>
        <v>132</v>
      </c>
      <c r="L2" cm="1">
        <f t="array" ref="L2">INDEX(averages!U:U, $O2)</f>
        <v>116</v>
      </c>
      <c r="M2" cm="1">
        <f t="array" ref="M2">INDEX(averages!V:V, $O2)</f>
        <v>18</v>
      </c>
      <c r="N2">
        <v>1.2</v>
      </c>
      <c r="O2">
        <v>2</v>
      </c>
    </row>
    <row r="3" spans="1:15" x14ac:dyDescent="0.25">
      <c r="A3" t="s">
        <v>155</v>
      </c>
      <c r="B3" t="s">
        <v>70</v>
      </c>
      <c r="C3" t="str">
        <f xml:space="preserve"> averages!C4 &amp; " " &amp; averages!D4</f>
        <v>Ipopt 3.12.13</v>
      </c>
      <c r="D3" t="s">
        <v>71</v>
      </c>
      <c r="E3" cm="1">
        <f t="array" ref="E3">INDEX(averages!G:G, $O3)</f>
        <v>229.29128070613939</v>
      </c>
      <c r="F3" cm="1">
        <f t="array" ref="F3">INDEX(averages!AK:AK, $O3)</f>
        <v>0.2283</v>
      </c>
      <c r="G3" cm="1">
        <f t="array" ref="G3">INDEX(averages!AL:AL, $O3)</f>
        <v>0.20300000000000001</v>
      </c>
      <c r="H3" cm="1">
        <f t="array" ref="H3">INDEX(averages!AM:AM, $O3)</f>
        <v>0.26600000000000001</v>
      </c>
      <c r="I3" cm="1">
        <f t="array" ref="I3">INDEX('std. dev'!AK:AK, $O3)</f>
        <v>1.8481522303821905E-2</v>
      </c>
      <c r="J3" cm="1">
        <f t="array" ref="J3">INDEX(averages!I:I, $O3)</f>
        <v>12</v>
      </c>
      <c r="K3" cm="1">
        <f t="array" ref="K3">INDEX(averages!T:T, $O3)</f>
        <v>202</v>
      </c>
      <c r="L3" cm="1">
        <f t="array" ref="L3">INDEX(averages!U:U, $O3)</f>
        <v>176</v>
      </c>
      <c r="M3" cm="1">
        <f t="array" ref="M3">INDEX(averages!V:V, $O3)</f>
        <v>0</v>
      </c>
      <c r="N3">
        <v>2.2000000000000002</v>
      </c>
      <c r="O3">
        <v>4</v>
      </c>
    </row>
    <row r="4" spans="1:15" x14ac:dyDescent="0.25">
      <c r="A4" t="s">
        <v>154</v>
      </c>
      <c r="B4" t="s">
        <v>70</v>
      </c>
      <c r="C4" t="str">
        <f xml:space="preserve"> averages!C3 &amp; " " &amp; averages!D3</f>
        <v>Ipopt 3.12.13</v>
      </c>
      <c r="D4" t="s">
        <v>71</v>
      </c>
      <c r="E4" cm="1">
        <f t="array" ref="E4">INDEX(averages!G:G, $O4)</f>
        <v>1.1459372561375376</v>
      </c>
      <c r="F4" cm="1">
        <f t="array" ref="F4">INDEX(averages!AK:AK, $O4)</f>
        <v>0.21870000000000003</v>
      </c>
      <c r="G4" cm="1">
        <f t="array" ref="G4">INDEX(averages!AL:AL, $O4)</f>
        <v>0.20300000000000001</v>
      </c>
      <c r="H4" cm="1">
        <f t="array" ref="H4">INDEX(averages!AM:AM, $O4)</f>
        <v>0.25</v>
      </c>
      <c r="I4" cm="1">
        <f t="array" ref="I4">INDEX('std. dev'!AK:AK, $O4)</f>
        <v>1.8000308639329242E-2</v>
      </c>
      <c r="J4" cm="1">
        <f t="array" ref="J4">INDEX(averages!I:I, $O4)</f>
        <v>30</v>
      </c>
      <c r="K4" cm="1">
        <f t="array" ref="K4">INDEX(averages!T:T, $O4)</f>
        <v>80</v>
      </c>
      <c r="L4" cm="1">
        <f t="array" ref="L4">INDEX(averages!U:U, $O4)</f>
        <v>74</v>
      </c>
      <c r="M4" cm="1">
        <f t="array" ref="M4">INDEX(averages!V:V, $O4)</f>
        <v>0</v>
      </c>
      <c r="N4">
        <v>3.2</v>
      </c>
      <c r="O4">
        <v>3</v>
      </c>
    </row>
    <row r="5" spans="1:15" x14ac:dyDescent="0.25">
      <c r="A5" t="s">
        <v>153</v>
      </c>
      <c r="B5" t="s">
        <v>70</v>
      </c>
      <c r="C5" t="str">
        <f xml:space="preserve"> averages!C24 &amp; " " &amp; averages!D24</f>
        <v>Ipopt 3.12.13</v>
      </c>
      <c r="D5" t="s">
        <v>71</v>
      </c>
      <c r="E5" cm="1">
        <f t="array" ref="E5">INDEX(averages!G:G, $O5)</f>
        <v>12.055857637172497</v>
      </c>
      <c r="F5" cm="1">
        <f t="array" ref="F5">INDEX(averages!AK:AK, $O5)</f>
        <v>0.17810000000000001</v>
      </c>
      <c r="G5" cm="1">
        <f t="array" ref="G5">INDEX(averages!AL:AL, $O5)</f>
        <v>0.156</v>
      </c>
      <c r="H5" cm="1">
        <f t="array" ref="H5">INDEX(averages!AM:AM, $O5)</f>
        <v>0.20300000000000001</v>
      </c>
      <c r="I5" cm="1">
        <f t="array" ref="I5">INDEX('std. dev'!AK:AK, $O5)</f>
        <v>1.5029230777979876E-2</v>
      </c>
      <c r="J5" cm="1">
        <f t="array" ref="J5">INDEX(averages!I:I, $O5)</f>
        <v>7</v>
      </c>
      <c r="K5" cm="1">
        <f t="array" ref="K5">INDEX(averages!T:T, $O5)</f>
        <v>116</v>
      </c>
      <c r="L5" cm="1">
        <f t="array" ref="L5">INDEX(averages!U:U, $O5)</f>
        <v>88</v>
      </c>
      <c r="M5" cm="1">
        <f t="array" ref="M5">INDEX(averages!V:V, $O5)</f>
        <v>0</v>
      </c>
      <c r="N5">
        <v>4.2</v>
      </c>
      <c r="O5">
        <v>24</v>
      </c>
    </row>
    <row r="6" spans="1:15" x14ac:dyDescent="0.25">
      <c r="A6" t="s">
        <v>152</v>
      </c>
      <c r="B6" t="s">
        <v>70</v>
      </c>
      <c r="C6" t="str">
        <f xml:space="preserve"> averages!C5 &amp; " " &amp; averages!D5</f>
        <v>Ipopt 3.12.13</v>
      </c>
      <c r="D6" t="s">
        <v>72</v>
      </c>
      <c r="E6" cm="1">
        <f t="array" ref="E6">INDEX(averages!G:G, $O6)</f>
        <v>260.43008529551423</v>
      </c>
      <c r="F6" cm="1">
        <f t="array" ref="F6">INDEX(averages!AK:AK, $O6)</f>
        <v>0.50459999999999994</v>
      </c>
      <c r="G6" cm="1">
        <f t="array" ref="G6">INDEX(averages!AL:AL, $O6)</f>
        <v>0.45299999999999996</v>
      </c>
      <c r="H6" cm="1">
        <f t="array" ref="H6">INDEX(averages!AM:AM, $O6)</f>
        <v>0.71799999999999997</v>
      </c>
      <c r="I6" cm="1">
        <f t="array" ref="I6">INDEX('std. dev'!AK:AK, $O6)</f>
        <v>7.9728985388697785E-2</v>
      </c>
      <c r="J6" cm="1">
        <f t="array" ref="J6">INDEX(averages!I:I, $O6)</f>
        <v>11</v>
      </c>
      <c r="K6" cm="1">
        <f t="array" ref="K6">INDEX(averages!T:T, $O6)</f>
        <v>266</v>
      </c>
      <c r="L6" cm="1">
        <f t="array" ref="L6">INDEX(averages!U:U, $O6)</f>
        <v>212</v>
      </c>
      <c r="M6" cm="1">
        <f t="array" ref="M6">INDEX(averages!V:V, $O6)</f>
        <v>2</v>
      </c>
      <c r="N6">
        <v>5.2</v>
      </c>
      <c r="O6">
        <v>5</v>
      </c>
    </row>
    <row r="7" spans="1:15" x14ac:dyDescent="0.25">
      <c r="A7" t="s">
        <v>151</v>
      </c>
      <c r="B7" t="s">
        <v>70</v>
      </c>
      <c r="C7" t="str">
        <f xml:space="preserve"> averages!C6 &amp; " " &amp; averages!D6</f>
        <v>Ipopt 3.12.13</v>
      </c>
      <c r="D7" t="s">
        <v>72</v>
      </c>
      <c r="E7" cm="1">
        <f t="array" ref="E7">INDEX(averages!G:G, $O7)</f>
        <v>443.14228437220765</v>
      </c>
      <c r="F7" cm="1">
        <f t="array" ref="F7">INDEX(averages!AK:AK, $O7)</f>
        <v>0.52500000000000002</v>
      </c>
      <c r="G7" cm="1">
        <f t="array" ref="G7">INDEX(averages!AL:AL, $O7)</f>
        <v>0.48499999999999999</v>
      </c>
      <c r="H7" cm="1">
        <f t="array" ref="H7">INDEX(averages!AM:AM, $O7)</f>
        <v>0.57799999999999996</v>
      </c>
      <c r="I7" cm="1">
        <f t="array" ref="I7">INDEX('std. dev'!AK:AK, $O7)</f>
        <v>2.764858847110363E-2</v>
      </c>
      <c r="J7" cm="1">
        <f t="array" ref="J7">INDEX(averages!I:I, $O7)</f>
        <v>13</v>
      </c>
      <c r="K7" cm="1">
        <f t="array" ref="K7">INDEX(averages!T:T, $O7)</f>
        <v>326</v>
      </c>
      <c r="L7" cm="1">
        <f t="array" ref="L7">INDEX(averages!U:U, $O7)</f>
        <v>300</v>
      </c>
      <c r="M7" cm="1">
        <f t="array" ref="M7">INDEX(averages!V:V, $O7)</f>
        <v>2</v>
      </c>
      <c r="N7">
        <v>6.2</v>
      </c>
      <c r="O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8C45-ECD4-45DD-A190-9F22633B94F5}">
  <dimension ref="A1:S2"/>
  <sheetViews>
    <sheetView workbookViewId="0">
      <selection activeCell="A2" sqref="A1:S2"/>
    </sheetView>
  </sheetViews>
  <sheetFormatPr defaultRowHeight="15" x14ac:dyDescent="0.25"/>
  <cols>
    <col min="1" max="1" width="21.5703125" bestFit="1" customWidth="1"/>
    <col min="2" max="2" width="7.5703125" bestFit="1" customWidth="1"/>
    <col min="3" max="3" width="12.140625" bestFit="1" customWidth="1"/>
    <col min="4" max="4" width="4.7109375" bestFit="1" customWidth="1"/>
    <col min="5" max="5" width="12" bestFit="1" customWidth="1"/>
    <col min="6" max="6" width="9.7109375" bestFit="1" customWidth="1"/>
    <col min="7" max="7" width="13.5703125" bestFit="1" customWidth="1"/>
    <col min="8" max="8" width="13.85546875" bestFit="1" customWidth="1"/>
    <col min="9" max="9" width="17.28515625" bestFit="1" customWidth="1"/>
    <col min="10" max="10" width="9.85546875" bestFit="1" customWidth="1"/>
    <col min="11" max="11" width="13.7109375" bestFit="1" customWidth="1"/>
    <col min="12" max="12" width="14" bestFit="1" customWidth="1"/>
    <col min="13" max="13" width="18" bestFit="1" customWidth="1"/>
    <col min="14" max="15" width="9.42578125" bestFit="1" customWidth="1"/>
    <col min="16" max="16" width="10.42578125" bestFit="1" customWidth="1"/>
    <col min="17" max="17" width="12.140625" bestFit="1" customWidth="1"/>
    <col min="18" max="18" width="36" bestFit="1" customWidth="1"/>
    <col min="19" max="19" width="6" bestFit="1" customWidth="1"/>
  </cols>
  <sheetData>
    <row r="1" spans="1:19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78</v>
      </c>
      <c r="K1" t="s">
        <v>79</v>
      </c>
      <c r="L1" t="s">
        <v>80</v>
      </c>
      <c r="M1" t="s">
        <v>84</v>
      </c>
      <c r="N1" t="s">
        <v>62</v>
      </c>
      <c r="O1" t="s">
        <v>63</v>
      </c>
      <c r="P1" t="s">
        <v>64</v>
      </c>
      <c r="Q1" t="s">
        <v>65</v>
      </c>
      <c r="R1" t="s">
        <v>91</v>
      </c>
      <c r="S1" t="s">
        <v>74</v>
      </c>
    </row>
    <row r="2" spans="1:19" x14ac:dyDescent="0.25">
      <c r="A2" t="s">
        <v>151</v>
      </c>
      <c r="B2" t="s">
        <v>70</v>
      </c>
      <c r="C2" t="str">
        <f xml:space="preserve"> averages!C7 &amp; " " &amp; averages!D7</f>
        <v>Ipopt 3.12.13</v>
      </c>
      <c r="D2" t="s">
        <v>72</v>
      </c>
      <c r="E2">
        <f>averages!G7</f>
        <v>5.7300002083855279</v>
      </c>
      <c r="F2">
        <f>averages!AK7</f>
        <v>31.954400000000003</v>
      </c>
      <c r="G2">
        <f>averages!AL7</f>
        <v>30.765000000000001</v>
      </c>
      <c r="H2">
        <f>averages!AM7</f>
        <v>33.093000000000004</v>
      </c>
      <c r="I2">
        <f>'std. dev'!AK7</f>
        <v>0.63404665093000578</v>
      </c>
      <c r="J2">
        <f>averages!AQ7</f>
        <v>11.904500000000002</v>
      </c>
      <c r="K2">
        <f>averages!AR7</f>
        <v>11.284000000000001</v>
      </c>
      <c r="L2">
        <f>averages!AS7</f>
        <v>12.42</v>
      </c>
      <c r="M2">
        <f>'std. dev'!AM7</f>
        <v>0.29286335456052592</v>
      </c>
      <c r="N2">
        <f>averages!I7</f>
        <v>206</v>
      </c>
      <c r="O2">
        <f>averages!T7</f>
        <v>2345</v>
      </c>
      <c r="P2">
        <f>averages!U7</f>
        <v>2331</v>
      </c>
      <c r="Q2">
        <f>averages!V7</f>
        <v>206</v>
      </c>
      <c r="R2" t="s">
        <v>126</v>
      </c>
      <c r="S2">
        <v>1.2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A36C-97BA-4FC7-91B8-B3DC42D45892}">
  <dimension ref="A1:S4"/>
  <sheetViews>
    <sheetView workbookViewId="0">
      <selection activeCell="E4" sqref="E4"/>
    </sheetView>
  </sheetViews>
  <sheetFormatPr defaultRowHeight="15" x14ac:dyDescent="0.25"/>
  <cols>
    <col min="1" max="1" width="6.140625" bestFit="1" customWidth="1"/>
    <col min="2" max="2" width="7.5703125" bestFit="1" customWidth="1"/>
    <col min="3" max="3" width="12.140625" bestFit="1" customWidth="1"/>
    <col min="4" max="4" width="10.28515625" bestFit="1" customWidth="1"/>
    <col min="5" max="5" width="11.140625" bestFit="1" customWidth="1"/>
    <col min="6" max="6" width="12" bestFit="1" customWidth="1"/>
    <col min="7" max="7" width="9.7109375" bestFit="1" customWidth="1"/>
    <col min="8" max="8" width="13.5703125" bestFit="1" customWidth="1"/>
    <col min="9" max="9" width="13.85546875" bestFit="1" customWidth="1"/>
    <col min="10" max="10" width="17.28515625" bestFit="1" customWidth="1"/>
    <col min="11" max="11" width="9.85546875" bestFit="1" customWidth="1"/>
    <col min="12" max="12" width="13.7109375" bestFit="1" customWidth="1"/>
    <col min="13" max="13" width="14" bestFit="1" customWidth="1"/>
    <col min="14" max="14" width="18" bestFit="1" customWidth="1"/>
    <col min="15" max="16" width="9.42578125" bestFit="1" customWidth="1"/>
    <col min="17" max="17" width="10.42578125" bestFit="1" customWidth="1"/>
    <col min="18" max="18" width="12.140625" bestFit="1" customWidth="1"/>
    <col min="19" max="19" width="6" bestFit="1" customWidth="1"/>
  </cols>
  <sheetData>
    <row r="1" spans="1:19" x14ac:dyDescent="0.25">
      <c r="A1" t="s">
        <v>53</v>
      </c>
      <c r="B1" t="s">
        <v>54</v>
      </c>
      <c r="C1" t="s">
        <v>55</v>
      </c>
      <c r="D1" t="s">
        <v>145</v>
      </c>
      <c r="E1" t="s">
        <v>92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78</v>
      </c>
      <c r="L1" t="s">
        <v>79</v>
      </c>
      <c r="M1" t="s">
        <v>80</v>
      </c>
      <c r="N1" t="s">
        <v>84</v>
      </c>
      <c r="O1" t="s">
        <v>62</v>
      </c>
      <c r="P1" t="s">
        <v>63</v>
      </c>
      <c r="Q1" t="s">
        <v>64</v>
      </c>
      <c r="R1" t="s">
        <v>65</v>
      </c>
      <c r="S1" t="s">
        <v>74</v>
      </c>
    </row>
    <row r="2" spans="1:19" x14ac:dyDescent="0.25">
      <c r="A2" t="s">
        <v>90</v>
      </c>
      <c r="B2" t="s">
        <v>70</v>
      </c>
      <c r="C2" t="str">
        <f xml:space="preserve"> averages!C25 &amp; " " &amp; averages!D25</f>
        <v>Ipopt 3.12.13</v>
      </c>
      <c r="D2" t="s">
        <v>89</v>
      </c>
      <c r="E2" t="s">
        <v>93</v>
      </c>
      <c r="F2">
        <f>averages!H25</f>
        <v>13250.852894543201</v>
      </c>
      <c r="G2">
        <f>averages!AK25</f>
        <v>199.73899999999998</v>
      </c>
      <c r="H2">
        <f>averages!AL25</f>
        <v>196.48400000000001</v>
      </c>
      <c r="I2">
        <f>averages!AM25</f>
        <v>203.56300000000002</v>
      </c>
      <c r="J2">
        <f>'std. dev'!AK25</f>
        <v>2.1081676087699179</v>
      </c>
      <c r="K2">
        <f>averages!AQ25</f>
        <v>152.01589999999999</v>
      </c>
      <c r="L2">
        <f>averages!AR25</f>
        <v>150.34</v>
      </c>
      <c r="M2">
        <f>averages!AS25</f>
        <v>154.44300000000001</v>
      </c>
      <c r="N2">
        <f>'std. dev'!AM25</f>
        <v>1.1963879387556533</v>
      </c>
      <c r="O2">
        <f>averages!I25</f>
        <v>172</v>
      </c>
      <c r="P2">
        <f>averages!T25</f>
        <v>14854</v>
      </c>
      <c r="Q2">
        <f>averages!U25</f>
        <v>14228</v>
      </c>
      <c r="R2">
        <f>averages!V25</f>
        <v>480</v>
      </c>
      <c r="S2">
        <v>1.2</v>
      </c>
    </row>
    <row r="3" spans="1:19" x14ac:dyDescent="0.25">
      <c r="A3" t="s">
        <v>90</v>
      </c>
      <c r="B3" t="s">
        <v>70</v>
      </c>
      <c r="C3" t="str">
        <f xml:space="preserve"> averages!C26 &amp; " " &amp; averages!D26</f>
        <v>Ipopt 3.12.13</v>
      </c>
      <c r="D3" t="s">
        <v>88</v>
      </c>
      <c r="E3" t="s">
        <v>93</v>
      </c>
      <c r="F3">
        <f>averages!H26</f>
        <v>13087.318929267831</v>
      </c>
      <c r="G3">
        <f>averages!AK26</f>
        <v>217.5641</v>
      </c>
      <c r="H3">
        <f>averages!AL26</f>
        <v>212.46899999999999</v>
      </c>
      <c r="I3">
        <f>averages!AM26</f>
        <v>226.953</v>
      </c>
      <c r="J3">
        <f>'std. dev'!AK26</f>
        <v>4.3938343783584335</v>
      </c>
      <c r="K3">
        <f>averages!AQ26</f>
        <v>168.97460000000001</v>
      </c>
      <c r="L3">
        <f>averages!AR26</f>
        <v>165.077</v>
      </c>
      <c r="M3">
        <f>averages!AS26</f>
        <v>177.81200000000001</v>
      </c>
      <c r="N3">
        <f>'std. dev'!AM26</f>
        <v>3.8416228399524672</v>
      </c>
      <c r="O3">
        <f>averages!I26</f>
        <v>201</v>
      </c>
      <c r="P3">
        <f>averages!T26</f>
        <v>3706</v>
      </c>
      <c r="Q3">
        <f>averages!U26</f>
        <v>3080</v>
      </c>
      <c r="R3">
        <f>averages!V26</f>
        <v>480</v>
      </c>
      <c r="S3">
        <v>2.2000000000000002</v>
      </c>
    </row>
    <row r="4" spans="1:19" x14ac:dyDescent="0.25">
      <c r="A4" t="s">
        <v>90</v>
      </c>
      <c r="B4" t="s">
        <v>70</v>
      </c>
      <c r="C4" t="str">
        <f xml:space="preserve"> averages!C27 &amp; " " &amp; averages!D27</f>
        <v>Ipopt 3.12.13</v>
      </c>
      <c r="D4" t="s">
        <v>87</v>
      </c>
      <c r="E4" t="s">
        <v>93</v>
      </c>
      <c r="F4">
        <f>averages!H27</f>
        <v>13343.081305464602</v>
      </c>
      <c r="G4">
        <f>averages!AK27</f>
        <v>159.82990000000001</v>
      </c>
      <c r="H4">
        <f>averages!AL27</f>
        <v>157.34399999999999</v>
      </c>
      <c r="I4">
        <f>averages!AM27</f>
        <v>167.34400000000002</v>
      </c>
      <c r="J4">
        <f>'std. dev'!AK27</f>
        <v>2.9478735254793849</v>
      </c>
      <c r="K4">
        <f>averages!AQ27</f>
        <v>119.6144</v>
      </c>
      <c r="L4">
        <f>averages!AR27</f>
        <v>115.982</v>
      </c>
      <c r="M4">
        <f>averages!AS27</f>
        <v>124.925</v>
      </c>
      <c r="N4">
        <f>'std. dev'!AM27</f>
        <v>2.4609347456245607</v>
      </c>
      <c r="O4">
        <f>averages!I27</f>
        <v>136</v>
      </c>
      <c r="P4">
        <f>averages!T27</f>
        <v>14836</v>
      </c>
      <c r="Q4">
        <f>averages!U27</f>
        <v>14210</v>
      </c>
      <c r="R4">
        <f>averages!V27</f>
        <v>480</v>
      </c>
      <c r="S4">
        <v>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7774-168F-49FE-B9CB-D0432415B19C}">
  <dimension ref="A1:M27"/>
  <sheetViews>
    <sheetView workbookViewId="0">
      <selection activeCell="M27" sqref="M27"/>
    </sheetView>
  </sheetViews>
  <sheetFormatPr defaultRowHeight="15" x14ac:dyDescent="0.25"/>
  <cols>
    <col min="1" max="1" width="21.5703125" bestFit="1" customWidth="1"/>
    <col min="2" max="2" width="5.42578125" bestFit="1" customWidth="1"/>
    <col min="3" max="3" width="15.140625" bestFit="1" customWidth="1"/>
    <col min="4" max="4" width="17.5703125" bestFit="1" customWidth="1"/>
    <col min="5" max="5" width="26.5703125" bestFit="1" customWidth="1"/>
    <col min="6" max="6" width="16.85546875" bestFit="1" customWidth="1"/>
    <col min="7" max="7" width="19.28515625" bestFit="1" customWidth="1"/>
    <col min="8" max="8" width="28.28515625" bestFit="1" customWidth="1"/>
    <col min="9" max="9" width="20.7109375" bestFit="1" customWidth="1"/>
    <col min="10" max="10" width="16" bestFit="1" customWidth="1"/>
    <col min="11" max="11" width="10.42578125" bestFit="1" customWidth="1"/>
    <col min="12" max="13" width="12" bestFit="1" customWidth="1"/>
  </cols>
  <sheetData>
    <row r="1" spans="1:13" x14ac:dyDescent="0.25">
      <c r="A1" t="s">
        <v>53</v>
      </c>
      <c r="B1" t="s">
        <v>56</v>
      </c>
      <c r="C1" t="s">
        <v>95</v>
      </c>
      <c r="D1" t="s">
        <v>75</v>
      </c>
      <c r="E1" t="s">
        <v>97</v>
      </c>
      <c r="F1" t="s">
        <v>96</v>
      </c>
      <c r="G1" t="s">
        <v>76</v>
      </c>
      <c r="H1" t="s">
        <v>98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</row>
    <row r="2" spans="1:13" x14ac:dyDescent="0.25">
      <c r="A2" t="s">
        <v>33</v>
      </c>
      <c r="B2" t="s">
        <v>71</v>
      </c>
      <c r="C2">
        <f>averages!AE2</f>
        <v>8779</v>
      </c>
      <c r="D2">
        <f>averages!AF2</f>
        <v>132</v>
      </c>
      <c r="E2">
        <f>IFERROR((C2 - D2) / C2, "")</f>
        <v>0.98496411892015034</v>
      </c>
      <c r="F2">
        <f>averages!AG2</f>
        <v>8824</v>
      </c>
      <c r="G2">
        <f>averages!AH2</f>
        <v>134</v>
      </c>
      <c r="H2">
        <f>IFERROR((F2 - G2) / F2, "")</f>
        <v>0.98481414324569361</v>
      </c>
      <c r="I2">
        <f>averages!AK2</f>
        <v>0.23279999999999995</v>
      </c>
      <c r="K2">
        <f>averages!Z2</f>
        <v>4.5312499999999999E-2</v>
      </c>
      <c r="L2">
        <f>averages!AD2</f>
        <v>2.0312500000000001E-2</v>
      </c>
      <c r="M2">
        <f>IFERROR(K2/L2, "")</f>
        <v>2.2307692307692308</v>
      </c>
    </row>
    <row r="3" spans="1:13" x14ac:dyDescent="0.25">
      <c r="A3" t="s">
        <v>36</v>
      </c>
      <c r="B3" t="s">
        <v>71</v>
      </c>
      <c r="C3">
        <f>averages!AE3</f>
        <v>4388</v>
      </c>
      <c r="D3">
        <f>averages!AF3</f>
        <v>80</v>
      </c>
      <c r="E3">
        <f t="shared" ref="E3:E27" si="0">IFERROR((C3 - D3) / C3, "")</f>
        <v>0.98176845943482227</v>
      </c>
      <c r="F3">
        <f>averages!AG3</f>
        <v>4413</v>
      </c>
      <c r="G3">
        <f>averages!AH3</f>
        <v>74</v>
      </c>
      <c r="H3">
        <f t="shared" ref="H3:H27" si="1">IFERROR((F3 - G3) / F3, "")</f>
        <v>0.98323136188533877</v>
      </c>
      <c r="I3">
        <f>averages!AK3</f>
        <v>0.21870000000000003</v>
      </c>
      <c r="K3">
        <f>averages!Z3</f>
        <v>2.6562499999999999E-2</v>
      </c>
      <c r="L3">
        <f>averages!AD3</f>
        <v>2.6562499999999999E-2</v>
      </c>
      <c r="M3">
        <f t="shared" ref="M3:M27" si="2">IFERROR(K3/L3, "")</f>
        <v>1</v>
      </c>
    </row>
    <row r="4" spans="1:13" x14ac:dyDescent="0.25">
      <c r="A4" t="s">
        <v>37</v>
      </c>
      <c r="B4" t="s">
        <v>71</v>
      </c>
      <c r="C4">
        <f>averages!AE4</f>
        <v>13169</v>
      </c>
      <c r="D4">
        <f>averages!AF4</f>
        <v>202</v>
      </c>
      <c r="E4">
        <f t="shared" si="0"/>
        <v>0.98466094616143973</v>
      </c>
      <c r="F4">
        <f>averages!AG4</f>
        <v>13234</v>
      </c>
      <c r="G4">
        <f>averages!AH4</f>
        <v>176</v>
      </c>
      <c r="H4">
        <f t="shared" si="1"/>
        <v>0.98670092186791603</v>
      </c>
      <c r="I4">
        <f>averages!AK4</f>
        <v>0.2283</v>
      </c>
      <c r="K4">
        <f>averages!Z4</f>
        <v>5.1562499999999997E-2</v>
      </c>
      <c r="L4">
        <f>averages!AD4</f>
        <v>1.7187500000000001E-2</v>
      </c>
      <c r="M4">
        <f t="shared" si="2"/>
        <v>2.9999999999999996</v>
      </c>
    </row>
    <row r="5" spans="1:13" x14ac:dyDescent="0.25">
      <c r="A5" t="s">
        <v>38</v>
      </c>
      <c r="B5" t="s">
        <v>72</v>
      </c>
      <c r="C5">
        <f>averages!AE5</f>
        <v>99109</v>
      </c>
      <c r="D5">
        <f>averages!AF5</f>
        <v>266</v>
      </c>
      <c r="E5">
        <f t="shared" si="0"/>
        <v>0.99731608632919311</v>
      </c>
      <c r="F5">
        <f>averages!AG5</f>
        <v>98877</v>
      </c>
      <c r="G5">
        <f>averages!AH5</f>
        <v>214</v>
      </c>
      <c r="H5">
        <f t="shared" si="1"/>
        <v>0.99783569485320145</v>
      </c>
      <c r="I5">
        <f>averages!AK5</f>
        <v>0.50459999999999994</v>
      </c>
      <c r="K5">
        <f>averages!Z5</f>
        <v>0.24062500000000001</v>
      </c>
      <c r="L5">
        <f>averages!AD5</f>
        <v>8.7499999999999994E-2</v>
      </c>
      <c r="M5">
        <f t="shared" si="2"/>
        <v>2.7500000000000004</v>
      </c>
    </row>
    <row r="6" spans="1:13" x14ac:dyDescent="0.25">
      <c r="A6" t="s">
        <v>39</v>
      </c>
      <c r="B6" t="s">
        <v>72</v>
      </c>
      <c r="C6">
        <f>averages!AE6</f>
        <v>46821</v>
      </c>
      <c r="D6">
        <f>averages!AF6</f>
        <v>326</v>
      </c>
      <c r="E6">
        <f t="shared" si="0"/>
        <v>0.99303731231712267</v>
      </c>
      <c r="F6">
        <f>averages!AG6</f>
        <v>46820</v>
      </c>
      <c r="G6">
        <f>averages!AH6</f>
        <v>302</v>
      </c>
      <c r="H6">
        <f t="shared" si="1"/>
        <v>0.99354976505766768</v>
      </c>
      <c r="I6">
        <f>averages!AK6</f>
        <v>0.52500000000000002</v>
      </c>
      <c r="K6">
        <f>averages!Z6</f>
        <v>0.15468750000000001</v>
      </c>
      <c r="L6">
        <f>averages!AD6</f>
        <v>0.2265625</v>
      </c>
      <c r="M6">
        <f t="shared" si="2"/>
        <v>0.6827586206896552</v>
      </c>
    </row>
    <row r="7" spans="1:13" x14ac:dyDescent="0.25">
      <c r="A7" t="s">
        <v>40</v>
      </c>
      <c r="B7" t="s">
        <v>72</v>
      </c>
      <c r="C7">
        <f>averages!AE7</f>
        <v>371155</v>
      </c>
      <c r="D7">
        <f>averages!AF7</f>
        <v>2345</v>
      </c>
      <c r="E7">
        <f t="shared" si="0"/>
        <v>0.99368188492678267</v>
      </c>
      <c r="F7">
        <f>averages!AG7</f>
        <v>372492</v>
      </c>
      <c r="G7">
        <f>averages!AH7</f>
        <v>2537</v>
      </c>
      <c r="H7">
        <f t="shared" si="1"/>
        <v>0.99318911547093625</v>
      </c>
      <c r="I7">
        <f>averages!AK7</f>
        <v>31.954400000000003</v>
      </c>
      <c r="K7">
        <f>averages!Z7</f>
        <v>1.265625</v>
      </c>
      <c r="L7">
        <f>averages!AD7</f>
        <v>30.384374999999999</v>
      </c>
      <c r="M7">
        <f t="shared" si="2"/>
        <v>4.1653810552298678E-2</v>
      </c>
    </row>
    <row r="8" spans="1:13" x14ac:dyDescent="0.25">
      <c r="A8" t="s">
        <v>103</v>
      </c>
      <c r="B8" t="s">
        <v>86</v>
      </c>
      <c r="C8">
        <f>averages!AE8</f>
        <v>29729</v>
      </c>
      <c r="D8">
        <f>averages!AF8</f>
        <v>73</v>
      </c>
      <c r="E8">
        <f t="shared" si="0"/>
        <v>0.99754448518281813</v>
      </c>
      <c r="F8">
        <f>averages!AG8</f>
        <v>29766</v>
      </c>
      <c r="G8">
        <f>averages!AH8</f>
        <v>80</v>
      </c>
      <c r="H8">
        <f t="shared" si="1"/>
        <v>0.99731236981791305</v>
      </c>
      <c r="I8">
        <f>averages!AK8</f>
        <v>0.23910000000000003</v>
      </c>
      <c r="K8">
        <f>averages!Z8</f>
        <v>9.8437499999999997E-2</v>
      </c>
      <c r="L8">
        <f>averages!AD8</f>
        <v>1.7187500000000001E-2</v>
      </c>
      <c r="M8">
        <f t="shared" si="2"/>
        <v>5.7272727272727266</v>
      </c>
    </row>
    <row r="9" spans="1:13" x14ac:dyDescent="0.25">
      <c r="A9" t="s">
        <v>105</v>
      </c>
      <c r="B9" t="s">
        <v>86</v>
      </c>
      <c r="C9">
        <f>averages!AE9</f>
        <v>29729</v>
      </c>
      <c r="D9">
        <f>averages!AF9</f>
        <v>73</v>
      </c>
      <c r="E9">
        <f t="shared" si="0"/>
        <v>0.99754448518281813</v>
      </c>
      <c r="F9">
        <f>averages!AG9</f>
        <v>29766</v>
      </c>
      <c r="G9">
        <f>averages!AH9</f>
        <v>80</v>
      </c>
      <c r="H9">
        <f t="shared" si="1"/>
        <v>0.99731236981791305</v>
      </c>
      <c r="I9">
        <f>averages!AK9</f>
        <v>0.34550000000000003</v>
      </c>
      <c r="K9">
        <f>averages!Z9</f>
        <v>0.1171875</v>
      </c>
      <c r="L9">
        <f>averages!AD9</f>
        <v>2.9687499999999999E-2</v>
      </c>
      <c r="M9">
        <f t="shared" si="2"/>
        <v>3.9473684210526319</v>
      </c>
    </row>
    <row r="10" spans="1:13" x14ac:dyDescent="0.25">
      <c r="A10" t="s">
        <v>106</v>
      </c>
      <c r="B10" t="s">
        <v>86</v>
      </c>
      <c r="C10">
        <f>averages!AE10</f>
        <v>29729</v>
      </c>
      <c r="D10">
        <f>averages!AF10</f>
        <v>73</v>
      </c>
      <c r="E10">
        <f t="shared" si="0"/>
        <v>0.99754448518281813</v>
      </c>
      <c r="F10">
        <f>averages!AG10</f>
        <v>29766</v>
      </c>
      <c r="G10">
        <f>averages!AH10</f>
        <v>80</v>
      </c>
      <c r="H10">
        <f t="shared" si="1"/>
        <v>0.99731236981791305</v>
      </c>
      <c r="I10">
        <f>averages!AK10</f>
        <v>0.47039999999999998</v>
      </c>
      <c r="K10">
        <f>averages!Z10</f>
        <v>0.1015625</v>
      </c>
      <c r="L10">
        <f>averages!AD10</f>
        <v>1.95625</v>
      </c>
      <c r="M10">
        <f t="shared" si="2"/>
        <v>5.1916932907348244E-2</v>
      </c>
    </row>
    <row r="11" spans="1:13" x14ac:dyDescent="0.25">
      <c r="A11" t="s">
        <v>107</v>
      </c>
      <c r="B11" t="s">
        <v>86</v>
      </c>
      <c r="C11">
        <f>averages!AE11</f>
        <v>29729</v>
      </c>
      <c r="D11">
        <f>averages!AF11</f>
        <v>73</v>
      </c>
      <c r="E11">
        <f t="shared" si="0"/>
        <v>0.99754448518281813</v>
      </c>
      <c r="F11">
        <f>averages!AG11</f>
        <v>29766</v>
      </c>
      <c r="G11">
        <f>averages!AH11</f>
        <v>80</v>
      </c>
      <c r="H11">
        <f t="shared" si="1"/>
        <v>0.99731236981791305</v>
      </c>
      <c r="I11">
        <f>averages!AK11</f>
        <v>0.22320000000000001</v>
      </c>
      <c r="K11">
        <f>averages!Z11</f>
        <v>9.5312499999999994E-2</v>
      </c>
      <c r="L11">
        <f>averages!AD11</f>
        <v>1.5625E-2</v>
      </c>
      <c r="M11">
        <f t="shared" si="2"/>
        <v>6.1</v>
      </c>
    </row>
    <row r="12" spans="1:13" x14ac:dyDescent="0.25">
      <c r="A12" t="s">
        <v>108</v>
      </c>
      <c r="B12" t="s">
        <v>86</v>
      </c>
      <c r="C12">
        <f>averages!AE12</f>
        <v>29729</v>
      </c>
      <c r="D12">
        <f>averages!AF12</f>
        <v>73</v>
      </c>
      <c r="E12">
        <f t="shared" si="0"/>
        <v>0.99754448518281813</v>
      </c>
      <c r="F12">
        <f>averages!AG12</f>
        <v>29766</v>
      </c>
      <c r="G12">
        <f>averages!AH12</f>
        <v>80</v>
      </c>
      <c r="H12">
        <f t="shared" si="1"/>
        <v>0.99731236981791305</v>
      </c>
      <c r="I12">
        <f>averages!AK12</f>
        <v>0.28110000000000002</v>
      </c>
      <c r="K12">
        <f>averages!Z12</f>
        <v>0.1046875</v>
      </c>
      <c r="L12">
        <f>averages!AD12</f>
        <v>0.18906249999999999</v>
      </c>
      <c r="M12">
        <f t="shared" si="2"/>
        <v>0.55371900826446285</v>
      </c>
    </row>
    <row r="13" spans="1:13" x14ac:dyDescent="0.25">
      <c r="A13" t="s">
        <v>109</v>
      </c>
      <c r="B13" t="s">
        <v>86</v>
      </c>
      <c r="C13">
        <f>averages!AE13</f>
        <v>29729</v>
      </c>
      <c r="D13">
        <f>averages!AF13</f>
        <v>73</v>
      </c>
      <c r="E13">
        <f t="shared" si="0"/>
        <v>0.99754448518281813</v>
      </c>
      <c r="F13">
        <f>averages!AG13</f>
        <v>29766</v>
      </c>
      <c r="G13">
        <f>averages!AH13</f>
        <v>80</v>
      </c>
      <c r="H13">
        <f t="shared" si="1"/>
        <v>0.99731236981791305</v>
      </c>
      <c r="I13">
        <f>averages!AK13</f>
        <v>2.3390999999999997</v>
      </c>
      <c r="K13">
        <f>averages!Z13</f>
        <v>9.2187500000000006E-2</v>
      </c>
      <c r="L13">
        <f>averages!AD13</f>
        <v>0.76875000000000004</v>
      </c>
      <c r="M13">
        <f t="shared" si="2"/>
        <v>0.11991869918699187</v>
      </c>
    </row>
    <row r="14" spans="1:13" x14ac:dyDescent="0.25">
      <c r="A14" t="s">
        <v>110</v>
      </c>
      <c r="B14" t="s">
        <v>86</v>
      </c>
      <c r="C14">
        <f>averages!AE14</f>
        <v>29729</v>
      </c>
      <c r="D14">
        <f>averages!AF14</f>
        <v>73</v>
      </c>
      <c r="E14">
        <f t="shared" si="0"/>
        <v>0.99754448518281813</v>
      </c>
      <c r="F14">
        <f>averages!AG14</f>
        <v>29766</v>
      </c>
      <c r="G14">
        <f>averages!AH14</f>
        <v>80</v>
      </c>
      <c r="H14">
        <f t="shared" si="1"/>
        <v>0.99731236981791305</v>
      </c>
      <c r="I14">
        <f>averages!AK14</f>
        <v>39.518700000000003</v>
      </c>
      <c r="K14">
        <f>averages!Z14</f>
        <v>9.8437499999999997E-2</v>
      </c>
      <c r="L14">
        <f>averages!AD14</f>
        <v>39.829687499999999</v>
      </c>
      <c r="M14">
        <f t="shared" si="2"/>
        <v>2.4714605154760503E-3</v>
      </c>
    </row>
    <row r="15" spans="1:13" x14ac:dyDescent="0.25">
      <c r="A15" t="s">
        <v>111</v>
      </c>
      <c r="B15" t="s">
        <v>71</v>
      </c>
      <c r="C15">
        <f>averages!AE15</f>
        <v>16623</v>
      </c>
      <c r="D15">
        <f>averages!AF15</f>
        <v>391</v>
      </c>
      <c r="E15">
        <f t="shared" si="0"/>
        <v>0.97647837333814591</v>
      </c>
      <c r="F15">
        <f>averages!AG15</f>
        <v>16624</v>
      </c>
      <c r="G15">
        <f>averages!AH15</f>
        <v>341</v>
      </c>
      <c r="H15">
        <f t="shared" si="1"/>
        <v>0.97948748796920115</v>
      </c>
      <c r="I15">
        <f>averages!AK15</f>
        <v>0.34689999999999999</v>
      </c>
      <c r="K15">
        <f>averages!Z15</f>
        <v>6.4062499999999994E-2</v>
      </c>
      <c r="L15">
        <f>averages!AD15</f>
        <v>6.25E-2</v>
      </c>
      <c r="M15">
        <f t="shared" si="2"/>
        <v>1.0249999999999999</v>
      </c>
    </row>
    <row r="16" spans="1:13" x14ac:dyDescent="0.25">
      <c r="A16" t="s">
        <v>112</v>
      </c>
      <c r="B16" t="s">
        <v>71</v>
      </c>
      <c r="C16">
        <f>averages!AE16</f>
        <v>16623</v>
      </c>
      <c r="D16">
        <f>averages!AF16</f>
        <v>391</v>
      </c>
      <c r="E16">
        <f t="shared" si="0"/>
        <v>0.97647837333814591</v>
      </c>
      <c r="F16">
        <f>averages!AG16</f>
        <v>16624</v>
      </c>
      <c r="G16">
        <f>averages!AH16</f>
        <v>341</v>
      </c>
      <c r="H16">
        <f t="shared" si="1"/>
        <v>0.97948748796920115</v>
      </c>
      <c r="I16">
        <f>averages!AK16</f>
        <v>4.3699999999999996E-2</v>
      </c>
      <c r="K16">
        <f>averages!Z16</f>
        <v>6.25E-2</v>
      </c>
      <c r="L16">
        <f>averages!AD16</f>
        <v>0</v>
      </c>
      <c r="M16" t="str">
        <f t="shared" si="2"/>
        <v/>
      </c>
    </row>
    <row r="17" spans="1:13" x14ac:dyDescent="0.25">
      <c r="A17" t="s">
        <v>113</v>
      </c>
      <c r="B17" t="s">
        <v>71</v>
      </c>
      <c r="C17">
        <f>averages!AE17</f>
        <v>16623</v>
      </c>
      <c r="D17">
        <f>averages!AF17</f>
        <v>391</v>
      </c>
      <c r="E17">
        <f t="shared" si="0"/>
        <v>0.97647837333814591</v>
      </c>
      <c r="F17">
        <f>averages!AG17</f>
        <v>16624</v>
      </c>
      <c r="G17">
        <f>averages!AH17</f>
        <v>341</v>
      </c>
      <c r="H17">
        <f t="shared" si="1"/>
        <v>0.97948748796920115</v>
      </c>
      <c r="I17">
        <f>averages!AK17</f>
        <v>3.8485000000000005</v>
      </c>
      <c r="K17">
        <f>averages!Z17</f>
        <v>6.0937499999999999E-2</v>
      </c>
      <c r="L17">
        <f>averages!AD17</f>
        <v>46.853124999999999</v>
      </c>
      <c r="M17">
        <f t="shared" si="2"/>
        <v>1.3006069499099579E-3</v>
      </c>
    </row>
    <row r="18" spans="1:13" x14ac:dyDescent="0.25">
      <c r="A18" t="s">
        <v>114</v>
      </c>
      <c r="B18" t="s">
        <v>71</v>
      </c>
      <c r="C18">
        <f>averages!AE18</f>
        <v>16623</v>
      </c>
      <c r="D18">
        <f>averages!AF18</f>
        <v>391</v>
      </c>
      <c r="E18">
        <f t="shared" si="0"/>
        <v>0.97647837333814591</v>
      </c>
      <c r="F18">
        <f>averages!AG18</f>
        <v>16624</v>
      </c>
      <c r="G18">
        <f>averages!AH18</f>
        <v>341</v>
      </c>
      <c r="H18">
        <f t="shared" si="1"/>
        <v>0.97948748796920115</v>
      </c>
      <c r="I18">
        <f>averages!AK18</f>
        <v>0.93589999999999984</v>
      </c>
      <c r="K18">
        <f>averages!Z18</f>
        <v>7.3437500000000003E-2</v>
      </c>
      <c r="L18">
        <f>averages!AD18</f>
        <v>0.71406250000000004</v>
      </c>
      <c r="M18">
        <f t="shared" si="2"/>
        <v>0.10284463894967177</v>
      </c>
    </row>
    <row r="19" spans="1:13" x14ac:dyDescent="0.25">
      <c r="A19" t="s">
        <v>115</v>
      </c>
      <c r="B19" t="s">
        <v>71</v>
      </c>
      <c r="C19" t="str">
        <f>averages!AE19</f>
        <v/>
      </c>
      <c r="D19" t="str">
        <f>averages!AF19</f>
        <v/>
      </c>
      <c r="E19" t="str">
        <f t="shared" si="0"/>
        <v/>
      </c>
      <c r="F19" t="str">
        <f>averages!AG19</f>
        <v/>
      </c>
      <c r="G19" t="str">
        <f>averages!AH19</f>
        <v/>
      </c>
      <c r="H19" t="str">
        <f t="shared" si="1"/>
        <v/>
      </c>
      <c r="I19">
        <f>averages!AK19</f>
        <v>0</v>
      </c>
      <c r="K19" t="str">
        <f>averages!Z19</f>
        <v/>
      </c>
      <c r="L19" t="str">
        <f>averages!AD19</f>
        <v/>
      </c>
      <c r="M19" t="str">
        <f t="shared" si="2"/>
        <v/>
      </c>
    </row>
    <row r="20" spans="1:13" x14ac:dyDescent="0.25">
      <c r="A20" t="s">
        <v>116</v>
      </c>
      <c r="B20" t="s">
        <v>71</v>
      </c>
      <c r="C20">
        <f>averages!AE20</f>
        <v>16623</v>
      </c>
      <c r="D20">
        <f>averages!AF20</f>
        <v>391</v>
      </c>
      <c r="E20">
        <f t="shared" si="0"/>
        <v>0.97647837333814591</v>
      </c>
      <c r="F20">
        <f>averages!AG20</f>
        <v>16624</v>
      </c>
      <c r="G20">
        <f>averages!AH20</f>
        <v>341</v>
      </c>
      <c r="H20">
        <f t="shared" si="1"/>
        <v>0.97948748796920115</v>
      </c>
      <c r="I20">
        <f>averages!AK20</f>
        <v>4.8499999999999995E-2</v>
      </c>
      <c r="K20">
        <f>averages!Z20</f>
        <v>5.7812500000000003E-2</v>
      </c>
      <c r="L20">
        <f>averages!AD20</f>
        <v>0</v>
      </c>
      <c r="M20" t="str">
        <f t="shared" si="2"/>
        <v/>
      </c>
    </row>
    <row r="21" spans="1:13" x14ac:dyDescent="0.25">
      <c r="A21" t="s">
        <v>134</v>
      </c>
      <c r="B21" t="s">
        <v>71</v>
      </c>
      <c r="C21">
        <f>averages!AE21</f>
        <v>16623</v>
      </c>
      <c r="D21">
        <f>averages!AF21</f>
        <v>391</v>
      </c>
      <c r="E21">
        <f t="shared" si="0"/>
        <v>0.97647837333814591</v>
      </c>
      <c r="F21">
        <f>averages!AG21</f>
        <v>16624</v>
      </c>
      <c r="G21">
        <f>averages!AH21</f>
        <v>341</v>
      </c>
      <c r="H21">
        <f t="shared" si="1"/>
        <v>0.97948748796920115</v>
      </c>
      <c r="I21">
        <f>averages!AK21</f>
        <v>0.29670000000000002</v>
      </c>
      <c r="K21">
        <f>averages!Z21</f>
        <v>8.1250000000000003E-2</v>
      </c>
      <c r="L21">
        <f>averages!AD21</f>
        <v>3.2812500000000001E-2</v>
      </c>
      <c r="M21">
        <f t="shared" si="2"/>
        <v>2.4761904761904763</v>
      </c>
    </row>
    <row r="22" spans="1:13" x14ac:dyDescent="0.25">
      <c r="A22" t="s">
        <v>135</v>
      </c>
      <c r="B22" t="s">
        <v>71</v>
      </c>
      <c r="C22">
        <f>averages!AE22</f>
        <v>16623</v>
      </c>
      <c r="D22">
        <f>averages!AF22</f>
        <v>391</v>
      </c>
      <c r="E22">
        <f t="shared" si="0"/>
        <v>0.97647837333814591</v>
      </c>
      <c r="F22">
        <f>averages!AG22</f>
        <v>16624</v>
      </c>
      <c r="G22">
        <f>averages!AH22</f>
        <v>341</v>
      </c>
      <c r="H22">
        <f t="shared" si="1"/>
        <v>0.97948748796920115</v>
      </c>
      <c r="I22">
        <f>averages!AK22</f>
        <v>0.32030000000000008</v>
      </c>
      <c r="K22">
        <f>averages!Z22</f>
        <v>7.8125E-2</v>
      </c>
      <c r="L22">
        <f>averages!AD22</f>
        <v>6.7187499999999997E-2</v>
      </c>
      <c r="M22">
        <f t="shared" si="2"/>
        <v>1.1627906976744187</v>
      </c>
    </row>
    <row r="23" spans="1:13" x14ac:dyDescent="0.25">
      <c r="A23" t="s">
        <v>117</v>
      </c>
      <c r="B23" t="s">
        <v>71</v>
      </c>
      <c r="C23">
        <f>averages!AE23</f>
        <v>16623</v>
      </c>
      <c r="D23">
        <f>averages!AF23</f>
        <v>391</v>
      </c>
      <c r="E23">
        <f t="shared" si="0"/>
        <v>0.97647837333814591</v>
      </c>
      <c r="F23">
        <f>averages!AG23</f>
        <v>16624</v>
      </c>
      <c r="G23">
        <f>averages!AH23</f>
        <v>341</v>
      </c>
      <c r="H23">
        <f t="shared" si="1"/>
        <v>0.97948748796920115</v>
      </c>
      <c r="I23">
        <f>averages!AK23</f>
        <v>0.24540000000000001</v>
      </c>
      <c r="K23">
        <f>averages!Z23</f>
        <v>7.1874999999999994E-2</v>
      </c>
      <c r="L23">
        <f>averages!AD23</f>
        <v>2.5000000000000001E-2</v>
      </c>
      <c r="M23">
        <f t="shared" si="2"/>
        <v>2.8749999999999996</v>
      </c>
    </row>
    <row r="24" spans="1:13" x14ac:dyDescent="0.25">
      <c r="A24" t="s">
        <v>44</v>
      </c>
      <c r="B24" t="s">
        <v>71</v>
      </c>
      <c r="C24">
        <f>averages!AE24</f>
        <v>6689</v>
      </c>
      <c r="D24">
        <f>averages!AF24</f>
        <v>116</v>
      </c>
      <c r="E24">
        <f t="shared" si="0"/>
        <v>0.98265809538047544</v>
      </c>
      <c r="F24">
        <f>averages!AG24</f>
        <v>6722</v>
      </c>
      <c r="G24">
        <f>averages!AH24</f>
        <v>88</v>
      </c>
      <c r="H24">
        <f t="shared" si="1"/>
        <v>0.98690865813745909</v>
      </c>
      <c r="I24">
        <f>averages!AK24</f>
        <v>0.17810000000000001</v>
      </c>
      <c r="K24">
        <f>averages!Z24</f>
        <v>2.34375E-2</v>
      </c>
      <c r="L24">
        <f>averages!AD24</f>
        <v>1.5625E-2</v>
      </c>
      <c r="M24">
        <f t="shared" si="2"/>
        <v>1.5</v>
      </c>
    </row>
    <row r="25" spans="1:13" x14ac:dyDescent="0.25">
      <c r="A25" t="s">
        <v>45</v>
      </c>
      <c r="B25" t="s">
        <v>89</v>
      </c>
      <c r="C25">
        <f>averages!AE25</f>
        <v>2460541</v>
      </c>
      <c r="D25">
        <f>averages!AF25</f>
        <v>14854</v>
      </c>
      <c r="E25">
        <f t="shared" si="0"/>
        <v>0.99396311624150946</v>
      </c>
      <c r="F25">
        <f>averages!AG25</f>
        <v>2467453</v>
      </c>
      <c r="G25">
        <f>averages!AH25</f>
        <v>14708</v>
      </c>
      <c r="H25">
        <f t="shared" si="1"/>
        <v>0.99403919750447123</v>
      </c>
      <c r="I25">
        <f>averages!AK25</f>
        <v>199.73899999999998</v>
      </c>
      <c r="K25">
        <f>averages!Z25</f>
        <v>12.74375</v>
      </c>
      <c r="L25">
        <f>averages!AD25</f>
        <v>185.74062499999999</v>
      </c>
      <c r="M25">
        <f t="shared" si="2"/>
        <v>6.8610461497047304E-2</v>
      </c>
    </row>
    <row r="26" spans="1:13" x14ac:dyDescent="0.25">
      <c r="A26" t="s">
        <v>46</v>
      </c>
      <c r="B26" t="s">
        <v>88</v>
      </c>
      <c r="C26">
        <f>averages!AE26</f>
        <v>624391</v>
      </c>
      <c r="D26">
        <f>averages!AF26</f>
        <v>3706</v>
      </c>
      <c r="E26">
        <f t="shared" si="0"/>
        <v>0.99406461656237843</v>
      </c>
      <c r="F26">
        <f>averages!AG26</f>
        <v>627703</v>
      </c>
      <c r="G26">
        <f>averages!AH26</f>
        <v>3560</v>
      </c>
      <c r="H26">
        <f t="shared" si="1"/>
        <v>0.99432852798218263</v>
      </c>
      <c r="I26">
        <f>averages!AK26</f>
        <v>217.5641</v>
      </c>
      <c r="K26">
        <f>averages!Z26</f>
        <v>2.8468749999999998</v>
      </c>
      <c r="L26">
        <f>averages!AD26</f>
        <v>213.33906250000001</v>
      </c>
      <c r="M26">
        <f t="shared" si="2"/>
        <v>1.3344368193236996E-2</v>
      </c>
    </row>
    <row r="27" spans="1:13" x14ac:dyDescent="0.25">
      <c r="A27" t="s">
        <v>47</v>
      </c>
      <c r="B27" t="s">
        <v>87</v>
      </c>
      <c r="C27">
        <f>averages!AE27</f>
        <v>2460541</v>
      </c>
      <c r="D27">
        <f>averages!AF27</f>
        <v>14836</v>
      </c>
      <c r="E27">
        <f t="shared" si="0"/>
        <v>0.99397043170587285</v>
      </c>
      <c r="F27">
        <f>averages!AG27</f>
        <v>2467453</v>
      </c>
      <c r="G27">
        <f>averages!AH27</f>
        <v>14690</v>
      </c>
      <c r="H27">
        <f t="shared" si="1"/>
        <v>0.99404649247624977</v>
      </c>
      <c r="I27">
        <f>averages!AK27</f>
        <v>159.82990000000001</v>
      </c>
      <c r="K27">
        <f>averages!Z27</f>
        <v>12.6265625</v>
      </c>
      <c r="L27">
        <f>averages!AD27</f>
        <v>145.94374999999999</v>
      </c>
      <c r="M27">
        <f t="shared" si="2"/>
        <v>8.6516637403109081E-2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05D4-AAC5-4781-ABCA-A7E3E6B05845}">
  <dimension ref="A1:E13"/>
  <sheetViews>
    <sheetView workbookViewId="0">
      <selection activeCell="A3" sqref="A3"/>
    </sheetView>
  </sheetViews>
  <sheetFormatPr defaultRowHeight="15" x14ac:dyDescent="0.25"/>
  <cols>
    <col min="1" max="1" width="18.85546875" bestFit="1" customWidth="1"/>
    <col min="2" max="2" width="12.7109375" bestFit="1" customWidth="1"/>
    <col min="3" max="3" width="16.5703125" bestFit="1" customWidth="1"/>
    <col min="4" max="4" width="16.85546875" bestFit="1" customWidth="1"/>
    <col min="5" max="5" width="20.85546875" bestFit="1" customWidth="1"/>
  </cols>
  <sheetData>
    <row r="1" spans="1:5" x14ac:dyDescent="0.25">
      <c r="A1" t="s">
        <v>53</v>
      </c>
      <c r="B1" t="s">
        <v>99</v>
      </c>
      <c r="C1" t="s">
        <v>100</v>
      </c>
      <c r="D1" t="s">
        <v>101</v>
      </c>
      <c r="E1" t="s">
        <v>102</v>
      </c>
    </row>
    <row r="2" spans="1:5" x14ac:dyDescent="0.25">
      <c r="A2" t="s">
        <v>33</v>
      </c>
      <c r="B2">
        <f>averages!AK2</f>
        <v>0.23279999999999995</v>
      </c>
      <c r="C2">
        <f>averages!AL2</f>
        <v>0.20300000000000001</v>
      </c>
      <c r="D2">
        <f>averages!AM2</f>
        <v>0.29699999999999999</v>
      </c>
      <c r="E2">
        <f>'std. dev'!AK2</f>
        <v>2.9977028242009849E-2</v>
      </c>
    </row>
    <row r="3" spans="1:5" x14ac:dyDescent="0.25">
      <c r="A3" t="s">
        <v>66</v>
      </c>
      <c r="B3">
        <f>averages!AK4</f>
        <v>0.2283</v>
      </c>
      <c r="C3">
        <f>averages!AL4</f>
        <v>0.20300000000000001</v>
      </c>
      <c r="D3">
        <f>averages!AM4</f>
        <v>0.26600000000000001</v>
      </c>
      <c r="E3">
        <f>'std. dev'!AK4</f>
        <v>1.8481522303821905E-2</v>
      </c>
    </row>
    <row r="4" spans="1:5" x14ac:dyDescent="0.25">
      <c r="A4" t="s">
        <v>67</v>
      </c>
      <c r="B4">
        <f>averages!AK3</f>
        <v>0.21870000000000003</v>
      </c>
      <c r="C4">
        <f>averages!AL3</f>
        <v>0.20300000000000001</v>
      </c>
      <c r="D4">
        <f>averages!AM3</f>
        <v>0.25</v>
      </c>
      <c r="E4">
        <f>'std. dev'!AK3</f>
        <v>1.8000308639329242E-2</v>
      </c>
    </row>
    <row r="5" spans="1:5" x14ac:dyDescent="0.25">
      <c r="A5" t="s">
        <v>68</v>
      </c>
      <c r="B5">
        <f>averages!AK10</f>
        <v>0.47039999999999998</v>
      </c>
      <c r="C5">
        <f>averages!AL10</f>
        <v>0.42199999999999999</v>
      </c>
      <c r="D5">
        <f>averages!AM10</f>
        <v>0.54700000000000004</v>
      </c>
      <c r="E5">
        <f>'std. dev'!AK10</f>
        <v>4.0691795514848236E-2</v>
      </c>
    </row>
    <row r="6" spans="1:5" x14ac:dyDescent="0.25">
      <c r="A6" t="s">
        <v>69</v>
      </c>
      <c r="B6">
        <f>averages!AK5</f>
        <v>0.50459999999999994</v>
      </c>
      <c r="C6">
        <f>averages!AL5</f>
        <v>0.45299999999999996</v>
      </c>
      <c r="D6">
        <f>averages!AM5</f>
        <v>0.71799999999999997</v>
      </c>
      <c r="E6">
        <f>'std. dev'!AK5</f>
        <v>7.9728985388697785E-2</v>
      </c>
    </row>
    <row r="7" spans="1:5" x14ac:dyDescent="0.25">
      <c r="A7" t="s">
        <v>73</v>
      </c>
      <c r="B7">
        <f>averages!AK6</f>
        <v>0.52500000000000002</v>
      </c>
      <c r="C7">
        <f>averages!AL6</f>
        <v>0.48499999999999999</v>
      </c>
      <c r="D7">
        <f>averages!AM6</f>
        <v>0.57799999999999996</v>
      </c>
      <c r="E7">
        <f>'std. dev'!AK6</f>
        <v>2.764858847110363E-2</v>
      </c>
    </row>
    <row r="8" spans="1:5" x14ac:dyDescent="0.25">
      <c r="A8" t="s">
        <v>77</v>
      </c>
      <c r="B8">
        <f>averages!AK7</f>
        <v>31.954400000000003</v>
      </c>
      <c r="C8">
        <f>averages!AL7</f>
        <v>30.765000000000001</v>
      </c>
      <c r="D8">
        <f>averages!AM7</f>
        <v>33.093000000000004</v>
      </c>
      <c r="E8">
        <f>'std. dev'!AK7</f>
        <v>0.63404665093000578</v>
      </c>
    </row>
    <row r="9" spans="1:5" x14ac:dyDescent="0.25">
      <c r="A9" t="s">
        <v>41</v>
      </c>
      <c r="B9">
        <f>averages!AK8</f>
        <v>0.23910000000000003</v>
      </c>
      <c r="C9">
        <f>averages!AL8</f>
        <v>0.20300000000000001</v>
      </c>
      <c r="D9">
        <f>averages!AM8</f>
        <v>0.28100000000000003</v>
      </c>
      <c r="E9">
        <f>'std. dev'!AK8</f>
        <v>2.6735120472267147E-2</v>
      </c>
    </row>
    <row r="10" spans="1:5" x14ac:dyDescent="0.25">
      <c r="A10" t="s">
        <v>94</v>
      </c>
      <c r="B10">
        <f>averages!AK9</f>
        <v>0.34550000000000003</v>
      </c>
      <c r="C10">
        <f>averages!AL9</f>
        <v>0.26600000000000001</v>
      </c>
      <c r="D10">
        <f>averages!AM9</f>
        <v>0.51600000000000001</v>
      </c>
      <c r="E10">
        <f>'std. dev'!AK9</f>
        <v>7.6367896105337021E-2</v>
      </c>
    </row>
    <row r="11" spans="1:5" x14ac:dyDescent="0.25">
      <c r="A11" t="s">
        <v>90</v>
      </c>
      <c r="B11">
        <f>averages!AK11</f>
        <v>0.22320000000000001</v>
      </c>
      <c r="C11">
        <f>averages!AL11</f>
        <v>0.20300000000000001</v>
      </c>
      <c r="D11">
        <f>averages!AM11</f>
        <v>0.26600000000000001</v>
      </c>
      <c r="E11">
        <f>'std. dev'!AK11</f>
        <v>2.1054426824040798E-2</v>
      </c>
    </row>
    <row r="12" spans="1:5" x14ac:dyDescent="0.25">
      <c r="A12" t="s">
        <v>90</v>
      </c>
      <c r="B12">
        <f>averages!AK12</f>
        <v>0.28110000000000002</v>
      </c>
      <c r="C12">
        <f>averages!AL12</f>
        <v>0.25</v>
      </c>
      <c r="D12">
        <f>averages!AM12</f>
        <v>0.36</v>
      </c>
      <c r="E12">
        <f>'std. dev'!AK12</f>
        <v>3.696079003484655E-2</v>
      </c>
    </row>
    <row r="13" spans="1:5" x14ac:dyDescent="0.25">
      <c r="A13" t="s">
        <v>90</v>
      </c>
      <c r="B13">
        <f>averages!AK13</f>
        <v>2.3390999999999997</v>
      </c>
      <c r="C13">
        <f>averages!AL13</f>
        <v>2.2349999999999999</v>
      </c>
      <c r="D13">
        <f>averages!AM13</f>
        <v>2.625</v>
      </c>
      <c r="E13">
        <f>'std. dev'!AK13</f>
        <v>0.11871763886540945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62F2-4826-47EC-B941-74FED58C703C}">
  <dimension ref="A1:O10"/>
  <sheetViews>
    <sheetView tabSelected="1" workbookViewId="0">
      <selection activeCell="N6" sqref="N6"/>
    </sheetView>
  </sheetViews>
  <sheetFormatPr defaultRowHeight="15" x14ac:dyDescent="0.25"/>
  <cols>
    <col min="1" max="1" width="13.42578125" bestFit="1" customWidth="1"/>
    <col min="2" max="2" width="7.5703125" bestFit="1" customWidth="1"/>
    <col min="3" max="3" width="8.140625" bestFit="1" customWidth="1"/>
    <col min="4" max="4" width="10.28515625" bestFit="1" customWidth="1"/>
    <col min="5" max="5" width="10.28515625" customWidth="1"/>
    <col min="6" max="6" width="12" bestFit="1" customWidth="1"/>
    <col min="7" max="7" width="12.5703125" bestFit="1" customWidth="1"/>
    <col min="8" max="8" width="13.5703125" bestFit="1" customWidth="1"/>
    <col min="9" max="9" width="13.85546875" bestFit="1" customWidth="1"/>
    <col min="10" max="10" width="17.28515625" bestFit="1" customWidth="1"/>
    <col min="11" max="11" width="7.5703125" bestFit="1" customWidth="1"/>
    <col min="12" max="12" width="7" bestFit="1" customWidth="1"/>
    <col min="13" max="13" width="10.5703125" bestFit="1" customWidth="1"/>
    <col min="14" max="14" width="15.85546875" bestFit="1" customWidth="1"/>
    <col min="15" max="15" width="21.5703125" bestFit="1" customWidth="1"/>
  </cols>
  <sheetData>
    <row r="1" spans="1:15" x14ac:dyDescent="0.25">
      <c r="A1" t="s">
        <v>53</v>
      </c>
      <c r="B1" t="s">
        <v>54</v>
      </c>
      <c r="C1" t="s">
        <v>55</v>
      </c>
      <c r="D1" t="s">
        <v>145</v>
      </c>
      <c r="E1" t="s">
        <v>159</v>
      </c>
      <c r="F1" t="s">
        <v>57</v>
      </c>
      <c r="G1" t="s">
        <v>150</v>
      </c>
      <c r="H1" t="s">
        <v>59</v>
      </c>
      <c r="I1" t="s">
        <v>60</v>
      </c>
      <c r="J1" t="s">
        <v>61</v>
      </c>
      <c r="K1" t="s">
        <v>146</v>
      </c>
      <c r="L1" t="s">
        <v>147</v>
      </c>
      <c r="M1" t="s">
        <v>148</v>
      </c>
      <c r="N1" t="s">
        <v>149</v>
      </c>
      <c r="O1" t="s">
        <v>157</v>
      </c>
    </row>
    <row r="2" spans="1:15" x14ac:dyDescent="0.25">
      <c r="A2" t="s">
        <v>158</v>
      </c>
      <c r="B2" t="s">
        <v>70</v>
      </c>
      <c r="C2" t="str">
        <f t="shared" ref="C2:C10" si="0">_xlfn.TEXTAFTER(O2,"-", -1)</f>
        <v>conopt</v>
      </c>
      <c r="D2" t="s">
        <v>71</v>
      </c>
      <c r="E2" t="str">
        <f>averages!E15</f>
        <v>solved?</v>
      </c>
      <c r="F2">
        <f>averages!G15</f>
        <v>1.9590243219206971</v>
      </c>
      <c r="G2">
        <f>averages!AK15</f>
        <v>0.34689999999999999</v>
      </c>
      <c r="H2">
        <f>averages!AL15</f>
        <v>0.313</v>
      </c>
      <c r="I2">
        <f>averages!AM15</f>
        <v>0.39100000000000001</v>
      </c>
      <c r="J2" s="3">
        <f>'std. dev'!AK15</f>
        <v>2.5335306940666377E-2</v>
      </c>
      <c r="K2" t="str">
        <f>averages!I15</f>
        <v/>
      </c>
      <c r="L2">
        <f>averages!AF15</f>
        <v>391</v>
      </c>
      <c r="M2">
        <f>averages!AH15</f>
        <v>341</v>
      </c>
      <c r="N2" t="str">
        <f>averages!V15</f>
        <v/>
      </c>
      <c r="O2" t="str">
        <f>averages!A15</f>
        <v>kinematic-car-conopt</v>
      </c>
    </row>
    <row r="3" spans="1:15" x14ac:dyDescent="0.25">
      <c r="A3" t="s">
        <v>158</v>
      </c>
      <c r="B3" t="s">
        <v>70</v>
      </c>
      <c r="C3" t="str">
        <f t="shared" si="0"/>
        <v>filter</v>
      </c>
      <c r="D3" t="s">
        <v>71</v>
      </c>
      <c r="E3" t="str">
        <f>averages!E16</f>
        <v>failure</v>
      </c>
      <c r="F3">
        <f>averages!G16</f>
        <v>0</v>
      </c>
      <c r="G3">
        <f>averages!AK16</f>
        <v>4.3699999999999996E-2</v>
      </c>
      <c r="H3">
        <f>averages!AL16</f>
        <v>3.1E-2</v>
      </c>
      <c r="I3">
        <f>averages!AM16</f>
        <v>4.7E-2</v>
      </c>
      <c r="J3" s="3">
        <f>'std. dev'!AK16</f>
        <v>6.7007462271004188E-3</v>
      </c>
      <c r="K3" t="str">
        <f>averages!I16</f>
        <v/>
      </c>
      <c r="L3">
        <f>averages!AF16</f>
        <v>391</v>
      </c>
      <c r="M3">
        <f>averages!AH16</f>
        <v>341</v>
      </c>
      <c r="N3" t="str">
        <f>averages!V16</f>
        <v/>
      </c>
      <c r="O3" t="str">
        <f>averages!A16</f>
        <v>kinematic-car-filter</v>
      </c>
    </row>
    <row r="4" spans="1:15" x14ac:dyDescent="0.25">
      <c r="A4" t="s">
        <v>158</v>
      </c>
      <c r="B4" t="s">
        <v>70</v>
      </c>
      <c r="C4" t="str">
        <f t="shared" si="0"/>
        <v>gurobi</v>
      </c>
      <c r="D4" t="s">
        <v>71</v>
      </c>
      <c r="E4" t="str">
        <f>averages!E17</f>
        <v>solved</v>
      </c>
      <c r="F4">
        <f>averages!G17</f>
        <v>1.9590243829214429</v>
      </c>
      <c r="G4">
        <f>averages!AK17</f>
        <v>3.8485000000000005</v>
      </c>
      <c r="H4">
        <f>averages!AL17</f>
        <v>3.734</v>
      </c>
      <c r="I4">
        <f>averages!AM17</f>
        <v>4.0469999999999997</v>
      </c>
      <c r="J4" s="3">
        <f>'std. dev'!AK17</f>
        <v>8.874338786010412E-2</v>
      </c>
      <c r="K4" t="str">
        <f>averages!I17</f>
        <v/>
      </c>
      <c r="L4">
        <f>averages!AF17</f>
        <v>391</v>
      </c>
      <c r="M4">
        <f>averages!AH17</f>
        <v>341</v>
      </c>
      <c r="N4" t="str">
        <f>averages!V17</f>
        <v/>
      </c>
      <c r="O4" t="str">
        <f>averages!A17</f>
        <v>kinematic-car-gurobi</v>
      </c>
    </row>
    <row r="5" spans="1:15" x14ac:dyDescent="0.25">
      <c r="A5" t="s">
        <v>158</v>
      </c>
      <c r="B5" t="s">
        <v>70</v>
      </c>
      <c r="C5" t="str">
        <f t="shared" si="0"/>
        <v>ipopt</v>
      </c>
      <c r="D5" t="s">
        <v>71</v>
      </c>
      <c r="E5" t="str">
        <f>averages!E18</f>
        <v>solved</v>
      </c>
      <c r="F5">
        <f>averages!G18</f>
        <v>1.9589704802783667</v>
      </c>
      <c r="G5">
        <f>averages!AK18</f>
        <v>0.93589999999999984</v>
      </c>
      <c r="H5">
        <f>averages!AL18</f>
        <v>0.875</v>
      </c>
      <c r="I5">
        <f>averages!AM18</f>
        <v>1.0629999999999999</v>
      </c>
      <c r="J5" s="3">
        <f>'std. dev'!AK18</f>
        <v>5.5879731964679671E-2</v>
      </c>
      <c r="K5">
        <f>averages!I18</f>
        <v>204</v>
      </c>
      <c r="L5">
        <f>averages!AF18</f>
        <v>391</v>
      </c>
      <c r="M5">
        <f>averages!AH18</f>
        <v>341</v>
      </c>
      <c r="N5">
        <f>averages!V18</f>
        <v>0</v>
      </c>
      <c r="O5" t="str">
        <f>averages!A18</f>
        <v>kinematic-car-ipopt</v>
      </c>
    </row>
    <row r="6" spans="1:15" x14ac:dyDescent="0.25">
      <c r="A6" t="s">
        <v>158</v>
      </c>
      <c r="B6" t="s">
        <v>70</v>
      </c>
      <c r="C6" t="str">
        <f t="shared" si="0"/>
        <v>knitro</v>
      </c>
      <c r="D6" t="s">
        <v>71</v>
      </c>
      <c r="E6" t="str">
        <f>averages!E19</f>
        <v/>
      </c>
      <c r="F6" t="str">
        <f>averages!G19</f>
        <v/>
      </c>
      <c r="G6">
        <f>averages!AK19</f>
        <v>0</v>
      </c>
      <c r="H6">
        <f>averages!AL19</f>
        <v>0</v>
      </c>
      <c r="I6">
        <f>averages!AM19</f>
        <v>0</v>
      </c>
      <c r="J6" s="3">
        <f>'std. dev'!AK19</f>
        <v>0</v>
      </c>
      <c r="K6" t="str">
        <f>averages!I19</f>
        <v/>
      </c>
      <c r="L6" t="str">
        <f>averages!AF19</f>
        <v/>
      </c>
      <c r="M6" t="str">
        <f>averages!AH19</f>
        <v/>
      </c>
      <c r="N6" t="str">
        <f>averages!V19</f>
        <v/>
      </c>
      <c r="O6" t="str">
        <f>averages!A19</f>
        <v>kinematic-car-knitro</v>
      </c>
    </row>
    <row r="7" spans="1:15" x14ac:dyDescent="0.25">
      <c r="A7" t="s">
        <v>158</v>
      </c>
      <c r="B7" t="s">
        <v>70</v>
      </c>
      <c r="C7" t="str">
        <f t="shared" si="0"/>
        <v>lancelot</v>
      </c>
      <c r="D7" t="s">
        <v>71</v>
      </c>
      <c r="E7" t="str">
        <f>averages!E20</f>
        <v>failure</v>
      </c>
      <c r="F7">
        <f>averages!G20</f>
        <v>0</v>
      </c>
      <c r="G7">
        <f>averages!AK20</f>
        <v>4.8499999999999995E-2</v>
      </c>
      <c r="H7">
        <f>averages!AL20</f>
        <v>3.1E-2</v>
      </c>
      <c r="I7">
        <f>averages!AM20</f>
        <v>6.3E-2</v>
      </c>
      <c r="J7" s="3">
        <f>'std. dev'!AK20</f>
        <v>8.9100442697491265E-3</v>
      </c>
      <c r="K7" t="str">
        <f>averages!I20</f>
        <v/>
      </c>
      <c r="L7">
        <f>averages!AF20</f>
        <v>391</v>
      </c>
      <c r="M7">
        <f>averages!AH20</f>
        <v>341</v>
      </c>
      <c r="N7" t="str">
        <f>averages!V20</f>
        <v/>
      </c>
      <c r="O7" t="str">
        <f>averages!A20</f>
        <v>kinematic-car-lancelot</v>
      </c>
    </row>
    <row r="8" spans="1:15" x14ac:dyDescent="0.25">
      <c r="A8" t="s">
        <v>158</v>
      </c>
      <c r="B8" t="s">
        <v>70</v>
      </c>
      <c r="C8" t="str">
        <f t="shared" si="0"/>
        <v>loqo</v>
      </c>
      <c r="D8" t="s">
        <v>71</v>
      </c>
      <c r="E8" t="str">
        <f>averages!E21</f>
        <v>solved</v>
      </c>
      <c r="F8">
        <f>averages!G21</f>
        <v>1.9589703821413571</v>
      </c>
      <c r="G8">
        <f>averages!AK21</f>
        <v>0.29670000000000002</v>
      </c>
      <c r="H8">
        <f>averages!AL21</f>
        <v>0.21900000000000003</v>
      </c>
      <c r="I8">
        <f>averages!AM21</f>
        <v>0.79600000000000004</v>
      </c>
      <c r="J8" s="3">
        <f>'std. dev'!AK21</f>
        <v>0.17653142622333418</v>
      </c>
      <c r="K8" t="str">
        <f>averages!I21</f>
        <v/>
      </c>
      <c r="L8">
        <f>averages!AF21</f>
        <v>391</v>
      </c>
      <c r="M8">
        <f>averages!AH21</f>
        <v>341</v>
      </c>
      <c r="N8" t="str">
        <f>averages!V21</f>
        <v/>
      </c>
      <c r="O8" t="str">
        <f>averages!A21</f>
        <v>kinematic-car-loqo</v>
      </c>
    </row>
    <row r="9" spans="1:15" x14ac:dyDescent="0.25">
      <c r="A9" t="s">
        <v>158</v>
      </c>
      <c r="B9" t="s">
        <v>70</v>
      </c>
      <c r="C9" t="str">
        <f t="shared" si="0"/>
        <v>minos</v>
      </c>
      <c r="D9" t="s">
        <v>71</v>
      </c>
      <c r="E9" t="str">
        <f>averages!E22</f>
        <v>infeasible</v>
      </c>
      <c r="F9">
        <f>averages!G22</f>
        <v>0</v>
      </c>
      <c r="G9">
        <f>averages!AK22</f>
        <v>0.32030000000000008</v>
      </c>
      <c r="H9">
        <f>averages!AL22</f>
        <v>0.28100000000000003</v>
      </c>
      <c r="I9">
        <f>averages!AM22</f>
        <v>0.51500000000000001</v>
      </c>
      <c r="J9" s="3">
        <f>'std. dev'!AK22</f>
        <v>7.1222733574173802E-2</v>
      </c>
      <c r="K9" t="str">
        <f>averages!I22</f>
        <v/>
      </c>
      <c r="L9">
        <f>averages!AF22</f>
        <v>391</v>
      </c>
      <c r="M9">
        <f>averages!AH22</f>
        <v>341</v>
      </c>
      <c r="N9" t="str">
        <f>averages!V22</f>
        <v/>
      </c>
      <c r="O9" t="str">
        <f>averages!A22</f>
        <v>kinematic-car-minos</v>
      </c>
    </row>
    <row r="10" spans="1:15" x14ac:dyDescent="0.25">
      <c r="A10" t="s">
        <v>158</v>
      </c>
      <c r="B10" t="s">
        <v>70</v>
      </c>
      <c r="C10" t="str">
        <f t="shared" si="0"/>
        <v>snopt</v>
      </c>
      <c r="D10" t="s">
        <v>71</v>
      </c>
      <c r="E10" t="str">
        <f>averages!E23</f>
        <v>infeasible</v>
      </c>
      <c r="F10">
        <f>averages!G23</f>
        <v>0</v>
      </c>
      <c r="G10">
        <f>averages!AK23</f>
        <v>0.24540000000000001</v>
      </c>
      <c r="H10">
        <f>averages!AL23</f>
        <v>0.21899999999999997</v>
      </c>
      <c r="I10">
        <f>averages!AM23</f>
        <v>0.375</v>
      </c>
      <c r="J10" s="3">
        <f>'std. dev'!AK23</f>
        <v>4.7133851953770935E-2</v>
      </c>
      <c r="K10" t="str">
        <f>averages!I23</f>
        <v/>
      </c>
      <c r="L10">
        <f>averages!AF23</f>
        <v>391</v>
      </c>
      <c r="M10">
        <f>averages!AH23</f>
        <v>341</v>
      </c>
      <c r="N10" t="str">
        <f>averages!V23</f>
        <v/>
      </c>
      <c r="O10" t="str">
        <f>averages!A23</f>
        <v>kinematic-car-snopt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DABB-5B0F-45B5-8FBC-255693AF14A6}">
  <dimension ref="A1:O10"/>
  <sheetViews>
    <sheetView workbookViewId="0">
      <selection activeCell="B8" sqref="B8"/>
    </sheetView>
  </sheetViews>
  <sheetFormatPr defaultRowHeight="15" x14ac:dyDescent="0.25"/>
  <cols>
    <col min="1" max="1" width="13.42578125" bestFit="1" customWidth="1"/>
    <col min="2" max="2" width="7.5703125" bestFit="1" customWidth="1"/>
    <col min="3" max="3" width="8.140625" bestFit="1" customWidth="1"/>
    <col min="4" max="4" width="10.28515625" bestFit="1" customWidth="1"/>
    <col min="5" max="5" width="10.28515625" customWidth="1"/>
    <col min="6" max="6" width="12" bestFit="1" customWidth="1"/>
    <col min="7" max="7" width="12.5703125" bestFit="1" customWidth="1"/>
    <col min="8" max="8" width="13.5703125" bestFit="1" customWidth="1"/>
    <col min="9" max="9" width="13.85546875" bestFit="1" customWidth="1"/>
    <col min="10" max="10" width="17.28515625" bestFit="1" customWidth="1"/>
    <col min="11" max="11" width="7.5703125" bestFit="1" customWidth="1"/>
    <col min="12" max="12" width="7" bestFit="1" customWidth="1"/>
    <col min="13" max="13" width="10.5703125" bestFit="1" customWidth="1"/>
    <col min="14" max="14" width="15.85546875" bestFit="1" customWidth="1"/>
    <col min="15" max="15" width="21.5703125" bestFit="1" customWidth="1"/>
  </cols>
  <sheetData>
    <row r="1" spans="1:15" x14ac:dyDescent="0.25">
      <c r="A1" t="s">
        <v>53</v>
      </c>
      <c r="B1" t="s">
        <v>54</v>
      </c>
      <c r="C1" t="s">
        <v>55</v>
      </c>
      <c r="D1" t="s">
        <v>145</v>
      </c>
      <c r="E1" t="s">
        <v>159</v>
      </c>
      <c r="F1" t="s">
        <v>57</v>
      </c>
      <c r="G1" t="s">
        <v>150</v>
      </c>
      <c r="H1" t="s">
        <v>59</v>
      </c>
      <c r="I1" t="s">
        <v>60</v>
      </c>
      <c r="J1" t="s">
        <v>61</v>
      </c>
      <c r="K1" t="s">
        <v>146</v>
      </c>
      <c r="L1" t="s">
        <v>147</v>
      </c>
      <c r="M1" t="s">
        <v>148</v>
      </c>
      <c r="N1" t="s">
        <v>149</v>
      </c>
      <c r="O1" t="s">
        <v>157</v>
      </c>
    </row>
    <row r="2" spans="1:15" x14ac:dyDescent="0.25">
      <c r="A2" t="s">
        <v>160</v>
      </c>
      <c r="B2" t="s">
        <v>70</v>
      </c>
      <c r="C2" t="str">
        <f t="shared" ref="C2:C8" si="0">_xlfn.TEXTAFTER(O2,"-", -1)</f>
        <v>cbc</v>
      </c>
      <c r="D2" t="s">
        <v>86</v>
      </c>
      <c r="E2" t="str">
        <f>averages!E8</f>
        <v>failure</v>
      </c>
      <c r="F2">
        <f>averages!G8</f>
        <v>0</v>
      </c>
      <c r="G2">
        <f>averages!AK8</f>
        <v>0.23910000000000003</v>
      </c>
      <c r="H2">
        <f>averages!AL8</f>
        <v>0.20300000000000001</v>
      </c>
      <c r="I2">
        <f>averages!AM8</f>
        <v>0.28100000000000003</v>
      </c>
      <c r="J2" s="3">
        <f>'std. dev'!AK8</f>
        <v>2.6735120472267147E-2</v>
      </c>
      <c r="K2" t="str">
        <f>averages!I8</f>
        <v/>
      </c>
      <c r="L2">
        <f>averages!AF8</f>
        <v>73</v>
      </c>
      <c r="M2" t="str">
        <f>averages!U8</f>
        <v/>
      </c>
      <c r="N2" t="str">
        <f>averages!V8</f>
        <v/>
      </c>
      <c r="O2" t="str">
        <f>averages!A8</f>
        <v>grasp-cbc</v>
      </c>
    </row>
    <row r="3" spans="1:15" x14ac:dyDescent="0.25">
      <c r="A3" t="s">
        <v>160</v>
      </c>
      <c r="B3" t="s">
        <v>70</v>
      </c>
      <c r="C3" t="str">
        <f t="shared" si="0"/>
        <v>conopt</v>
      </c>
      <c r="D3" t="s">
        <v>86</v>
      </c>
      <c r="E3" t="str">
        <f>averages!E9</f>
        <v>solved?</v>
      </c>
      <c r="F3">
        <f>averages!G9</f>
        <v>6</v>
      </c>
      <c r="G3">
        <f>averages!AK9</f>
        <v>0.34550000000000003</v>
      </c>
      <c r="H3">
        <f>averages!AL9</f>
        <v>0.26600000000000001</v>
      </c>
      <c r="I3">
        <f>averages!AM9</f>
        <v>0.51600000000000001</v>
      </c>
      <c r="J3" s="3">
        <f>'std. dev'!AK9</f>
        <v>7.6367896105337021E-2</v>
      </c>
      <c r="K3" t="str">
        <f>averages!I9</f>
        <v/>
      </c>
      <c r="L3">
        <f>averages!AF9</f>
        <v>73</v>
      </c>
      <c r="M3" t="str">
        <f>averages!U9</f>
        <v/>
      </c>
      <c r="N3" t="str">
        <f>averages!V9</f>
        <v/>
      </c>
      <c r="O3" t="str">
        <f>averages!A9</f>
        <v>grasp-conopt</v>
      </c>
    </row>
    <row r="4" spans="1:15" x14ac:dyDescent="0.25">
      <c r="A4" t="s">
        <v>160</v>
      </c>
      <c r="B4" t="s">
        <v>70</v>
      </c>
      <c r="C4" t="str">
        <f t="shared" si="0"/>
        <v>gurobi</v>
      </c>
      <c r="D4" t="s">
        <v>86</v>
      </c>
      <c r="E4" t="str">
        <f>averages!E10</f>
        <v>solved</v>
      </c>
      <c r="F4">
        <f>averages!G10</f>
        <v>4</v>
      </c>
      <c r="G4">
        <f>averages!AK10</f>
        <v>0.47039999999999998</v>
      </c>
      <c r="H4">
        <f>averages!AL10</f>
        <v>0.42199999999999999</v>
      </c>
      <c r="I4">
        <f>averages!AM10</f>
        <v>0.54700000000000004</v>
      </c>
      <c r="J4" s="3">
        <f>'std. dev'!AK10</f>
        <v>4.0691795514848236E-2</v>
      </c>
      <c r="K4" t="str">
        <f>averages!I10</f>
        <v/>
      </c>
      <c r="L4">
        <f>averages!AF10</f>
        <v>73</v>
      </c>
      <c r="M4" t="str">
        <f>averages!U10</f>
        <v/>
      </c>
      <c r="N4" t="str">
        <f>averages!V10</f>
        <v/>
      </c>
      <c r="O4" t="str">
        <f>averages!A10</f>
        <v>grasp-gurobi</v>
      </c>
    </row>
    <row r="5" spans="1:15" x14ac:dyDescent="0.25">
      <c r="A5" t="s">
        <v>160</v>
      </c>
      <c r="B5" t="s">
        <v>70</v>
      </c>
      <c r="C5" t="str">
        <f t="shared" si="0"/>
        <v>highs</v>
      </c>
      <c r="D5" t="s">
        <v>86</v>
      </c>
      <c r="E5" t="str">
        <f>averages!E11</f>
        <v>failure</v>
      </c>
      <c r="F5">
        <f>averages!G11</f>
        <v>0</v>
      </c>
      <c r="G5">
        <f>averages!AK11</f>
        <v>0.22320000000000001</v>
      </c>
      <c r="H5">
        <f>averages!AL11</f>
        <v>0.20300000000000001</v>
      </c>
      <c r="I5">
        <f>averages!AM11</f>
        <v>0.26600000000000001</v>
      </c>
      <c r="J5" s="3">
        <f>'std. dev'!AK11</f>
        <v>2.1054426824040798E-2</v>
      </c>
      <c r="K5" t="str">
        <f>averages!I11</f>
        <v/>
      </c>
      <c r="L5">
        <f>averages!AF11</f>
        <v>73</v>
      </c>
      <c r="M5" t="str">
        <f>averages!U11</f>
        <v/>
      </c>
      <c r="N5" t="str">
        <f>averages!V11</f>
        <v/>
      </c>
      <c r="O5" t="str">
        <f>averages!A11</f>
        <v>grasp-highs</v>
      </c>
    </row>
    <row r="6" spans="1:15" x14ac:dyDescent="0.25">
      <c r="A6" t="s">
        <v>160</v>
      </c>
      <c r="B6" t="s">
        <v>70</v>
      </c>
      <c r="C6" t="str">
        <f t="shared" si="0"/>
        <v>knitro</v>
      </c>
      <c r="D6" t="s">
        <v>86</v>
      </c>
      <c r="E6" t="str">
        <f>averages!E12</f>
        <v>solved</v>
      </c>
      <c r="F6">
        <f>averages!G12</f>
        <v>34</v>
      </c>
      <c r="G6">
        <f>averages!AK12</f>
        <v>0.28110000000000002</v>
      </c>
      <c r="H6">
        <f>averages!AL12</f>
        <v>0.25</v>
      </c>
      <c r="I6">
        <f>averages!AM12</f>
        <v>0.36</v>
      </c>
      <c r="J6" s="3">
        <f>'std. dev'!AK12</f>
        <v>3.696079003484655E-2</v>
      </c>
      <c r="K6" t="str">
        <f>averages!I12</f>
        <v/>
      </c>
      <c r="L6">
        <f>averages!AF12</f>
        <v>73</v>
      </c>
      <c r="M6" t="str">
        <f>averages!U12</f>
        <v/>
      </c>
      <c r="N6" t="str">
        <f>averages!V12</f>
        <v/>
      </c>
      <c r="O6" t="str">
        <f>averages!A12</f>
        <v>grasp-knitro</v>
      </c>
    </row>
    <row r="7" spans="1:15" x14ac:dyDescent="0.25">
      <c r="A7" t="s">
        <v>160</v>
      </c>
      <c r="B7" t="s">
        <v>70</v>
      </c>
      <c r="C7" t="str">
        <f t="shared" si="0"/>
        <v>raposa</v>
      </c>
      <c r="D7" t="s">
        <v>86</v>
      </c>
      <c r="E7" t="str">
        <f>averages!E13</f>
        <v>solved?</v>
      </c>
      <c r="F7">
        <f>averages!G13</f>
        <v>4</v>
      </c>
      <c r="G7">
        <f>averages!AK13</f>
        <v>2.3390999999999997</v>
      </c>
      <c r="H7">
        <f>averages!AL13</f>
        <v>2.2349999999999999</v>
      </c>
      <c r="I7">
        <f>averages!AM13</f>
        <v>2.625</v>
      </c>
      <c r="J7" s="3">
        <f>'std. dev'!AK13</f>
        <v>0.11871763886540945</v>
      </c>
      <c r="K7" t="str">
        <f>averages!I13</f>
        <v/>
      </c>
      <c r="L7">
        <f>averages!AF13</f>
        <v>73</v>
      </c>
      <c r="M7" t="str">
        <f>averages!U13</f>
        <v/>
      </c>
      <c r="N7" t="str">
        <f>averages!V13</f>
        <v/>
      </c>
      <c r="O7" t="str">
        <f>averages!A13</f>
        <v>grasp-raposa</v>
      </c>
    </row>
    <row r="8" spans="1:15" x14ac:dyDescent="0.25">
      <c r="A8" t="s">
        <v>160</v>
      </c>
      <c r="B8" t="s">
        <v>70</v>
      </c>
      <c r="C8" t="str">
        <f t="shared" si="0"/>
        <v>scip</v>
      </c>
      <c r="D8" t="s">
        <v>86</v>
      </c>
      <c r="E8" t="str">
        <f>averages!E14</f>
        <v>solved</v>
      </c>
      <c r="F8">
        <f>averages!G14</f>
        <v>4</v>
      </c>
      <c r="G8">
        <f>averages!AK14</f>
        <v>39.518700000000003</v>
      </c>
      <c r="H8">
        <f>averages!AL14</f>
        <v>38.734999999999999</v>
      </c>
      <c r="I8">
        <f>averages!AM14</f>
        <v>40.843000000000004</v>
      </c>
      <c r="J8" s="3">
        <f>'std. dev'!AK14</f>
        <v>0.77528819731045118</v>
      </c>
      <c r="K8" t="str">
        <f>averages!I14</f>
        <v/>
      </c>
      <c r="L8">
        <f>averages!AF14</f>
        <v>73</v>
      </c>
      <c r="M8" t="str">
        <f>averages!U14</f>
        <v/>
      </c>
      <c r="N8" t="str">
        <f>averages!V14</f>
        <v/>
      </c>
      <c r="O8" t="str">
        <f>averages!A14</f>
        <v>grasp-scip</v>
      </c>
    </row>
    <row r="9" spans="1:15" x14ac:dyDescent="0.25">
      <c r="J9" s="3"/>
    </row>
    <row r="10" spans="1:15" x14ac:dyDescent="0.25">
      <c r="J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CEB0A0-D9CE-4CFA-9EB0-EE05356BB8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benchmark</vt:lpstr>
      <vt:lpstr>averages</vt:lpstr>
      <vt:lpstr>std. dev</vt:lpstr>
      <vt:lpstr>table_ot</vt:lpstr>
      <vt:lpstr>table_tc</vt:lpstr>
      <vt:lpstr>table_hn</vt:lpstr>
      <vt:lpstr>table_pre</vt:lpstr>
      <vt:lpstr>table_ns</vt:lpstr>
      <vt:lpstr>table_kc</vt:lpstr>
      <vt:lpstr>table_gp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Rosa</dc:creator>
  <cp:lastModifiedBy>Nelson Rosa</cp:lastModifiedBy>
  <dcterms:created xsi:type="dcterms:W3CDTF">2026-06-14T13:28:18Z</dcterms:created>
  <dcterms:modified xsi:type="dcterms:W3CDTF">2026-06-24T22:12:26Z</dcterms:modified>
</cp:coreProperties>
</file>