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r\Documents\Sync\IIT\Research Papers\TRO 2026\code\"/>
    </mc:Choice>
  </mc:AlternateContent>
  <xr:revisionPtr revIDLastSave="0" documentId="13_ncr:1_{01FFF6D7-6F2D-45C0-B1C7-5143C152A66A}" xr6:coauthVersionLast="47" xr6:coauthVersionMax="47" xr10:uidLastSave="{00000000-0000-0000-0000-000000000000}"/>
  <bookViews>
    <workbookView xWindow="390" yWindow="390" windowWidth="38700" windowHeight="15210" activeTab="5" xr2:uid="{00000000-000D-0000-FFFF-FFFF00000000}"/>
  </bookViews>
  <sheets>
    <sheet name="table_ot" sheetId="2" r:id="rId1"/>
    <sheet name="table_tc" sheetId="3" r:id="rId2"/>
    <sheet name="table_hn" sheetId="5" r:id="rId3"/>
    <sheet name="table_pre" sheetId="4" r:id="rId4"/>
    <sheet name="table_ns" sheetId="6" r:id="rId5"/>
    <sheet name="table_kc" sheetId="7" r:id="rId6"/>
    <sheet name="notes" sheetId="1" r:id="rId7"/>
  </sheets>
  <externalReferences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A21" i="4"/>
  <c r="A22" i="4"/>
  <c r="A23" i="4"/>
  <c r="A24" i="4"/>
  <c r="A25" i="4"/>
  <c r="A26" i="4"/>
  <c r="A27" i="4"/>
  <c r="A14" i="4"/>
  <c r="A15" i="4"/>
  <c r="A16" i="4"/>
  <c r="A17" i="4"/>
  <c r="A18" i="4"/>
  <c r="A19" i="4"/>
  <c r="A20" i="4"/>
  <c r="P4" i="7"/>
  <c r="C4" i="7" s="1"/>
  <c r="M4" i="7"/>
  <c r="N4" i="7"/>
  <c r="L4" i="7"/>
  <c r="K4" i="7"/>
  <c r="J4" i="7"/>
  <c r="H4" i="7"/>
  <c r="I4" i="7"/>
  <c r="G4" i="7"/>
  <c r="F4" i="7"/>
  <c r="E4" i="7"/>
  <c r="P10" i="7"/>
  <c r="C10" i="7" s="1"/>
  <c r="P9" i="7"/>
  <c r="C9" i="7" s="1"/>
  <c r="P8" i="7"/>
  <c r="C8" i="7" s="1"/>
  <c r="P7" i="7"/>
  <c r="C7" i="7" s="1"/>
  <c r="P6" i="7"/>
  <c r="C6" i="7" s="1"/>
  <c r="P5" i="7"/>
  <c r="C5" i="7" s="1"/>
  <c r="P3" i="7"/>
  <c r="C3" i="7" s="1"/>
  <c r="P2" i="7"/>
  <c r="C2" i="7" s="1"/>
  <c r="N10" i="7"/>
  <c r="M10" i="7"/>
  <c r="L10" i="7"/>
  <c r="K10" i="7"/>
  <c r="J10" i="7"/>
  <c r="I10" i="7"/>
  <c r="H10" i="7"/>
  <c r="G10" i="7"/>
  <c r="F10" i="7"/>
  <c r="E10" i="7"/>
  <c r="N9" i="7"/>
  <c r="M9" i="7"/>
  <c r="L9" i="7"/>
  <c r="K9" i="7"/>
  <c r="J9" i="7"/>
  <c r="I9" i="7"/>
  <c r="H9" i="7"/>
  <c r="G9" i="7"/>
  <c r="F9" i="7"/>
  <c r="E9" i="7"/>
  <c r="N8" i="7"/>
  <c r="M8" i="7"/>
  <c r="L8" i="7"/>
  <c r="K8" i="7"/>
  <c r="J8" i="7"/>
  <c r="I8" i="7"/>
  <c r="H8" i="7"/>
  <c r="G8" i="7"/>
  <c r="F8" i="7"/>
  <c r="E8" i="7"/>
  <c r="N7" i="7"/>
  <c r="M7" i="7"/>
  <c r="L7" i="7"/>
  <c r="K7" i="7"/>
  <c r="J7" i="7"/>
  <c r="I7" i="7"/>
  <c r="H7" i="7"/>
  <c r="G7" i="7"/>
  <c r="F7" i="7"/>
  <c r="E7" i="7"/>
  <c r="N6" i="7"/>
  <c r="M6" i="7"/>
  <c r="L6" i="7"/>
  <c r="K6" i="7"/>
  <c r="J6" i="7"/>
  <c r="I6" i="7"/>
  <c r="H6" i="7"/>
  <c r="G6" i="7"/>
  <c r="F6" i="7"/>
  <c r="E6" i="7"/>
  <c r="N5" i="7"/>
  <c r="M5" i="7"/>
  <c r="L5" i="7"/>
  <c r="K5" i="7"/>
  <c r="J5" i="7"/>
  <c r="I5" i="7"/>
  <c r="H5" i="7"/>
  <c r="G5" i="7"/>
  <c r="F5" i="7"/>
  <c r="E5" i="7"/>
  <c r="N3" i="7"/>
  <c r="M3" i="7"/>
  <c r="L3" i="7"/>
  <c r="K3" i="7"/>
  <c r="J3" i="7"/>
  <c r="I3" i="7"/>
  <c r="H3" i="7"/>
  <c r="G3" i="7"/>
  <c r="F3" i="7"/>
  <c r="E3" i="7"/>
  <c r="N2" i="7"/>
  <c r="M2" i="7"/>
  <c r="L2" i="7"/>
  <c r="K2" i="7"/>
  <c r="J2" i="7"/>
  <c r="I2" i="7"/>
  <c r="H2" i="7"/>
  <c r="G2" i="7"/>
  <c r="F2" i="7"/>
  <c r="E2" i="7"/>
  <c r="E10" i="2" l="1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A6" i="5"/>
  <c r="B2" i="5"/>
  <c r="C2" i="5"/>
  <c r="D2" i="5"/>
  <c r="E2" i="5"/>
  <c r="S2" i="5"/>
  <c r="B4" i="5"/>
  <c r="C4" i="5"/>
  <c r="D4" i="5"/>
  <c r="E4" i="5"/>
  <c r="S4" i="5"/>
  <c r="A3" i="5"/>
  <c r="A4" i="5"/>
  <c r="A5" i="5"/>
  <c r="A7" i="5"/>
  <c r="A2" i="5"/>
  <c r="N10" i="2" l="1"/>
  <c r="N8" i="2"/>
  <c r="G2" i="6" l="1"/>
  <c r="H2" i="6"/>
  <c r="I2" i="6"/>
  <c r="J2" i="6"/>
  <c r="G3" i="6"/>
  <c r="H3" i="6"/>
  <c r="I3" i="6"/>
  <c r="J3" i="6"/>
  <c r="G4" i="6"/>
  <c r="H4" i="6"/>
  <c r="I4" i="6"/>
  <c r="J4" i="6"/>
  <c r="G5" i="6"/>
  <c r="H5" i="6"/>
  <c r="I5" i="6"/>
  <c r="J5" i="6"/>
  <c r="G6" i="6"/>
  <c r="H6" i="6"/>
  <c r="I6" i="6"/>
  <c r="M6" i="6" s="1"/>
  <c r="J6" i="6"/>
  <c r="G7" i="6"/>
  <c r="H7" i="6"/>
  <c r="I7" i="6"/>
  <c r="J7" i="6"/>
  <c r="G8" i="6"/>
  <c r="H8" i="6"/>
  <c r="I8" i="6"/>
  <c r="J8" i="6"/>
  <c r="G9" i="6"/>
  <c r="H9" i="6"/>
  <c r="I9" i="6"/>
  <c r="J9" i="6"/>
  <c r="G10" i="6"/>
  <c r="H10" i="6"/>
  <c r="I10" i="6"/>
  <c r="J10" i="6"/>
  <c r="G11" i="6"/>
  <c r="H11" i="6"/>
  <c r="I11" i="6"/>
  <c r="J11" i="6"/>
  <c r="G12" i="6"/>
  <c r="H12" i="6"/>
  <c r="I12" i="6"/>
  <c r="J12" i="6"/>
  <c r="G13" i="6"/>
  <c r="H13" i="6"/>
  <c r="I13" i="6"/>
  <c r="J13" i="6"/>
  <c r="G14" i="6"/>
  <c r="H14" i="6"/>
  <c r="I14" i="6"/>
  <c r="J14" i="6"/>
  <c r="A2" i="6"/>
  <c r="C2" i="6"/>
  <c r="D2" i="6"/>
  <c r="E2" i="6"/>
  <c r="F2" i="6"/>
  <c r="A3" i="6"/>
  <c r="C3" i="6"/>
  <c r="D3" i="6"/>
  <c r="E3" i="6"/>
  <c r="F3" i="6"/>
  <c r="A4" i="6"/>
  <c r="C4" i="6"/>
  <c r="D4" i="6"/>
  <c r="E4" i="6"/>
  <c r="F4" i="6"/>
  <c r="A5" i="6"/>
  <c r="C5" i="6"/>
  <c r="D5" i="6"/>
  <c r="E5" i="6"/>
  <c r="F5" i="6"/>
  <c r="A6" i="6"/>
  <c r="C6" i="6"/>
  <c r="D6" i="6"/>
  <c r="E6" i="6"/>
  <c r="F6" i="6"/>
  <c r="A7" i="6"/>
  <c r="C7" i="6"/>
  <c r="D7" i="6"/>
  <c r="E7" i="6"/>
  <c r="F7" i="6"/>
  <c r="A8" i="6"/>
  <c r="C8" i="6"/>
  <c r="D8" i="6"/>
  <c r="E8" i="6"/>
  <c r="F8" i="6"/>
  <c r="A9" i="6"/>
  <c r="C9" i="6"/>
  <c r="D9" i="6"/>
  <c r="E9" i="6"/>
  <c r="F9" i="6"/>
  <c r="A10" i="6"/>
  <c r="C10" i="6"/>
  <c r="D10" i="6"/>
  <c r="E10" i="6"/>
  <c r="F10" i="6"/>
  <c r="A11" i="6"/>
  <c r="C11" i="6"/>
  <c r="D11" i="6"/>
  <c r="E11" i="6"/>
  <c r="F11" i="6"/>
  <c r="A12" i="6"/>
  <c r="C12" i="6"/>
  <c r="D12" i="6"/>
  <c r="E12" i="6"/>
  <c r="F12" i="6"/>
  <c r="A13" i="6"/>
  <c r="C13" i="6"/>
  <c r="D13" i="6"/>
  <c r="E13" i="6"/>
  <c r="F13" i="6"/>
  <c r="A14" i="6"/>
  <c r="C14" i="6"/>
  <c r="D14" i="6"/>
  <c r="E14" i="6"/>
  <c r="F14" i="6"/>
  <c r="A1" i="4"/>
  <c r="B1" i="4"/>
  <c r="C1" i="4"/>
  <c r="D1" i="4"/>
  <c r="E1" i="4"/>
  <c r="F1" i="4"/>
  <c r="G1" i="4"/>
  <c r="H1" i="4"/>
  <c r="A2" i="4"/>
  <c r="B2" i="4"/>
  <c r="C2" i="4"/>
  <c r="D2" i="4"/>
  <c r="E2" i="4"/>
  <c r="F2" i="4"/>
  <c r="G2" i="4"/>
  <c r="H2" i="4"/>
  <c r="A3" i="4"/>
  <c r="B3" i="4"/>
  <c r="C3" i="4"/>
  <c r="D3" i="4"/>
  <c r="E3" i="4"/>
  <c r="F3" i="4"/>
  <c r="G3" i="4"/>
  <c r="H3" i="4"/>
  <c r="A4" i="4"/>
  <c r="B4" i="4"/>
  <c r="C4" i="4"/>
  <c r="D4" i="4"/>
  <c r="E4" i="4"/>
  <c r="F4" i="4"/>
  <c r="G4" i="4"/>
  <c r="H4" i="4"/>
  <c r="A5" i="4"/>
  <c r="B5" i="4"/>
  <c r="C5" i="4"/>
  <c r="D5" i="4"/>
  <c r="E5" i="4"/>
  <c r="F5" i="4"/>
  <c r="G5" i="4"/>
  <c r="H5" i="4"/>
  <c r="A6" i="4"/>
  <c r="B6" i="4"/>
  <c r="C6" i="4"/>
  <c r="D6" i="4"/>
  <c r="E6" i="4"/>
  <c r="F6" i="4"/>
  <c r="G6" i="4"/>
  <c r="H6" i="4"/>
  <c r="A7" i="4"/>
  <c r="B7" i="4"/>
  <c r="C7" i="4"/>
  <c r="D7" i="4"/>
  <c r="E7" i="4"/>
  <c r="F7" i="4"/>
  <c r="G7" i="4"/>
  <c r="H7" i="4"/>
  <c r="A8" i="4"/>
  <c r="B8" i="4"/>
  <c r="C8" i="4"/>
  <c r="D8" i="4"/>
  <c r="E8" i="4"/>
  <c r="F8" i="4"/>
  <c r="G8" i="4"/>
  <c r="H8" i="4"/>
  <c r="A9" i="4"/>
  <c r="B9" i="4"/>
  <c r="C9" i="4"/>
  <c r="D9" i="4"/>
  <c r="E9" i="4"/>
  <c r="F9" i="4"/>
  <c r="G9" i="4"/>
  <c r="H9" i="4"/>
  <c r="A10" i="4"/>
  <c r="B10" i="4"/>
  <c r="C10" i="4"/>
  <c r="D10" i="4"/>
  <c r="E10" i="4"/>
  <c r="F10" i="4"/>
  <c r="G10" i="4"/>
  <c r="H10" i="4"/>
  <c r="A11" i="4"/>
  <c r="B11" i="4"/>
  <c r="C11" i="4"/>
  <c r="D11" i="4"/>
  <c r="E11" i="4"/>
  <c r="F11" i="4"/>
  <c r="G11" i="4"/>
  <c r="H11" i="4"/>
  <c r="A12" i="4"/>
  <c r="B12" i="4"/>
  <c r="C12" i="4"/>
  <c r="D12" i="4"/>
  <c r="E12" i="4"/>
  <c r="F12" i="4"/>
  <c r="G12" i="4"/>
  <c r="H12" i="4"/>
  <c r="A13" i="4"/>
  <c r="B13" i="4"/>
  <c r="C13" i="4"/>
  <c r="D13" i="4"/>
  <c r="E13" i="4"/>
  <c r="F13" i="4"/>
  <c r="G13" i="4"/>
  <c r="H13" i="4"/>
  <c r="K8" i="6" l="1"/>
  <c r="K4" i="6"/>
  <c r="L8" i="6"/>
  <c r="K12" i="6"/>
  <c r="K6" i="6"/>
  <c r="L6" i="6"/>
  <c r="M5" i="6"/>
  <c r="L5" i="6"/>
  <c r="K5" i="6"/>
  <c r="M4" i="6"/>
  <c r="L13" i="6"/>
  <c r="K7" i="6"/>
  <c r="M11" i="6"/>
  <c r="K11" i="6"/>
  <c r="K10" i="6"/>
  <c r="L14" i="6"/>
  <c r="L9" i="6"/>
  <c r="L4" i="6"/>
  <c r="M14" i="6"/>
  <c r="M10" i="6"/>
  <c r="K9" i="6"/>
  <c r="M9" i="6"/>
  <c r="K14" i="6"/>
  <c r="M13" i="6"/>
  <c r="M8" i="6"/>
  <c r="M3" i="6"/>
  <c r="L11" i="6"/>
  <c r="L3" i="6"/>
  <c r="L10" i="6"/>
  <c r="K3" i="6"/>
  <c r="M12" i="6"/>
  <c r="M7" i="6"/>
  <c r="K13" i="6"/>
  <c r="L12" i="6"/>
  <c r="L7" i="6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A2" i="3" l="1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A2" i="2" l="1"/>
  <c r="B2" i="2"/>
  <c r="C2" i="2"/>
  <c r="D2" i="2"/>
  <c r="N2" i="2"/>
  <c r="A4" i="2"/>
  <c r="B4" i="2"/>
  <c r="C4" i="2"/>
  <c r="D4" i="2"/>
  <c r="N4" i="2"/>
  <c r="A6" i="2"/>
  <c r="B6" i="2"/>
  <c r="C6" i="2"/>
  <c r="D6" i="2"/>
  <c r="N6" i="2"/>
  <c r="A8" i="2"/>
  <c r="B8" i="2"/>
  <c r="C8" i="2"/>
  <c r="D8" i="2"/>
  <c r="A10" i="2"/>
  <c r="B10" i="2"/>
  <c r="C10" i="2"/>
  <c r="D10" i="2"/>
  <c r="A1" i="2"/>
  <c r="B1" i="2"/>
  <c r="C1" i="2"/>
  <c r="D1" i="2"/>
  <c r="E1" i="2"/>
  <c r="F1" i="2"/>
  <c r="G1" i="2"/>
  <c r="H1" i="2"/>
  <c r="I1" i="2"/>
  <c r="J1" i="2"/>
  <c r="K1" i="2"/>
  <c r="L1" i="2"/>
  <c r="M1" i="2"/>
  <c r="N1" i="2"/>
  <c r="A3" i="2"/>
  <c r="B3" i="2"/>
  <c r="C3" i="2"/>
  <c r="D3" i="2"/>
  <c r="H3" i="2"/>
  <c r="J3" i="2"/>
  <c r="K3" i="2"/>
  <c r="N3" i="2"/>
  <c r="A5" i="2"/>
  <c r="B5" i="2"/>
  <c r="C5" i="2"/>
  <c r="D5" i="2"/>
  <c r="N5" i="2"/>
  <c r="A7" i="2"/>
  <c r="B7" i="2"/>
  <c r="C7" i="2"/>
  <c r="D7" i="2"/>
  <c r="F7" i="2"/>
  <c r="G7" i="2"/>
  <c r="H7" i="2"/>
  <c r="I7" i="2"/>
  <c r="K7" i="2"/>
  <c r="N7" i="2"/>
  <c r="A9" i="2"/>
  <c r="B9" i="2"/>
  <c r="C9" i="2"/>
  <c r="D9" i="2"/>
  <c r="G9" i="2"/>
  <c r="H9" i="2"/>
  <c r="J9" i="2"/>
  <c r="K9" i="2"/>
  <c r="L9" i="2"/>
  <c r="M9" i="2"/>
  <c r="N9" i="2"/>
  <c r="A11" i="2"/>
  <c r="B11" i="2"/>
  <c r="C11" i="2"/>
  <c r="D11" i="2"/>
  <c r="K11" i="2"/>
  <c r="M11" i="2"/>
  <c r="N11" i="2"/>
  <c r="A12" i="2"/>
  <c r="B12" i="2"/>
  <c r="C12" i="2"/>
  <c r="D12" i="2"/>
  <c r="E12" i="2"/>
  <c r="F12" i="2"/>
  <c r="H12" i="2"/>
  <c r="N12" i="2"/>
  <c r="M12" i="2"/>
  <c r="L12" i="2"/>
  <c r="L11" i="2"/>
  <c r="M7" i="2"/>
  <c r="L7" i="2"/>
  <c r="M5" i="2"/>
  <c r="L5" i="2"/>
  <c r="M3" i="2"/>
  <c r="L3" i="2"/>
  <c r="J12" i="2"/>
  <c r="J11" i="2"/>
  <c r="J7" i="2"/>
  <c r="K12" i="2"/>
  <c r="K5" i="2"/>
  <c r="J5" i="2"/>
  <c r="I12" i="2"/>
  <c r="I11" i="2"/>
  <c r="I9" i="2"/>
  <c r="I5" i="2"/>
  <c r="I3" i="2"/>
  <c r="G12" i="2"/>
  <c r="H11" i="2"/>
  <c r="G11" i="2"/>
  <c r="H5" i="2"/>
  <c r="G5" i="2"/>
  <c r="G3" i="2"/>
  <c r="F11" i="2"/>
  <c r="F9" i="2"/>
  <c r="F5" i="2"/>
  <c r="F3" i="2"/>
  <c r="E11" i="2"/>
  <c r="E9" i="2"/>
  <c r="E7" i="2"/>
  <c r="E5" i="2"/>
  <c r="E3" i="2"/>
  <c r="F4" i="5" l="1"/>
  <c r="O4" i="5"/>
  <c r="P4" i="5"/>
  <c r="Q4" i="5"/>
  <c r="R4" i="5"/>
  <c r="Q2" i="5"/>
  <c r="R2" i="5"/>
  <c r="P2" i="5"/>
  <c r="O2" i="5"/>
  <c r="M2" i="5"/>
  <c r="F2" i="5"/>
  <c r="G2" i="5" l="1"/>
  <c r="L2" i="5"/>
  <c r="H2" i="5"/>
  <c r="I2" i="5"/>
  <c r="K2" i="5"/>
  <c r="N2" i="5"/>
  <c r="J2" i="5"/>
  <c r="H4" i="5" l="1"/>
  <c r="I4" i="5"/>
  <c r="K4" i="5"/>
  <c r="N4" i="5"/>
  <c r="G4" i="5"/>
  <c r="J4" i="5"/>
  <c r="L4" i="5"/>
  <c r="M4" i="5"/>
  <c r="M8" i="2" l="1"/>
  <c r="L8" i="2"/>
  <c r="K8" i="2"/>
  <c r="E8" i="2"/>
  <c r="H8" i="2"/>
  <c r="F8" i="2"/>
  <c r="G8" i="2"/>
  <c r="J8" i="2"/>
  <c r="I8" i="2"/>
  <c r="L6" i="2" l="1"/>
  <c r="M6" i="2"/>
  <c r="L2" i="2"/>
  <c r="M2" i="2"/>
  <c r="M10" i="2"/>
  <c r="L10" i="2"/>
  <c r="L4" i="2"/>
  <c r="M4" i="2"/>
  <c r="J4" i="2"/>
  <c r="K4" i="2"/>
  <c r="K6" i="2"/>
  <c r="K10" i="2"/>
  <c r="K2" i="2"/>
  <c r="F6" i="2"/>
  <c r="F10" i="2"/>
  <c r="J2" i="2"/>
  <c r="I6" i="2"/>
  <c r="I4" i="2"/>
  <c r="E2" i="2"/>
  <c r="F2" i="2"/>
  <c r="J10" i="2"/>
  <c r="E4" i="2"/>
  <c r="I10" i="2"/>
  <c r="G4" i="2"/>
  <c r="H4" i="2"/>
  <c r="G6" i="2"/>
  <c r="H6" i="2"/>
  <c r="F4" i="2"/>
  <c r="E6" i="2"/>
  <c r="H2" i="2"/>
  <c r="G2" i="2"/>
  <c r="G10" i="2"/>
  <c r="H10" i="2"/>
  <c r="I2" i="2"/>
  <c r="J6" i="2"/>
</calcChain>
</file>

<file path=xl/sharedStrings.xml><?xml version="1.0" encoding="utf-8"?>
<sst xmlns="http://schemas.openxmlformats.org/spreadsheetml/2006/main" count="105" uniqueCount="47">
  <si>
    <t>Demo</t>
  </si>
  <si>
    <t>Solver</t>
  </si>
  <si>
    <t>ODE</t>
  </si>
  <si>
    <t>Library</t>
  </si>
  <si>
    <t>Objective</t>
  </si>
  <si>
    <t>Wall Time</t>
  </si>
  <si>
    <t>Iterations</t>
  </si>
  <si>
    <t>Eval. Time</t>
  </si>
  <si>
    <t>Variables</t>
  </si>
  <si>
    <t>Eq. Constr.</t>
  </si>
  <si>
    <t>Ineq. Constr.</t>
  </si>
  <si>
    <t>HS</t>
  </si>
  <si>
    <t>Amplify</t>
  </si>
  <si>
    <t>TRAP</t>
  </si>
  <si>
    <t>COL3</t>
  </si>
  <si>
    <t>RK1</t>
  </si>
  <si>
    <t>RK4</t>
  </si>
  <si>
    <t>N/A</t>
  </si>
  <si>
    <t>Notes</t>
  </si>
  <si>
    <t>OptimTraj wall time is from when the demo script starts until the NLP is solved.</t>
  </si>
  <si>
    <t>Amplify (+ NEOS) wall time is from when the run script starts (reset to _ampl_elapsed_time) until the NLP is solved (_ampl_elapsed_time  + _solver_elapsed_time).</t>
  </si>
  <si>
    <t>Amplify + NEOS cloud time is from when the code enters and exist a function call to run(...).</t>
  </si>
  <si>
    <t>TROPIC wall time is from when the demo script starts until the NLP is solved.</t>
  </si>
  <si>
    <t>Horizon wall time is from when the demo script starts until the NLP is solved.</t>
  </si>
  <si>
    <t>Wall Time Min</t>
  </si>
  <si>
    <t>Wall Time Max</t>
  </si>
  <si>
    <t>Wall Time Std. Dev</t>
  </si>
  <si>
    <t>Order</t>
  </si>
  <si>
    <t>Eval. Time Min</t>
  </si>
  <si>
    <t>Eval. Time Max</t>
  </si>
  <si>
    <t>Eval. Time Std. Dev.</t>
  </si>
  <si>
    <t>Note</t>
  </si>
  <si>
    <t>Converged?</t>
  </si>
  <si>
    <t>Local</t>
  </si>
  <si>
    <t>NEOS</t>
  </si>
  <si>
    <t>RK Method</t>
  </si>
  <si>
    <t>Ratios</t>
  </si>
  <si>
    <t>Elapsed Time</t>
  </si>
  <si>
    <t>Elapsed Time Min</t>
  </si>
  <si>
    <t>Elapsed Time Max</t>
  </si>
  <si>
    <t>Wall Time (s)</t>
  </si>
  <si>
    <t>Iterates</t>
  </si>
  <si>
    <t># Vars.</t>
  </si>
  <si>
    <t># Eq. Cons.</t>
  </si>
  <si>
    <t># of Ineq. Constr.</t>
  </si>
  <si>
    <t>Kinematic Car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</si>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</sst>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r\Documents\Sync\IIT\Research%20Papers\TRO%202026\code\Amplify%20Benchmark\benchmark.xlsx" TargetMode="External"/><Relationship Id="rId1" Type="http://schemas.openxmlformats.org/officeDocument/2006/relationships/externalLinkPath" Target="Amplify%20Benchmark/benchmar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r\Documents\Sync\IIT\Research%20Papers\TRO%202026\code\Amplify%20Benchmark\neos_benchmark.xlsx" TargetMode="External"/><Relationship Id="rId1" Type="http://schemas.openxmlformats.org/officeDocument/2006/relationships/externalLinkPath" Target="Amplify%20Benchmark/neos_benchmar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r\Documents\Sync\IIT\Research%20Papers\TRO%202026\code\OptimTraj%20Benchmark\optimtraj_demos.xlsx" TargetMode="External"/><Relationship Id="rId1" Type="http://schemas.openxmlformats.org/officeDocument/2006/relationships/externalLinkPath" Target="OptimTraj%20Benchmark/optimtraj_dem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r\Documents\Sync\IIT\Research%20Papers\TRO%202026\code\TROPIC%20Benchmark\tropic_demos.xlsx" TargetMode="External"/><Relationship Id="rId1" Type="http://schemas.openxmlformats.org/officeDocument/2006/relationships/externalLinkPath" Target="TROPIC%20Benchmark/tropic_demo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r\Documents\Sync\IIT\Research%20Papers\TRO%202026\code\Horizon%20Benchmark\ipopt_output.xlsx" TargetMode="External"/><Relationship Id="rId1" Type="http://schemas.openxmlformats.org/officeDocument/2006/relationships/externalLinkPath" Target="Horizon%20Benchmark/ipopt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nchmark"/>
      <sheetName val="averages"/>
      <sheetName val="std. dev"/>
      <sheetName val="table_ot"/>
      <sheetName val="table_tc"/>
      <sheetName val="table_hn"/>
      <sheetName val="table_pre"/>
      <sheetName val="table_ns"/>
      <sheetName val="table_kc"/>
      <sheetName val="table_gp"/>
    </sheetNames>
    <sheetDataSet>
      <sheetData sheetId="0"/>
      <sheetData sheetId="1">
        <row r="2">
          <cell r="E2" t="str">
            <v>solved</v>
          </cell>
        </row>
        <row r="17">
          <cell r="A17" t="str">
            <v>kinematic-car-gurobi</v>
          </cell>
          <cell r="E17" t="str">
            <v>solved</v>
          </cell>
          <cell r="G17">
            <v>1.9590243829214429</v>
          </cell>
          <cell r="I17" t="str">
            <v/>
          </cell>
          <cell r="T17" t="str">
            <v/>
          </cell>
          <cell r="U17" t="str">
            <v/>
          </cell>
          <cell r="V17" t="str">
            <v/>
          </cell>
          <cell r="AK17">
            <v>3.8485000000000005</v>
          </cell>
          <cell r="AL17">
            <v>3.734</v>
          </cell>
          <cell r="AM17">
            <v>4.0469999999999997</v>
          </cell>
        </row>
      </sheetData>
      <sheetData sheetId="2">
        <row r="17">
          <cell r="AK17">
            <v>8.874338786010412E-2</v>
          </cell>
        </row>
      </sheetData>
      <sheetData sheetId="3">
        <row r="1">
          <cell r="A1" t="str">
            <v>Demo</v>
          </cell>
          <cell r="B1" t="str">
            <v>Library</v>
          </cell>
          <cell r="C1" t="str">
            <v>Solver</v>
          </cell>
          <cell r="D1" t="str">
            <v>RK Method</v>
          </cell>
          <cell r="E1" t="str">
            <v>Objective</v>
          </cell>
          <cell r="F1" t="str">
            <v>Wall Time (s)</v>
          </cell>
          <cell r="G1" t="str">
            <v>Wall Time Min</v>
          </cell>
          <cell r="H1" t="str">
            <v>Wall Time Max</v>
          </cell>
          <cell r="I1" t="str">
            <v>Wall Time Std. Dev</v>
          </cell>
          <cell r="J1" t="str">
            <v>Iterates</v>
          </cell>
          <cell r="K1" t="str">
            <v># Vars.</v>
          </cell>
          <cell r="L1" t="str">
            <v># Eq. Cons.</v>
          </cell>
          <cell r="M1" t="str">
            <v># of Ineq. Constr.</v>
          </cell>
          <cell r="N1" t="str">
            <v>Order</v>
          </cell>
        </row>
        <row r="2">
          <cell r="A2" t="str">
            <v>Acrobot</v>
          </cell>
          <cell r="B2" t="str">
            <v>Amplify</v>
          </cell>
          <cell r="C2" t="str">
            <v>Ipopt 3.12.13</v>
          </cell>
          <cell r="D2" t="str">
            <v>TRAP</v>
          </cell>
          <cell r="E2">
            <v>69.877641620638045</v>
          </cell>
          <cell r="F2">
            <v>0.23279999999999995</v>
          </cell>
          <cell r="G2">
            <v>0.20300000000000001</v>
          </cell>
          <cell r="H2">
            <v>0.29699999999999999</v>
          </cell>
          <cell r="I2">
            <v>2.9977028242009849E-2</v>
          </cell>
          <cell r="J2">
            <v>14</v>
          </cell>
          <cell r="K2">
            <v>132</v>
          </cell>
          <cell r="L2">
            <v>116</v>
          </cell>
          <cell r="M2">
            <v>18</v>
          </cell>
          <cell r="N2">
            <v>1.2</v>
          </cell>
        </row>
        <row r="3">
          <cell r="A3" t="str">
            <v>Cart-Pole (force)</v>
          </cell>
          <cell r="B3" t="str">
            <v>Amplify</v>
          </cell>
          <cell r="C3" t="str">
            <v>Ipopt 3.12.13</v>
          </cell>
          <cell r="D3" t="str">
            <v>TRAP</v>
          </cell>
          <cell r="E3">
            <v>229.29128070613939</v>
          </cell>
          <cell r="F3">
            <v>0.2283</v>
          </cell>
          <cell r="G3">
            <v>0.20300000000000001</v>
          </cell>
          <cell r="H3">
            <v>0.26600000000000001</v>
          </cell>
          <cell r="I3">
            <v>1.8481522303821905E-2</v>
          </cell>
          <cell r="J3">
            <v>12</v>
          </cell>
          <cell r="K3">
            <v>202</v>
          </cell>
          <cell r="L3">
            <v>176</v>
          </cell>
          <cell r="M3">
            <v>0</v>
          </cell>
          <cell r="N3">
            <v>2.2000000000000002</v>
          </cell>
        </row>
        <row r="4">
          <cell r="A4" t="str">
            <v>Cart-Pole (time)</v>
          </cell>
          <cell r="B4" t="str">
            <v>Amplify</v>
          </cell>
          <cell r="C4" t="str">
            <v>Ipopt 3.12.13</v>
          </cell>
          <cell r="D4" t="str">
            <v>TRAP</v>
          </cell>
          <cell r="E4">
            <v>1.1459372561375376</v>
          </cell>
          <cell r="F4">
            <v>0.21870000000000003</v>
          </cell>
          <cell r="G4">
            <v>0.20300000000000001</v>
          </cell>
          <cell r="H4">
            <v>0.25</v>
          </cell>
          <cell r="I4">
            <v>1.8000308639329242E-2</v>
          </cell>
          <cell r="J4">
            <v>30</v>
          </cell>
          <cell r="K4">
            <v>80</v>
          </cell>
          <cell r="L4">
            <v>74</v>
          </cell>
          <cell r="M4">
            <v>0</v>
          </cell>
          <cell r="N4">
            <v>3.2</v>
          </cell>
        </row>
        <row r="5">
          <cell r="A5" t="str">
            <v>Moving Block</v>
          </cell>
          <cell r="B5" t="str">
            <v>Amplify</v>
          </cell>
          <cell r="C5" t="str">
            <v>Ipopt 3.12.13</v>
          </cell>
          <cell r="D5" t="str">
            <v>TRAP</v>
          </cell>
          <cell r="E5">
            <v>12.055857637172497</v>
          </cell>
          <cell r="F5">
            <v>0.17810000000000001</v>
          </cell>
          <cell r="G5">
            <v>0.156</v>
          </cell>
          <cell r="H5">
            <v>0.20300000000000001</v>
          </cell>
          <cell r="I5">
            <v>1.5029230777979876E-2</v>
          </cell>
          <cell r="J5">
            <v>7</v>
          </cell>
          <cell r="K5">
            <v>116</v>
          </cell>
          <cell r="L5">
            <v>88</v>
          </cell>
          <cell r="M5">
            <v>0</v>
          </cell>
          <cell r="N5">
            <v>4.2</v>
          </cell>
        </row>
        <row r="6">
          <cell r="A6" t="str">
            <v>Five-Link Biped (5 DOF)</v>
          </cell>
          <cell r="B6" t="str">
            <v>Amplify</v>
          </cell>
          <cell r="C6" t="str">
            <v>Ipopt 3.12.13</v>
          </cell>
          <cell r="D6" t="str">
            <v>HS</v>
          </cell>
          <cell r="E6">
            <v>260.43008529551423</v>
          </cell>
          <cell r="F6">
            <v>0.50459999999999994</v>
          </cell>
          <cell r="G6">
            <v>0.45299999999999996</v>
          </cell>
          <cell r="H6">
            <v>0.71799999999999997</v>
          </cell>
          <cell r="I6">
            <v>7.9728985388697785E-2</v>
          </cell>
          <cell r="J6">
            <v>11</v>
          </cell>
          <cell r="K6">
            <v>266</v>
          </cell>
          <cell r="L6">
            <v>212</v>
          </cell>
          <cell r="M6">
            <v>2</v>
          </cell>
          <cell r="N6">
            <v>5.2</v>
          </cell>
        </row>
        <row r="7">
          <cell r="A7" t="str">
            <v>Five-Link Biped (7 DOF)</v>
          </cell>
          <cell r="B7" t="str">
            <v>Amplify</v>
          </cell>
          <cell r="C7" t="str">
            <v>Ipopt 3.12.13</v>
          </cell>
          <cell r="D7" t="str">
            <v>HS</v>
          </cell>
          <cell r="E7">
            <v>443.14228437220765</v>
          </cell>
          <cell r="F7">
            <v>0.52500000000000002</v>
          </cell>
          <cell r="G7">
            <v>0.48499999999999999</v>
          </cell>
          <cell r="H7">
            <v>0.57799999999999996</v>
          </cell>
          <cell r="I7">
            <v>2.764858847110363E-2</v>
          </cell>
          <cell r="J7">
            <v>13</v>
          </cell>
          <cell r="K7">
            <v>326</v>
          </cell>
          <cell r="L7">
            <v>300</v>
          </cell>
          <cell r="M7">
            <v>2</v>
          </cell>
          <cell r="N7">
            <v>6.2</v>
          </cell>
        </row>
      </sheetData>
      <sheetData sheetId="4">
        <row r="2">
          <cell r="A2" t="str">
            <v>Five-Link Biped (7 DOF)</v>
          </cell>
          <cell r="B2" t="str">
            <v>Amplify</v>
          </cell>
          <cell r="C2" t="str">
            <v>Ipopt 3.12.13</v>
          </cell>
          <cell r="D2" t="str">
            <v>HS</v>
          </cell>
          <cell r="E2">
            <v>5.7300002083855279</v>
          </cell>
          <cell r="F2">
            <v>31.954400000000003</v>
          </cell>
          <cell r="G2">
            <v>30.765000000000001</v>
          </cell>
          <cell r="H2">
            <v>33.093000000000004</v>
          </cell>
          <cell r="I2">
            <v>0.63404665093000578</v>
          </cell>
          <cell r="J2">
            <v>11.904500000000002</v>
          </cell>
          <cell r="K2">
            <v>11.284000000000001</v>
          </cell>
          <cell r="L2">
            <v>12.42</v>
          </cell>
          <cell r="M2">
            <v>0.29286335456052592</v>
          </cell>
          <cell r="N2">
            <v>206</v>
          </cell>
          <cell r="O2">
            <v>2345</v>
          </cell>
          <cell r="P2">
            <v>2331</v>
          </cell>
          <cell r="Q2">
            <v>206</v>
          </cell>
          <cell r="R2" t="str">
            <v>Ipopt defaults with equality constraints</v>
          </cell>
          <cell r="S2">
            <v>1.2</v>
          </cell>
        </row>
      </sheetData>
      <sheetData sheetId="5">
        <row r="2">
          <cell r="A2" t="str">
            <v>spot</v>
          </cell>
          <cell r="B2" t="str">
            <v>Amplify</v>
          </cell>
          <cell r="C2" t="str">
            <v>Ipopt 3.12.13</v>
          </cell>
          <cell r="D2" t="str">
            <v>COL3</v>
          </cell>
          <cell r="E2" t="str">
            <v>Yes</v>
          </cell>
          <cell r="F2">
            <v>13250.852894543201</v>
          </cell>
          <cell r="G2">
            <v>199.73899999999998</v>
          </cell>
          <cell r="H2">
            <v>196.48400000000001</v>
          </cell>
          <cell r="I2">
            <v>203.56300000000002</v>
          </cell>
          <cell r="J2">
            <v>2.1081676087699179</v>
          </cell>
          <cell r="K2">
            <v>152.01589999999999</v>
          </cell>
          <cell r="L2">
            <v>150.34</v>
          </cell>
          <cell r="M2">
            <v>154.44300000000001</v>
          </cell>
          <cell r="N2">
            <v>1.1963879387556533</v>
          </cell>
          <cell r="O2">
            <v>172</v>
          </cell>
          <cell r="P2">
            <v>14854</v>
          </cell>
          <cell r="Q2">
            <v>14228</v>
          </cell>
          <cell r="R2">
            <v>480</v>
          </cell>
          <cell r="S2">
            <v>1.2</v>
          </cell>
        </row>
        <row r="3">
          <cell r="A3" t="str">
            <v>spot</v>
          </cell>
          <cell r="B3" t="str">
            <v>Amplify</v>
          </cell>
          <cell r="C3" t="str">
            <v>Ipopt 3.12.13</v>
          </cell>
          <cell r="D3" t="str">
            <v>RK1</v>
          </cell>
          <cell r="E3" t="str">
            <v>Yes</v>
          </cell>
          <cell r="F3">
            <v>13087.318929267831</v>
          </cell>
          <cell r="G3">
            <v>217.5641</v>
          </cell>
          <cell r="H3">
            <v>212.46899999999999</v>
          </cell>
          <cell r="I3">
            <v>226.953</v>
          </cell>
          <cell r="J3">
            <v>4.3938343783584335</v>
          </cell>
          <cell r="K3">
            <v>168.97460000000001</v>
          </cell>
          <cell r="L3">
            <v>165.077</v>
          </cell>
          <cell r="M3">
            <v>177.81200000000001</v>
          </cell>
          <cell r="N3">
            <v>3.8416228399524672</v>
          </cell>
          <cell r="O3">
            <v>201</v>
          </cell>
          <cell r="P3">
            <v>3706</v>
          </cell>
          <cell r="Q3">
            <v>3080</v>
          </cell>
          <cell r="R3">
            <v>480</v>
          </cell>
          <cell r="S3">
            <v>2.2000000000000002</v>
          </cell>
        </row>
        <row r="4">
          <cell r="A4" t="str">
            <v>spot</v>
          </cell>
          <cell r="B4" t="str">
            <v>Amplify</v>
          </cell>
          <cell r="C4" t="str">
            <v>Ipopt 3.12.13</v>
          </cell>
          <cell r="D4" t="str">
            <v>RK4</v>
          </cell>
          <cell r="E4" t="str">
            <v>Yes</v>
          </cell>
          <cell r="F4">
            <v>13343.081305464602</v>
          </cell>
          <cell r="G4">
            <v>159.82990000000001</v>
          </cell>
          <cell r="H4">
            <v>157.34399999999999</v>
          </cell>
          <cell r="I4">
            <v>167.34400000000002</v>
          </cell>
          <cell r="J4">
            <v>2.9478735254793849</v>
          </cell>
          <cell r="K4">
            <v>119.6144</v>
          </cell>
          <cell r="L4">
            <v>115.982</v>
          </cell>
          <cell r="M4">
            <v>124.925</v>
          </cell>
          <cell r="N4">
            <v>2.4609347456245607</v>
          </cell>
          <cell r="O4">
            <v>136</v>
          </cell>
          <cell r="P4">
            <v>14836</v>
          </cell>
          <cell r="Q4">
            <v>14210</v>
          </cell>
          <cell r="R4">
            <v>480</v>
          </cell>
          <cell r="S4">
            <v>3.2</v>
          </cell>
        </row>
      </sheetData>
      <sheetData sheetId="6">
        <row r="1">
          <cell r="A1" t="str">
            <v>Demo</v>
          </cell>
          <cell r="B1" t="str">
            <v>ODE</v>
          </cell>
          <cell r="C1" t="str">
            <v>Initial Variables</v>
          </cell>
          <cell r="D1" t="str">
            <v>Presolve Variables</v>
          </cell>
          <cell r="E1" t="str">
            <v>Variables Relative Reduction</v>
          </cell>
          <cell r="F1" t="str">
            <v>Initial Constraints</v>
          </cell>
          <cell r="G1" t="str">
            <v>Presolve Constraints</v>
          </cell>
          <cell r="H1" t="str">
            <v>Constraints Relative Reduction</v>
          </cell>
        </row>
        <row r="2">
          <cell r="A2" t="str">
            <v>acrobot</v>
          </cell>
          <cell r="B2" t="str">
            <v>TRAP</v>
          </cell>
          <cell r="C2">
            <v>8779</v>
          </cell>
          <cell r="D2">
            <v>132</v>
          </cell>
          <cell r="E2">
            <v>0.98496411892015034</v>
          </cell>
          <cell r="F2">
            <v>8824</v>
          </cell>
          <cell r="G2">
            <v>134</v>
          </cell>
          <cell r="H2">
            <v>0.98481414324569361</v>
          </cell>
        </row>
        <row r="3">
          <cell r="A3" t="str">
            <v>cart-pendulum-time</v>
          </cell>
          <cell r="B3" t="str">
            <v>TRAP</v>
          </cell>
          <cell r="C3">
            <v>4388</v>
          </cell>
          <cell r="D3">
            <v>80</v>
          </cell>
          <cell r="E3">
            <v>0.98176845943482227</v>
          </cell>
          <cell r="F3">
            <v>4413</v>
          </cell>
          <cell r="G3">
            <v>74</v>
          </cell>
          <cell r="H3">
            <v>0.98323136188533877</v>
          </cell>
        </row>
        <row r="4">
          <cell r="A4" t="str">
            <v>cart-pendulum-utot</v>
          </cell>
          <cell r="B4" t="str">
            <v>TRAP</v>
          </cell>
          <cell r="C4">
            <v>13169</v>
          </cell>
          <cell r="D4">
            <v>202</v>
          </cell>
          <cell r="E4">
            <v>0.98466094616143973</v>
          </cell>
          <cell r="F4">
            <v>13234</v>
          </cell>
          <cell r="G4">
            <v>176</v>
          </cell>
          <cell r="H4">
            <v>0.98670092186791603</v>
          </cell>
        </row>
        <row r="5">
          <cell r="A5" t="str">
            <v>five-link-mc-kelly</v>
          </cell>
          <cell r="B5" t="str">
            <v>HS</v>
          </cell>
          <cell r="C5">
            <v>99109</v>
          </cell>
          <cell r="D5">
            <v>266</v>
          </cell>
          <cell r="E5">
            <v>0.99731608632919311</v>
          </cell>
          <cell r="F5">
            <v>98877</v>
          </cell>
          <cell r="G5">
            <v>214</v>
          </cell>
          <cell r="H5">
            <v>0.99783569485320145</v>
          </cell>
        </row>
        <row r="6">
          <cell r="A6" t="str">
            <v>five-link-phc-kelly</v>
          </cell>
          <cell r="B6" t="str">
            <v>HS</v>
          </cell>
          <cell r="C6">
            <v>46821</v>
          </cell>
          <cell r="D6">
            <v>326</v>
          </cell>
          <cell r="E6">
            <v>0.99303731231712267</v>
          </cell>
          <cell r="F6">
            <v>46820</v>
          </cell>
          <cell r="G6">
            <v>302</v>
          </cell>
          <cell r="H6">
            <v>0.99354976505766768</v>
          </cell>
        </row>
        <row r="7">
          <cell r="A7" t="str">
            <v>five-link-tropic</v>
          </cell>
          <cell r="B7" t="str">
            <v>HS</v>
          </cell>
          <cell r="C7">
            <v>371155</v>
          </cell>
          <cell r="D7">
            <v>2345</v>
          </cell>
          <cell r="E7">
            <v>0.99368188492678267</v>
          </cell>
          <cell r="F7">
            <v>372492</v>
          </cell>
          <cell r="G7">
            <v>2537</v>
          </cell>
          <cell r="H7">
            <v>0.99318911547093625</v>
          </cell>
        </row>
        <row r="8">
          <cell r="A8" t="str">
            <v>grasp-cbc</v>
          </cell>
          <cell r="B8" t="str">
            <v>N/A</v>
          </cell>
          <cell r="C8">
            <v>29729</v>
          </cell>
          <cell r="D8">
            <v>73</v>
          </cell>
          <cell r="E8">
            <v>0.99754448518281813</v>
          </cell>
          <cell r="F8">
            <v>29766</v>
          </cell>
          <cell r="G8">
            <v>80</v>
          </cell>
          <cell r="H8">
            <v>0.99731236981791305</v>
          </cell>
        </row>
        <row r="9">
          <cell r="A9" t="str">
            <v>grasp-conopt</v>
          </cell>
          <cell r="B9" t="str">
            <v>N/A</v>
          </cell>
          <cell r="C9">
            <v>29729</v>
          </cell>
          <cell r="D9">
            <v>73</v>
          </cell>
          <cell r="E9">
            <v>0.99754448518281813</v>
          </cell>
          <cell r="F9">
            <v>29766</v>
          </cell>
          <cell r="G9">
            <v>80</v>
          </cell>
          <cell r="H9">
            <v>0.99731236981791305</v>
          </cell>
        </row>
        <row r="10">
          <cell r="A10" t="str">
            <v>grasp-gurobi</v>
          </cell>
          <cell r="B10" t="str">
            <v>N/A</v>
          </cell>
          <cell r="C10">
            <v>29729</v>
          </cell>
          <cell r="D10">
            <v>73</v>
          </cell>
          <cell r="E10">
            <v>0.99754448518281813</v>
          </cell>
          <cell r="F10">
            <v>29766</v>
          </cell>
          <cell r="G10">
            <v>80</v>
          </cell>
          <cell r="H10">
            <v>0.99731236981791305</v>
          </cell>
        </row>
        <row r="11">
          <cell r="A11" t="str">
            <v>grasp-highs</v>
          </cell>
          <cell r="B11" t="str">
            <v>N/A</v>
          </cell>
          <cell r="C11">
            <v>29729</v>
          </cell>
          <cell r="D11">
            <v>73</v>
          </cell>
          <cell r="E11">
            <v>0.99754448518281813</v>
          </cell>
          <cell r="F11">
            <v>29766</v>
          </cell>
          <cell r="G11">
            <v>80</v>
          </cell>
          <cell r="H11">
            <v>0.99731236981791305</v>
          </cell>
        </row>
        <row r="12">
          <cell r="A12" t="str">
            <v>grasp-knitro</v>
          </cell>
          <cell r="B12" t="str">
            <v>N/A</v>
          </cell>
          <cell r="C12">
            <v>29729</v>
          </cell>
          <cell r="D12">
            <v>73</v>
          </cell>
          <cell r="E12">
            <v>0.99754448518281813</v>
          </cell>
          <cell r="F12">
            <v>29766</v>
          </cell>
          <cell r="G12">
            <v>80</v>
          </cell>
          <cell r="H12">
            <v>0.99731236981791305</v>
          </cell>
        </row>
        <row r="13">
          <cell r="A13" t="str">
            <v>grasp-raposa</v>
          </cell>
          <cell r="B13" t="str">
            <v>N/A</v>
          </cell>
          <cell r="C13">
            <v>29729</v>
          </cell>
          <cell r="D13">
            <v>73</v>
          </cell>
          <cell r="E13">
            <v>0.99754448518281813</v>
          </cell>
          <cell r="F13">
            <v>29766</v>
          </cell>
          <cell r="G13">
            <v>80</v>
          </cell>
          <cell r="H13">
            <v>0.99731236981791305</v>
          </cell>
        </row>
        <row r="14">
          <cell r="A14" t="str">
            <v>grasp-scip</v>
          </cell>
          <cell r="B14" t="str">
            <v>N/A</v>
          </cell>
          <cell r="C14">
            <v>29729</v>
          </cell>
          <cell r="D14">
            <v>73</v>
          </cell>
          <cell r="E14">
            <v>0.99754448518281813</v>
          </cell>
          <cell r="F14">
            <v>29766</v>
          </cell>
          <cell r="G14">
            <v>80</v>
          </cell>
          <cell r="H14">
            <v>0.99731236981791305</v>
          </cell>
        </row>
        <row r="15">
          <cell r="A15" t="str">
            <v>kinematic-car-conopt</v>
          </cell>
          <cell r="B15" t="str">
            <v>TRAP</v>
          </cell>
          <cell r="C15">
            <v>16623</v>
          </cell>
          <cell r="D15">
            <v>391</v>
          </cell>
          <cell r="E15">
            <v>0.97647837333814591</v>
          </cell>
          <cell r="F15">
            <v>16624</v>
          </cell>
          <cell r="G15">
            <v>341</v>
          </cell>
          <cell r="H15">
            <v>0.97948748796920115</v>
          </cell>
        </row>
        <row r="16">
          <cell r="A16" t="str">
            <v>kinematic-car-filter</v>
          </cell>
          <cell r="B16" t="str">
            <v>TRAP</v>
          </cell>
          <cell r="C16">
            <v>16623</v>
          </cell>
          <cell r="D16">
            <v>391</v>
          </cell>
          <cell r="E16">
            <v>0.97647837333814591</v>
          </cell>
          <cell r="F16">
            <v>16624</v>
          </cell>
          <cell r="G16">
            <v>341</v>
          </cell>
          <cell r="H16">
            <v>0.97948748796920115</v>
          </cell>
        </row>
        <row r="17">
          <cell r="A17" t="str">
            <v>kinematic-car-gurobi</v>
          </cell>
          <cell r="B17" t="str">
            <v>TRAP</v>
          </cell>
          <cell r="C17">
            <v>16623</v>
          </cell>
          <cell r="D17">
            <v>391</v>
          </cell>
          <cell r="E17">
            <v>0.97647837333814591</v>
          </cell>
          <cell r="F17">
            <v>16624</v>
          </cell>
          <cell r="G17">
            <v>341</v>
          </cell>
          <cell r="H17">
            <v>0.97948748796920115</v>
          </cell>
        </row>
        <row r="18">
          <cell r="A18" t="str">
            <v>kinematic-car-ipopt</v>
          </cell>
          <cell r="B18" t="str">
            <v>TRAP</v>
          </cell>
          <cell r="C18">
            <v>16623</v>
          </cell>
          <cell r="D18">
            <v>391</v>
          </cell>
          <cell r="E18">
            <v>0.97647837333814591</v>
          </cell>
          <cell r="F18">
            <v>16624</v>
          </cell>
          <cell r="G18">
            <v>341</v>
          </cell>
          <cell r="H18">
            <v>0.97948748796920115</v>
          </cell>
        </row>
        <row r="19">
          <cell r="A19" t="str">
            <v>kinematic-car-knitro</v>
          </cell>
          <cell r="B19" t="str">
            <v>TRAP</v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</row>
        <row r="20">
          <cell r="A20" t="str">
            <v>kinematic-car-lancelot</v>
          </cell>
          <cell r="B20" t="str">
            <v>TRAP</v>
          </cell>
          <cell r="C20">
            <v>16623</v>
          </cell>
          <cell r="D20">
            <v>391</v>
          </cell>
          <cell r="E20">
            <v>0.97647837333814591</v>
          </cell>
          <cell r="F20">
            <v>16624</v>
          </cell>
          <cell r="G20">
            <v>341</v>
          </cell>
          <cell r="H20">
            <v>0.97948748796920115</v>
          </cell>
        </row>
        <row r="21">
          <cell r="A21" t="str">
            <v>kinematic-car-loqo</v>
          </cell>
          <cell r="B21" t="str">
            <v>TRAP</v>
          </cell>
          <cell r="C21">
            <v>16623</v>
          </cell>
          <cell r="D21">
            <v>391</v>
          </cell>
          <cell r="E21">
            <v>0.97647837333814591</v>
          </cell>
          <cell r="F21">
            <v>16624</v>
          </cell>
          <cell r="G21">
            <v>341</v>
          </cell>
          <cell r="H21">
            <v>0.97948748796920115</v>
          </cell>
        </row>
        <row r="22">
          <cell r="A22" t="str">
            <v>kinematic-car-minos</v>
          </cell>
          <cell r="B22" t="str">
            <v>TRAP</v>
          </cell>
          <cell r="C22">
            <v>16623</v>
          </cell>
          <cell r="D22">
            <v>391</v>
          </cell>
          <cell r="E22">
            <v>0.97647837333814591</v>
          </cell>
          <cell r="F22">
            <v>16624</v>
          </cell>
          <cell r="G22">
            <v>341</v>
          </cell>
          <cell r="H22">
            <v>0.97948748796920115</v>
          </cell>
        </row>
        <row r="23">
          <cell r="A23" t="str">
            <v>kinematic-car-snopt</v>
          </cell>
          <cell r="B23" t="str">
            <v>TRAP</v>
          </cell>
          <cell r="C23">
            <v>16623</v>
          </cell>
          <cell r="D23">
            <v>391</v>
          </cell>
          <cell r="E23">
            <v>0.97647837333814591</v>
          </cell>
          <cell r="F23">
            <v>16624</v>
          </cell>
          <cell r="G23">
            <v>341</v>
          </cell>
          <cell r="H23">
            <v>0.97948748796920115</v>
          </cell>
        </row>
        <row r="24">
          <cell r="A24" t="str">
            <v>moving-block</v>
          </cell>
          <cell r="B24" t="str">
            <v>TRAP</v>
          </cell>
          <cell r="C24">
            <v>6689</v>
          </cell>
          <cell r="D24">
            <v>116</v>
          </cell>
          <cell r="E24">
            <v>0.98265809538047544</v>
          </cell>
          <cell r="F24">
            <v>6722</v>
          </cell>
          <cell r="G24">
            <v>88</v>
          </cell>
          <cell r="H24">
            <v>0.98690865813745909</v>
          </cell>
        </row>
        <row r="25">
          <cell r="A25" t="str">
            <v>spot-col3</v>
          </cell>
          <cell r="B25" t="str">
            <v>COL3</v>
          </cell>
          <cell r="C25">
            <v>2460541</v>
          </cell>
          <cell r="D25">
            <v>14854</v>
          </cell>
          <cell r="E25">
            <v>0.99396311624150946</v>
          </cell>
          <cell r="F25">
            <v>2467453</v>
          </cell>
          <cell r="G25">
            <v>14708</v>
          </cell>
          <cell r="H25">
            <v>0.99403919750447123</v>
          </cell>
        </row>
        <row r="26">
          <cell r="A26" t="str">
            <v>spot-rk1</v>
          </cell>
          <cell r="B26" t="str">
            <v>RK1</v>
          </cell>
          <cell r="C26">
            <v>624391</v>
          </cell>
          <cell r="D26">
            <v>3706</v>
          </cell>
          <cell r="E26">
            <v>0.99406461656237843</v>
          </cell>
          <cell r="F26">
            <v>627703</v>
          </cell>
          <cell r="G26">
            <v>3560</v>
          </cell>
          <cell r="H26">
            <v>0.99432852798218263</v>
          </cell>
        </row>
        <row r="27">
          <cell r="A27" t="str">
            <v>spot-rk4</v>
          </cell>
          <cell r="B27" t="str">
            <v>RK4</v>
          </cell>
          <cell r="C27">
            <v>2460541</v>
          </cell>
          <cell r="D27">
            <v>14836</v>
          </cell>
          <cell r="E27">
            <v>0.99397043170587285</v>
          </cell>
          <cell r="F27">
            <v>2467453</v>
          </cell>
          <cell r="G27">
            <v>14690</v>
          </cell>
          <cell r="H27">
            <v>0.99404649247624977</v>
          </cell>
        </row>
      </sheetData>
      <sheetData sheetId="7">
        <row r="1">
          <cell r="A1" t="str">
            <v>Demo</v>
          </cell>
          <cell r="B1" t="str">
            <v>Elapsed Time</v>
          </cell>
          <cell r="C1" t="str">
            <v>Elapsed Time Min</v>
          </cell>
          <cell r="D1" t="str">
            <v>Elapsed Time Max</v>
          </cell>
          <cell r="E1" t="str">
            <v>Elapsed Time Std. Dev.</v>
          </cell>
        </row>
        <row r="2">
          <cell r="A2" t="str">
            <v>acrobot</v>
          </cell>
          <cell r="B2">
            <v>0.23279999999999995</v>
          </cell>
          <cell r="C2">
            <v>0.20300000000000001</v>
          </cell>
          <cell r="D2">
            <v>0.29699999999999999</v>
          </cell>
          <cell r="E2">
            <v>2.9977028242009849E-2</v>
          </cell>
        </row>
        <row r="3">
          <cell r="A3" t="str">
            <v>cart-pole (force)</v>
          </cell>
          <cell r="B3">
            <v>0.2283</v>
          </cell>
          <cell r="C3">
            <v>0.20300000000000001</v>
          </cell>
          <cell r="D3">
            <v>0.26600000000000001</v>
          </cell>
          <cell r="E3">
            <v>1.8481522303821905E-2</v>
          </cell>
        </row>
        <row r="4">
          <cell r="A4" t="str">
            <v>cart-pole (time)</v>
          </cell>
          <cell r="B4">
            <v>0.21870000000000003</v>
          </cell>
          <cell r="C4">
            <v>0.20300000000000001</v>
          </cell>
          <cell r="D4">
            <v>0.25</v>
          </cell>
          <cell r="E4">
            <v>1.8000308639329242E-2</v>
          </cell>
        </row>
        <row r="5">
          <cell r="A5" t="str">
            <v>moving block</v>
          </cell>
          <cell r="B5">
            <v>0.47039999999999998</v>
          </cell>
          <cell r="C5">
            <v>0.42199999999999999</v>
          </cell>
          <cell r="D5">
            <v>0.54700000000000004</v>
          </cell>
          <cell r="E5">
            <v>4.0691795514848236E-2</v>
          </cell>
        </row>
        <row r="6">
          <cell r="A6" t="str">
            <v>five-link biped</v>
          </cell>
          <cell r="B6">
            <v>0.50459999999999994</v>
          </cell>
          <cell r="C6">
            <v>0.45299999999999996</v>
          </cell>
          <cell r="D6">
            <v>0.71799999999999997</v>
          </cell>
          <cell r="E6">
            <v>7.9728985388697785E-2</v>
          </cell>
        </row>
        <row r="7">
          <cell r="A7" t="str">
            <v>five-link biped (phc)</v>
          </cell>
          <cell r="B7">
            <v>0.52500000000000002</v>
          </cell>
          <cell r="C7">
            <v>0.48499999999999999</v>
          </cell>
          <cell r="D7">
            <v>0.57799999999999996</v>
          </cell>
          <cell r="E7">
            <v>2.764858847110363E-2</v>
          </cell>
        </row>
        <row r="8">
          <cell r="A8" t="str">
            <v>planar 7-DOF biped</v>
          </cell>
          <cell r="B8">
            <v>31.954400000000003</v>
          </cell>
          <cell r="C8">
            <v>30.765000000000001</v>
          </cell>
          <cell r="D8">
            <v>33.093000000000004</v>
          </cell>
          <cell r="E8">
            <v>0.63404665093000578</v>
          </cell>
        </row>
        <row r="9">
          <cell r="A9" t="str">
            <v>grasp</v>
          </cell>
          <cell r="B9">
            <v>0.23910000000000003</v>
          </cell>
          <cell r="C9">
            <v>0.20300000000000001</v>
          </cell>
          <cell r="D9">
            <v>0.28100000000000003</v>
          </cell>
          <cell r="E9">
            <v>2.6735120472267147E-2</v>
          </cell>
        </row>
        <row r="10">
          <cell r="A10" t="str">
            <v>kinematic car</v>
          </cell>
          <cell r="B10">
            <v>0.34550000000000003</v>
          </cell>
          <cell r="C10">
            <v>0.26600000000000001</v>
          </cell>
          <cell r="D10">
            <v>0.51600000000000001</v>
          </cell>
          <cell r="E10">
            <v>7.6367896105337021E-2</v>
          </cell>
        </row>
        <row r="11">
          <cell r="A11" t="str">
            <v>spot</v>
          </cell>
          <cell r="B11">
            <v>0.22320000000000001</v>
          </cell>
          <cell r="C11">
            <v>0.20300000000000001</v>
          </cell>
          <cell r="D11">
            <v>0.26600000000000001</v>
          </cell>
          <cell r="E11">
            <v>2.1054426824040798E-2</v>
          </cell>
        </row>
        <row r="12">
          <cell r="A12" t="str">
            <v>spot</v>
          </cell>
          <cell r="B12">
            <v>0.28110000000000002</v>
          </cell>
          <cell r="C12">
            <v>0.25</v>
          </cell>
          <cell r="D12">
            <v>0.36</v>
          </cell>
          <cell r="E12">
            <v>3.696079003484655E-2</v>
          </cell>
        </row>
        <row r="13">
          <cell r="A13" t="str">
            <v>spot</v>
          </cell>
          <cell r="B13">
            <v>2.3390999999999997</v>
          </cell>
          <cell r="C13">
            <v>2.2349999999999999</v>
          </cell>
          <cell r="D13">
            <v>2.625</v>
          </cell>
          <cell r="E13">
            <v>0.11871763886540945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os_benchmark"/>
      <sheetName val="averages"/>
      <sheetName val="std. dev"/>
      <sheetName val="table_pre"/>
      <sheetName val="table_ns"/>
      <sheetName val="table_kc"/>
    </sheetNames>
    <sheetDataSet>
      <sheetData sheetId="0"/>
      <sheetData sheetId="1">
        <row r="2">
          <cell r="E2" t="str">
            <v>solved</v>
          </cell>
        </row>
        <row r="15">
          <cell r="A15" t="str">
            <v>kinematic-car-conopt</v>
          </cell>
          <cell r="E15" t="str">
            <v>solved?</v>
          </cell>
          <cell r="G15">
            <v>1.9590243219240224</v>
          </cell>
          <cell r="I15" t="str">
            <v/>
          </cell>
          <cell r="T15" t="str">
            <v/>
          </cell>
          <cell r="U15" t="str">
            <v/>
          </cell>
          <cell r="V15" t="str">
            <v/>
          </cell>
          <cell r="AK15">
            <v>0.18266060000000001</v>
          </cell>
          <cell r="AL15">
            <v>0.138158</v>
          </cell>
          <cell r="AM15">
            <v>0.25604800000000005</v>
          </cell>
        </row>
        <row r="16">
          <cell r="A16" t="str">
            <v>kinematic-car-filter</v>
          </cell>
          <cell r="E16" t="str">
            <v>infeasible</v>
          </cell>
          <cell r="G16">
            <v>0</v>
          </cell>
          <cell r="I16" t="str">
            <v/>
          </cell>
          <cell r="T16" t="str">
            <v/>
          </cell>
          <cell r="U16" t="str">
            <v/>
          </cell>
          <cell r="V16" t="str">
            <v/>
          </cell>
          <cell r="AK16">
            <v>0.10124580000000001</v>
          </cell>
          <cell r="AL16">
            <v>7.9640999999999962E-2</v>
          </cell>
          <cell r="AM16">
            <v>0.134326</v>
          </cell>
        </row>
        <row r="18">
          <cell r="A18" t="str">
            <v>kinematic-car-ipopt</v>
          </cell>
          <cell r="E18" t="str">
            <v>solved</v>
          </cell>
          <cell r="G18">
            <v>1.9589704802793864</v>
          </cell>
          <cell r="I18">
            <v>70</v>
          </cell>
          <cell r="T18">
            <v>391</v>
          </cell>
          <cell r="U18">
            <v>341</v>
          </cell>
          <cell r="V18">
            <v>0</v>
          </cell>
          <cell r="AK18">
            <v>0.51328909999999994</v>
          </cell>
          <cell r="AL18">
            <v>0.33872400000000003</v>
          </cell>
          <cell r="AM18">
            <v>0.72522900000000001</v>
          </cell>
        </row>
        <row r="19">
          <cell r="A19" t="str">
            <v>kinematic-car-knitro</v>
          </cell>
          <cell r="E19" t="str">
            <v/>
          </cell>
          <cell r="G19" t="str">
            <v/>
          </cell>
          <cell r="I19" t="str">
            <v/>
          </cell>
          <cell r="T19" t="str">
            <v/>
          </cell>
          <cell r="U19" t="str">
            <v/>
          </cell>
          <cell r="V19" t="str">
            <v/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kinematic-car-lancelot</v>
          </cell>
          <cell r="E20" t="str">
            <v>failure</v>
          </cell>
          <cell r="G20">
            <v>0</v>
          </cell>
          <cell r="I20" t="str">
            <v/>
          </cell>
          <cell r="T20" t="str">
            <v/>
          </cell>
          <cell r="U20" t="str">
            <v/>
          </cell>
          <cell r="V20" t="str">
            <v/>
          </cell>
          <cell r="AK20">
            <v>9.6046199999999998E-2</v>
          </cell>
          <cell r="AL20">
            <v>7.5784000000000004E-2</v>
          </cell>
          <cell r="AM20">
            <v>0.13386200000000001</v>
          </cell>
        </row>
        <row r="21">
          <cell r="A21" t="str">
            <v>kinematic-car-loqo</v>
          </cell>
          <cell r="E21" t="str">
            <v>solved</v>
          </cell>
          <cell r="G21">
            <v>1.9589704335602907</v>
          </cell>
          <cell r="I21" t="str">
            <v/>
          </cell>
          <cell r="T21" t="str">
            <v/>
          </cell>
          <cell r="U21" t="str">
            <v/>
          </cell>
          <cell r="V21" t="str">
            <v/>
          </cell>
          <cell r="AK21">
            <v>0.2093149</v>
          </cell>
          <cell r="AL21">
            <v>0.135462</v>
          </cell>
          <cell r="AM21">
            <v>0.270679</v>
          </cell>
        </row>
        <row r="22">
          <cell r="A22" t="str">
            <v>kinematic-car-minos</v>
          </cell>
          <cell r="E22" t="str">
            <v>infeasible</v>
          </cell>
          <cell r="G22">
            <v>0</v>
          </cell>
          <cell r="I22" t="str">
            <v/>
          </cell>
          <cell r="T22" t="str">
            <v/>
          </cell>
          <cell r="U22" t="str">
            <v/>
          </cell>
          <cell r="V22" t="str">
            <v/>
          </cell>
          <cell r="AK22">
            <v>0.11023769999999999</v>
          </cell>
          <cell r="AL22">
            <v>9.3435000000000004E-2</v>
          </cell>
          <cell r="AM22">
            <v>0.12802000000000002</v>
          </cell>
        </row>
        <row r="23">
          <cell r="A23" t="str">
            <v>kinematic-car-snopt</v>
          </cell>
          <cell r="E23" t="str">
            <v>infeasible</v>
          </cell>
          <cell r="G23">
            <v>0</v>
          </cell>
          <cell r="I23" t="str">
            <v/>
          </cell>
          <cell r="T23" t="str">
            <v/>
          </cell>
          <cell r="U23" t="str">
            <v/>
          </cell>
          <cell r="V23" t="str">
            <v/>
          </cell>
          <cell r="AK23">
            <v>0.1081882</v>
          </cell>
          <cell r="AL23">
            <v>7.5719999999999996E-2</v>
          </cell>
          <cell r="AM23">
            <v>0.135187</v>
          </cell>
        </row>
      </sheetData>
      <sheetData sheetId="2">
        <row r="15">
          <cell r="AK15">
            <v>3.8757378457957306E-2</v>
          </cell>
        </row>
        <row r="16">
          <cell r="AK16">
            <v>2.1557362860774702E-2</v>
          </cell>
        </row>
        <row r="18">
          <cell r="AK18">
            <v>0.16893359692787305</v>
          </cell>
        </row>
        <row r="19">
          <cell r="AK19">
            <v>0</v>
          </cell>
        </row>
        <row r="20">
          <cell r="AK20">
            <v>1.991307315866191E-2</v>
          </cell>
        </row>
        <row r="21">
          <cell r="AK21">
            <v>5.1380177488664455E-2</v>
          </cell>
        </row>
        <row r="22">
          <cell r="AK22">
            <v>1.1377117004955363E-2</v>
          </cell>
        </row>
        <row r="23">
          <cell r="AK23">
            <v>2.4826733444235281E-2</v>
          </cell>
        </row>
      </sheetData>
      <sheetData sheetId="3"/>
      <sheetData sheetId="4">
        <row r="1">
          <cell r="B1" t="str">
            <v>Elapsed Time</v>
          </cell>
          <cell r="C1" t="str">
            <v>Elapsed Time Min</v>
          </cell>
          <cell r="D1" t="str">
            <v>Elapsed Time Max</v>
          </cell>
          <cell r="E1" t="str">
            <v>Elapsed Time Std. Dev.</v>
          </cell>
        </row>
        <row r="2">
          <cell r="B2">
            <v>61.599599999999988</v>
          </cell>
          <cell r="C2">
            <v>3.9649999999999999</v>
          </cell>
          <cell r="D2">
            <v>254.227</v>
          </cell>
          <cell r="E2">
            <v>101.3091148144573</v>
          </cell>
        </row>
        <row r="3">
          <cell r="B3">
            <v>22.384399999999999</v>
          </cell>
          <cell r="C3">
            <v>4.4530000000000003</v>
          </cell>
          <cell r="D3">
            <v>136.30699999999999</v>
          </cell>
          <cell r="E3">
            <v>40.323931811160364</v>
          </cell>
        </row>
        <row r="4">
          <cell r="B4">
            <v>27.414200000000001</v>
          </cell>
          <cell r="C4">
            <v>4.6050000000000004</v>
          </cell>
          <cell r="D4">
            <v>102.771</v>
          </cell>
          <cell r="E4">
            <v>36.953492184396083</v>
          </cell>
        </row>
        <row r="5">
          <cell r="B5">
            <v>8.6436999999999991</v>
          </cell>
          <cell r="C5">
            <v>2.3940000000000001</v>
          </cell>
          <cell r="D5">
            <v>25.786000000000001</v>
          </cell>
          <cell r="E5">
            <v>8.3782145678207893</v>
          </cell>
        </row>
        <row r="6">
          <cell r="B6">
            <v>10.1564</v>
          </cell>
          <cell r="C6">
            <v>5.6029999999999998</v>
          </cell>
          <cell r="D6">
            <v>21.164999999999999</v>
          </cell>
          <cell r="E6">
            <v>5.4740386106704726</v>
          </cell>
        </row>
        <row r="7">
          <cell r="B7">
            <v>12.415699999999999</v>
          </cell>
          <cell r="C7">
            <v>6.4260000000000002</v>
          </cell>
          <cell r="D7">
            <v>17.664999999999999</v>
          </cell>
          <cell r="E7">
            <v>4.4748948355116607</v>
          </cell>
        </row>
        <row r="8">
          <cell r="B8">
            <v>70.011200000000002</v>
          </cell>
          <cell r="C8">
            <v>43.081000000000003</v>
          </cell>
          <cell r="D8">
            <v>99.629000000000005</v>
          </cell>
          <cell r="E8">
            <v>18.252633318693118</v>
          </cell>
        </row>
        <row r="9">
          <cell r="B9">
            <v>40.64889999999999</v>
          </cell>
          <cell r="C9">
            <v>12.898</v>
          </cell>
          <cell r="D9">
            <v>73.421999999999997</v>
          </cell>
          <cell r="E9">
            <v>17.042182903020386</v>
          </cell>
        </row>
        <row r="10">
          <cell r="B10">
            <v>14.598200000000002</v>
          </cell>
          <cell r="C10">
            <v>4.718</v>
          </cell>
          <cell r="D10">
            <v>35.548999999999999</v>
          </cell>
          <cell r="E10">
            <v>11.899176692341173</v>
          </cell>
        </row>
        <row r="11">
          <cell r="B11">
            <v>9.3768999999999991</v>
          </cell>
          <cell r="C11">
            <v>4.8879999999999999</v>
          </cell>
          <cell r="D11">
            <v>27.016999999999999</v>
          </cell>
          <cell r="E11">
            <v>6.4668089065112602</v>
          </cell>
        </row>
        <row r="12">
          <cell r="B12">
            <v>25.7546</v>
          </cell>
          <cell r="C12">
            <v>4.9539999999999997</v>
          </cell>
          <cell r="D12">
            <v>152.75899999999999</v>
          </cell>
          <cell r="E12">
            <v>44.982768170341252</v>
          </cell>
        </row>
        <row r="13">
          <cell r="B13">
            <v>36.077299999999994</v>
          </cell>
          <cell r="C13">
            <v>18.143000000000001</v>
          </cell>
          <cell r="D13">
            <v>96.789000000000001</v>
          </cell>
          <cell r="E13">
            <v>24.808704870356394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timtraj_demos"/>
      <sheetName val="averages"/>
      <sheetName val="std. dev"/>
      <sheetName val="table_ot"/>
    </sheetNames>
    <sheetDataSet>
      <sheetData sheetId="0"/>
      <sheetData sheetId="1">
        <row r="2">
          <cell r="A2" t="str">
            <v>acrobot</v>
          </cell>
        </row>
      </sheetData>
      <sheetData sheetId="2"/>
      <sheetData sheetId="3">
        <row r="2">
          <cell r="A2" t="str">
            <v>Acrobot</v>
          </cell>
          <cell r="B2" t="str">
            <v>OptimTraj</v>
          </cell>
          <cell r="C2" t="str">
            <v>fmincon v24.1 (2024a)</v>
          </cell>
          <cell r="D2" t="str">
            <v>TRAP</v>
          </cell>
          <cell r="E2">
            <v>38.960799999999999</v>
          </cell>
          <cell r="F2">
            <v>0.65266919999999984</v>
          </cell>
          <cell r="G2">
            <v>0.43255399999999999</v>
          </cell>
          <cell r="H2">
            <v>2.0671390000000001</v>
          </cell>
          <cell r="I2">
            <v>0.49973648265456438</v>
          </cell>
          <cell r="J2">
            <v>55</v>
          </cell>
          <cell r="K2">
            <v>102</v>
          </cell>
          <cell r="L2">
            <v>76</v>
          </cell>
          <cell r="M2">
            <v>102</v>
          </cell>
          <cell r="N2">
            <v>1.1000000000000001</v>
          </cell>
        </row>
        <row r="3">
          <cell r="A3" t="str">
            <v>Cart-Pole (force)</v>
          </cell>
          <cell r="B3" t="str">
            <v>OptimTraj</v>
          </cell>
          <cell r="C3" t="str">
            <v>fmincon v24.1 (2024a)</v>
          </cell>
          <cell r="D3" t="str">
            <v>TRAP</v>
          </cell>
          <cell r="E3">
            <v>229.29130000000001</v>
          </cell>
          <cell r="F3">
            <v>0.4294713</v>
          </cell>
          <cell r="G3">
            <v>0.40763700000000003</v>
          </cell>
          <cell r="H3">
            <v>0.45933400000000002</v>
          </cell>
          <cell r="I3">
            <v>2.0051002202993363E-2</v>
          </cell>
          <cell r="J3">
            <v>38</v>
          </cell>
          <cell r="K3">
            <v>152</v>
          </cell>
          <cell r="L3">
            <v>116</v>
          </cell>
          <cell r="M3">
            <v>152</v>
          </cell>
          <cell r="N3">
            <v>2.1</v>
          </cell>
        </row>
        <row r="4">
          <cell r="A4" t="str">
            <v>Cart-Pole (time)</v>
          </cell>
          <cell r="B4" t="str">
            <v>OptimTraj</v>
          </cell>
          <cell r="C4" t="str">
            <v>fmincon v24.1 (2024a)</v>
          </cell>
          <cell r="D4" t="str">
            <v>TRAP</v>
          </cell>
          <cell r="E4">
            <v>1.1469000000000003</v>
          </cell>
          <cell r="F4">
            <v>0.46383319999999995</v>
          </cell>
          <cell r="G4">
            <v>0.40731000000000001</v>
          </cell>
          <cell r="H4">
            <v>0.58520899999999998</v>
          </cell>
          <cell r="I4">
            <v>5.4722875330159002E-2</v>
          </cell>
          <cell r="J4">
            <v>158</v>
          </cell>
          <cell r="K4">
            <v>52</v>
          </cell>
          <cell r="L4">
            <v>36</v>
          </cell>
          <cell r="M4">
            <v>52</v>
          </cell>
          <cell r="N4">
            <v>3.1</v>
          </cell>
        </row>
        <row r="5">
          <cell r="A5" t="str">
            <v>Moving Block</v>
          </cell>
          <cell r="B5" t="str">
            <v>OptimTraj</v>
          </cell>
          <cell r="C5" t="str">
            <v>fmincon v24.1 (2024a)</v>
          </cell>
          <cell r="D5" t="str">
            <v>TRAP</v>
          </cell>
          <cell r="E5">
            <v>12.055899999999998</v>
          </cell>
          <cell r="F5">
            <v>5.7338600000000017E-2</v>
          </cell>
          <cell r="G5">
            <v>4.7461000000000003E-2</v>
          </cell>
          <cell r="H5">
            <v>0.12404800000000001</v>
          </cell>
          <cell r="I5">
            <v>2.3473981039061526E-2</v>
          </cell>
          <cell r="J5">
            <v>19</v>
          </cell>
          <cell r="K5">
            <v>92</v>
          </cell>
          <cell r="L5">
            <v>58</v>
          </cell>
          <cell r="M5">
            <v>92</v>
          </cell>
          <cell r="N5">
            <v>4.0999999999999996</v>
          </cell>
        </row>
        <row r="6">
          <cell r="A6" t="str">
            <v>Five-Link Biped (5 DOF)</v>
          </cell>
          <cell r="B6" t="str">
            <v>OptimTraj</v>
          </cell>
          <cell r="C6" t="str">
            <v>fmincon v24.1 (2024a)</v>
          </cell>
          <cell r="D6" t="str">
            <v>HS</v>
          </cell>
          <cell r="F6">
            <v>0.58966359999999995</v>
          </cell>
          <cell r="G6">
            <v>0.53590499999999996</v>
          </cell>
          <cell r="H6">
            <v>0.85341400000000001</v>
          </cell>
          <cell r="I6">
            <v>9.6073143448335549E-2</v>
          </cell>
          <cell r="J6">
            <v>27</v>
          </cell>
          <cell r="K6">
            <v>197</v>
          </cell>
          <cell r="L6">
            <v>132</v>
          </cell>
          <cell r="M6">
            <v>225</v>
          </cell>
          <cell r="N6">
            <v>5.0999999999999996</v>
          </cell>
          <cell r="O6">
            <v>420.13156442374998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opic_demos"/>
      <sheetName val="averages"/>
      <sheetName val="std. dev"/>
      <sheetName val="table_tc"/>
    </sheetNames>
    <sheetDataSet>
      <sheetData sheetId="0"/>
      <sheetData sheetId="1">
        <row r="2">
          <cell r="A2" t="str">
            <v>planar 7-DOF biped</v>
          </cell>
        </row>
      </sheetData>
      <sheetData sheetId="2"/>
      <sheetData sheetId="3">
        <row r="2">
          <cell r="A2" t="str">
            <v>Five-Link Biped (7 DOF)</v>
          </cell>
          <cell r="B2" t="str">
            <v>TROPIC</v>
          </cell>
          <cell r="C2" t="str">
            <v>Ipopt 3.12.3</v>
          </cell>
          <cell r="D2" t="str">
            <v>HS</v>
          </cell>
          <cell r="E2">
            <v>4.1215593876914607</v>
          </cell>
          <cell r="F2">
            <v>2.6927525000000001</v>
          </cell>
          <cell r="G2">
            <v>2.4732829999999999</v>
          </cell>
          <cell r="H2">
            <v>3.8394680000000001</v>
          </cell>
          <cell r="I2">
            <v>0.41058382977420738</v>
          </cell>
          <cell r="J2">
            <v>1.1497999999999999</v>
          </cell>
          <cell r="K2">
            <v>0.99299999999999999</v>
          </cell>
          <cell r="L2">
            <v>1.589</v>
          </cell>
          <cell r="M2">
            <v>0.16724220626252112</v>
          </cell>
          <cell r="N2">
            <v>101</v>
          </cell>
          <cell r="O2">
            <v>1404</v>
          </cell>
          <cell r="P2">
            <v>6</v>
          </cell>
          <cell r="Q2">
            <v>1642</v>
          </cell>
          <cell r="R2" t="str">
            <v>TROPIC defaults with $\epsilon$ constraints</v>
          </cell>
          <cell r="S2">
            <v>1.1000000000000001</v>
          </cell>
        </row>
        <row r="3">
          <cell r="A3" t="str">
            <v>Five-Link Biped (7 DOF)</v>
          </cell>
          <cell r="B3" t="str">
            <v>TROPIC</v>
          </cell>
          <cell r="C3" t="str">
            <v>Ipopt 3.12.3</v>
          </cell>
          <cell r="D3" t="str">
            <v>HS</v>
          </cell>
          <cell r="E3">
            <v>6.0928933623037809</v>
          </cell>
          <cell r="F3">
            <v>18.966076000000001</v>
          </cell>
          <cell r="G3">
            <v>18.638432999999999</v>
          </cell>
          <cell r="H3">
            <v>20.016275</v>
          </cell>
          <cell r="I3">
            <v>0.44364196748930063</v>
          </cell>
          <cell r="J3">
            <v>9.2027000000000001</v>
          </cell>
          <cell r="K3">
            <v>8.8729999999999993</v>
          </cell>
          <cell r="L3">
            <v>9.5139999999999993</v>
          </cell>
          <cell r="M3">
            <v>0.20846052117580652</v>
          </cell>
          <cell r="N3">
            <v>793</v>
          </cell>
          <cell r="O3">
            <v>1404</v>
          </cell>
          <cell r="P3">
            <v>1390</v>
          </cell>
          <cell r="Q3">
            <v>258</v>
          </cell>
          <cell r="R3" t="str">
            <v>TROPIC defaults with equality constraints</v>
          </cell>
          <cell r="S3">
            <v>2.1</v>
          </cell>
        </row>
        <row r="4">
          <cell r="A4" t="str">
            <v>Five-Link Biped (7 DOF)</v>
          </cell>
          <cell r="B4" t="str">
            <v>TROPIC</v>
          </cell>
          <cell r="C4" t="str">
            <v>Ipopt 3.12.3</v>
          </cell>
          <cell r="D4" t="str">
            <v>HS</v>
          </cell>
          <cell r="E4">
            <v>5.9227518003997712</v>
          </cell>
          <cell r="F4">
            <v>207.4800339</v>
          </cell>
          <cell r="G4">
            <v>204.79609199999999</v>
          </cell>
          <cell r="H4">
            <v>212.44538900000001</v>
          </cell>
          <cell r="I4">
            <v>2.4590701065861156</v>
          </cell>
          <cell r="J4">
            <v>69.762</v>
          </cell>
          <cell r="K4">
            <v>68.317999999999998</v>
          </cell>
          <cell r="L4">
            <v>70.930999999999997</v>
          </cell>
          <cell r="M4">
            <v>0.79665899577896848</v>
          </cell>
          <cell r="N4">
            <v>1141</v>
          </cell>
          <cell r="O4">
            <v>1404</v>
          </cell>
          <cell r="P4">
            <v>1390</v>
          </cell>
          <cell r="Q4">
            <v>258</v>
          </cell>
          <cell r="R4" t="str">
            <v>Ipopt defaults with equality constraints</v>
          </cell>
          <cell r="S4">
            <v>3.1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opt_output"/>
      <sheetName val="averages"/>
      <sheetName val="std. dev"/>
      <sheetName val="csv"/>
      <sheetName val="table_hn"/>
    </sheetNames>
    <sheetDataSet>
      <sheetData sheetId="0"/>
      <sheetData sheetId="1"/>
      <sheetData sheetId="2"/>
      <sheetData sheetId="3"/>
      <sheetData sheetId="4">
        <row r="2">
          <cell r="A2" t="str">
            <v>spot</v>
          </cell>
          <cell r="B2" t="str">
            <v>Horizon</v>
          </cell>
          <cell r="C2" t="str">
            <v>Ipopt 3.12.3</v>
          </cell>
          <cell r="D2" t="str">
            <v>COL3</v>
          </cell>
          <cell r="E2" t="str">
            <v>No</v>
          </cell>
          <cell r="F2">
            <v>16947.152891601992</v>
          </cell>
          <cell r="G2">
            <v>67.31362</v>
          </cell>
          <cell r="H2">
            <v>66.008600000000001</v>
          </cell>
          <cell r="I2">
            <v>68.869</v>
          </cell>
          <cell r="J2">
            <v>0.88417222027787667</v>
          </cell>
          <cell r="K2">
            <v>12.74</v>
          </cell>
          <cell r="L2">
            <v>12.449</v>
          </cell>
          <cell r="M2">
            <v>13.194000000000001</v>
          </cell>
          <cell r="N2">
            <v>0.24093475373128637</v>
          </cell>
          <cell r="O2">
            <v>493</v>
          </cell>
          <cell r="P2">
            <v>8950</v>
          </cell>
          <cell r="Q2">
            <v>8337</v>
          </cell>
          <cell r="R2">
            <v>1180</v>
          </cell>
          <cell r="S2">
            <v>1.1000000000000001</v>
          </cell>
        </row>
        <row r="3">
          <cell r="A3" t="str">
            <v>spot</v>
          </cell>
          <cell r="B3" t="str">
            <v>Horizon</v>
          </cell>
          <cell r="C3" t="str">
            <v>Ipopt 3.12.3</v>
          </cell>
          <cell r="D3" t="str">
            <v>RK1</v>
          </cell>
          <cell r="E3" t="str">
            <v>No</v>
          </cell>
          <cell r="F3">
            <v>19921.461898401179</v>
          </cell>
          <cell r="G3">
            <v>65.095769999999987</v>
          </cell>
          <cell r="H3">
            <v>63.828400000000002</v>
          </cell>
          <cell r="I3">
            <v>66.660600000000002</v>
          </cell>
          <cell r="J3">
            <v>1.0688427210461495</v>
          </cell>
          <cell r="K3">
            <v>9.0190000000000019</v>
          </cell>
          <cell r="L3">
            <v>8.734</v>
          </cell>
          <cell r="M3">
            <v>9.3819999999999997</v>
          </cell>
          <cell r="N3">
            <v>0.21180336793041485</v>
          </cell>
          <cell r="O3">
            <v>398</v>
          </cell>
          <cell r="P3">
            <v>3400</v>
          </cell>
          <cell r="Q3">
            <v>2787</v>
          </cell>
          <cell r="R3">
            <v>1180</v>
          </cell>
          <cell r="S3">
            <v>2.1</v>
          </cell>
        </row>
        <row r="4">
          <cell r="A4" t="str">
            <v>spot</v>
          </cell>
          <cell r="B4" t="str">
            <v>Horizon</v>
          </cell>
          <cell r="C4" t="str">
            <v>Ipopt 3.12.3</v>
          </cell>
          <cell r="D4" t="str">
            <v>RK4</v>
          </cell>
          <cell r="E4" t="str">
            <v>Yes</v>
          </cell>
          <cell r="F4">
            <v>13127.37489131594</v>
          </cell>
          <cell r="G4">
            <v>43.196540000000006</v>
          </cell>
          <cell r="H4">
            <v>41.409500000000001</v>
          </cell>
          <cell r="I4">
            <v>44.3583</v>
          </cell>
          <cell r="J4">
            <v>0.85296181391665971</v>
          </cell>
          <cell r="K4">
            <v>9.1204000000000001</v>
          </cell>
          <cell r="L4">
            <v>8.6869999999999994</v>
          </cell>
          <cell r="M4">
            <v>9.4830000000000005</v>
          </cell>
          <cell r="N4">
            <v>0.26120115705035551</v>
          </cell>
          <cell r="O4">
            <v>330</v>
          </cell>
          <cell r="P4">
            <v>3400</v>
          </cell>
          <cell r="Q4">
            <v>2787</v>
          </cell>
          <cell r="R4">
            <v>1180</v>
          </cell>
          <cell r="S4">
            <v>3.1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1C64-5AB6-4B50-9728-E4D1B80A8BE8}">
  <dimension ref="A1:N12"/>
  <sheetViews>
    <sheetView workbookViewId="0"/>
  </sheetViews>
  <sheetFormatPr defaultRowHeight="15" x14ac:dyDescent="0.25"/>
  <cols>
    <col min="1" max="1" width="22" bestFit="1" customWidth="1"/>
    <col min="2" max="2" width="9.85546875" bestFit="1" customWidth="1"/>
    <col min="3" max="3" width="20.42578125" bestFit="1" customWidth="1"/>
    <col min="4" max="4" width="10.7109375" bestFit="1" customWidth="1"/>
    <col min="5" max="5" width="12" bestFit="1" customWidth="1"/>
    <col min="6" max="6" width="12.5703125" bestFit="1" customWidth="1"/>
    <col min="7" max="7" width="13.85546875" bestFit="1" customWidth="1"/>
    <col min="8" max="8" width="14.140625" bestFit="1" customWidth="1"/>
    <col min="9" max="9" width="17.85546875" bestFit="1" customWidth="1"/>
    <col min="10" max="10" width="7.85546875" bestFit="1" customWidth="1"/>
    <col min="11" max="11" width="6.85546875" bestFit="1" customWidth="1"/>
    <col min="12" max="12" width="10.42578125" bestFit="1" customWidth="1"/>
    <col min="13" max="13" width="16.140625" bestFit="1" customWidth="1"/>
    <col min="14" max="14" width="6.140625" bestFit="1" customWidth="1"/>
  </cols>
  <sheetData>
    <row r="1" spans="1:14" x14ac:dyDescent="0.25">
      <c r="A1" t="str">
        <f>[1]table_ot!A1</f>
        <v>Demo</v>
      </c>
      <c r="B1" t="str">
        <f>[1]table_ot!B1</f>
        <v>Library</v>
      </c>
      <c r="C1" t="str">
        <f>[1]table_ot!C1</f>
        <v>Solver</v>
      </c>
      <c r="D1" t="str">
        <f>[1]table_ot!D1</f>
        <v>RK Method</v>
      </c>
      <c r="E1" t="str">
        <f>[1]table_ot!E1</f>
        <v>Objective</v>
      </c>
      <c r="F1" t="str">
        <f>[1]table_ot!F1</f>
        <v>Wall Time (s)</v>
      </c>
      <c r="G1" t="str">
        <f>[1]table_ot!G1</f>
        <v>Wall Time Min</v>
      </c>
      <c r="H1" t="str">
        <f>[1]table_ot!H1</f>
        <v>Wall Time Max</v>
      </c>
      <c r="I1" t="str">
        <f>[1]table_ot!I1</f>
        <v>Wall Time Std. Dev</v>
      </c>
      <c r="J1" t="str">
        <f>[1]table_ot!J1</f>
        <v>Iterates</v>
      </c>
      <c r="K1" t="str">
        <f>[1]table_ot!K1</f>
        <v># Vars.</v>
      </c>
      <c r="L1" t="str">
        <f>[1]table_ot!L1</f>
        <v># Eq. Cons.</v>
      </c>
      <c r="M1" t="str">
        <f>[1]table_ot!M1</f>
        <v># of Ineq. Constr.</v>
      </c>
      <c r="N1" t="str">
        <f>[1]table_ot!N1</f>
        <v>Order</v>
      </c>
    </row>
    <row r="2" spans="1:14" x14ac:dyDescent="0.25">
      <c r="A2" s="1" t="str">
        <f>[3]table_ot!A2</f>
        <v>Acrobot</v>
      </c>
      <c r="B2" t="str">
        <f>[3]table_ot!B2</f>
        <v>OptimTraj</v>
      </c>
      <c r="C2" t="str">
        <f>[3]table_ot!C2</f>
        <v>fmincon v24.1 (2024a)</v>
      </c>
      <c r="D2" t="str">
        <f>[3]table_ot!D2</f>
        <v>TRAP</v>
      </c>
      <c r="E2">
        <f>[3]table_ot!E2</f>
        <v>38.960799999999999</v>
      </c>
      <c r="F2">
        <f>[3]table_ot!F2</f>
        <v>0.65266919999999984</v>
      </c>
      <c r="G2">
        <f>[3]table_ot!G2</f>
        <v>0.43255399999999999</v>
      </c>
      <c r="H2">
        <f>[3]table_ot!H2</f>
        <v>2.0671390000000001</v>
      </c>
      <c r="I2">
        <f>[3]table_ot!I2</f>
        <v>0.49973648265456438</v>
      </c>
      <c r="J2">
        <f>[3]table_ot!J2</f>
        <v>55</v>
      </c>
      <c r="K2">
        <f>[3]table_ot!K2</f>
        <v>102</v>
      </c>
      <c r="L2">
        <f>[3]table_ot!L2</f>
        <v>76</v>
      </c>
      <c r="M2">
        <f>[3]table_ot!M2</f>
        <v>102</v>
      </c>
      <c r="N2">
        <f>[3]table_ot!N2</f>
        <v>1.1000000000000001</v>
      </c>
    </row>
    <row r="3" spans="1:14" x14ac:dyDescent="0.25">
      <c r="A3" s="1" t="str">
        <f>[1]table_ot!A2</f>
        <v>Acrobot</v>
      </c>
      <c r="B3" t="str">
        <f>[1]table_ot!B2</f>
        <v>Amplify</v>
      </c>
      <c r="C3" t="str">
        <f>[1]table_ot!C2</f>
        <v>Ipopt 3.12.13</v>
      </c>
      <c r="D3" t="str">
        <f>[1]table_ot!D2</f>
        <v>TRAP</v>
      </c>
      <c r="E3">
        <f>[1]table_ot!E2</f>
        <v>69.877641620638045</v>
      </c>
      <c r="F3">
        <f>[1]table_ot!F2</f>
        <v>0.23279999999999995</v>
      </c>
      <c r="G3">
        <f>[1]table_ot!G2</f>
        <v>0.20300000000000001</v>
      </c>
      <c r="H3">
        <f>[1]table_ot!H2</f>
        <v>0.29699999999999999</v>
      </c>
      <c r="I3">
        <f>[1]table_ot!I2</f>
        <v>2.9977028242009849E-2</v>
      </c>
      <c r="J3">
        <f>[1]table_ot!J2</f>
        <v>14</v>
      </c>
      <c r="K3">
        <f>[1]table_ot!K2</f>
        <v>132</v>
      </c>
      <c r="L3">
        <f>[1]table_ot!L2</f>
        <v>116</v>
      </c>
      <c r="M3">
        <f>[1]table_ot!M2</f>
        <v>18</v>
      </c>
      <c r="N3">
        <f>[1]table_ot!N2</f>
        <v>1.2</v>
      </c>
    </row>
    <row r="4" spans="1:14" x14ac:dyDescent="0.25">
      <c r="A4" s="1" t="str">
        <f>[3]table_ot!A3</f>
        <v>Cart-Pole (force)</v>
      </c>
      <c r="B4" t="str">
        <f>[3]table_ot!B3</f>
        <v>OptimTraj</v>
      </c>
      <c r="C4" t="str">
        <f>[3]table_ot!C3</f>
        <v>fmincon v24.1 (2024a)</v>
      </c>
      <c r="D4" t="str">
        <f>[3]table_ot!D3</f>
        <v>TRAP</v>
      </c>
      <c r="E4">
        <f>[3]table_ot!E3</f>
        <v>229.29130000000001</v>
      </c>
      <c r="F4">
        <f>[3]table_ot!F3</f>
        <v>0.4294713</v>
      </c>
      <c r="G4">
        <f>[3]table_ot!G3</f>
        <v>0.40763700000000003</v>
      </c>
      <c r="H4">
        <f>[3]table_ot!H3</f>
        <v>0.45933400000000002</v>
      </c>
      <c r="I4">
        <f>[3]table_ot!I3</f>
        <v>2.0051002202993363E-2</v>
      </c>
      <c r="J4">
        <f>[3]table_ot!J3</f>
        <v>38</v>
      </c>
      <c r="K4">
        <f>[3]table_ot!K3</f>
        <v>152</v>
      </c>
      <c r="L4">
        <f>[3]table_ot!L3</f>
        <v>116</v>
      </c>
      <c r="M4">
        <f>[3]table_ot!M3</f>
        <v>152</v>
      </c>
      <c r="N4">
        <f>[3]table_ot!N3</f>
        <v>2.1</v>
      </c>
    </row>
    <row r="5" spans="1:14" x14ac:dyDescent="0.25">
      <c r="A5" s="1" t="str">
        <f>[1]table_ot!A3</f>
        <v>Cart-Pole (force)</v>
      </c>
      <c r="B5" t="str">
        <f>[1]table_ot!B3</f>
        <v>Amplify</v>
      </c>
      <c r="C5" t="str">
        <f>[1]table_ot!C3</f>
        <v>Ipopt 3.12.13</v>
      </c>
      <c r="D5" t="str">
        <f>[1]table_ot!D3</f>
        <v>TRAP</v>
      </c>
      <c r="E5">
        <f>[1]table_ot!E3</f>
        <v>229.29128070613939</v>
      </c>
      <c r="F5">
        <f>[1]table_ot!F3</f>
        <v>0.2283</v>
      </c>
      <c r="G5">
        <f>[1]table_ot!G3</f>
        <v>0.20300000000000001</v>
      </c>
      <c r="H5">
        <f>[1]table_ot!H3</f>
        <v>0.26600000000000001</v>
      </c>
      <c r="I5">
        <f>[1]table_ot!I3</f>
        <v>1.8481522303821905E-2</v>
      </c>
      <c r="J5">
        <f>[1]table_ot!J3</f>
        <v>12</v>
      </c>
      <c r="K5">
        <f>[1]table_ot!K3</f>
        <v>202</v>
      </c>
      <c r="L5">
        <f>[1]table_ot!L3</f>
        <v>176</v>
      </c>
      <c r="M5">
        <f>[1]table_ot!M3</f>
        <v>0</v>
      </c>
      <c r="N5">
        <f>[1]table_ot!N3</f>
        <v>2.2000000000000002</v>
      </c>
    </row>
    <row r="6" spans="1:14" x14ac:dyDescent="0.25">
      <c r="A6" s="1" t="str">
        <f>[3]table_ot!A4</f>
        <v>Cart-Pole (time)</v>
      </c>
      <c r="B6" t="str">
        <f>[3]table_ot!B4</f>
        <v>OptimTraj</v>
      </c>
      <c r="C6" t="str">
        <f>[3]table_ot!C4</f>
        <v>fmincon v24.1 (2024a)</v>
      </c>
      <c r="D6" t="str">
        <f>[3]table_ot!D4</f>
        <v>TRAP</v>
      </c>
      <c r="E6">
        <f>[3]table_ot!E4</f>
        <v>1.1469000000000003</v>
      </c>
      <c r="F6">
        <f>[3]table_ot!F4</f>
        <v>0.46383319999999995</v>
      </c>
      <c r="G6">
        <f>[3]table_ot!G4</f>
        <v>0.40731000000000001</v>
      </c>
      <c r="H6">
        <f>[3]table_ot!H4</f>
        <v>0.58520899999999998</v>
      </c>
      <c r="I6">
        <f>[3]table_ot!I4</f>
        <v>5.4722875330159002E-2</v>
      </c>
      <c r="J6">
        <f>[3]table_ot!J4</f>
        <v>158</v>
      </c>
      <c r="K6">
        <f>[3]table_ot!K4</f>
        <v>52</v>
      </c>
      <c r="L6">
        <f>[3]table_ot!L4</f>
        <v>36</v>
      </c>
      <c r="M6">
        <f>[3]table_ot!M4</f>
        <v>52</v>
      </c>
      <c r="N6">
        <f>[3]table_ot!N4</f>
        <v>3.1</v>
      </c>
    </row>
    <row r="7" spans="1:14" x14ac:dyDescent="0.25">
      <c r="A7" s="1" t="str">
        <f>[1]table_ot!A4</f>
        <v>Cart-Pole (time)</v>
      </c>
      <c r="B7" t="str">
        <f>[1]table_ot!B4</f>
        <v>Amplify</v>
      </c>
      <c r="C7" t="str">
        <f>[1]table_ot!C4</f>
        <v>Ipopt 3.12.13</v>
      </c>
      <c r="D7" t="str">
        <f>[1]table_ot!D4</f>
        <v>TRAP</v>
      </c>
      <c r="E7">
        <f>[1]table_ot!E4</f>
        <v>1.1459372561375376</v>
      </c>
      <c r="F7">
        <f>[1]table_ot!F4</f>
        <v>0.21870000000000003</v>
      </c>
      <c r="G7">
        <f>[1]table_ot!G4</f>
        <v>0.20300000000000001</v>
      </c>
      <c r="H7">
        <f>[1]table_ot!H4</f>
        <v>0.25</v>
      </c>
      <c r="I7">
        <f>[1]table_ot!I4</f>
        <v>1.8000308639329242E-2</v>
      </c>
      <c r="J7">
        <f>[1]table_ot!J4</f>
        <v>30</v>
      </c>
      <c r="K7">
        <f>[1]table_ot!K4</f>
        <v>80</v>
      </c>
      <c r="L7">
        <f>[1]table_ot!L4</f>
        <v>74</v>
      </c>
      <c r="M7">
        <f>[1]table_ot!M4</f>
        <v>0</v>
      </c>
      <c r="N7">
        <f>[1]table_ot!N4</f>
        <v>3.2</v>
      </c>
    </row>
    <row r="8" spans="1:14" x14ac:dyDescent="0.25">
      <c r="A8" s="1" t="str">
        <f>[3]table_ot!A5</f>
        <v>Moving Block</v>
      </c>
      <c r="B8" t="str">
        <f>[3]table_ot!B5</f>
        <v>OptimTraj</v>
      </c>
      <c r="C8" t="str">
        <f>[3]table_ot!C5</f>
        <v>fmincon v24.1 (2024a)</v>
      </c>
      <c r="D8" t="str">
        <f>[3]table_ot!D5</f>
        <v>TRAP</v>
      </c>
      <c r="E8">
        <f>[3]table_ot!E5</f>
        <v>12.055899999999998</v>
      </c>
      <c r="F8">
        <f>[3]table_ot!F5</f>
        <v>5.7338600000000017E-2</v>
      </c>
      <c r="G8">
        <f>[3]table_ot!G5</f>
        <v>4.7461000000000003E-2</v>
      </c>
      <c r="H8">
        <f>[3]table_ot!H5</f>
        <v>0.12404800000000001</v>
      </c>
      <c r="I8">
        <f>[3]table_ot!I5</f>
        <v>2.3473981039061526E-2</v>
      </c>
      <c r="J8">
        <f>[3]table_ot!J5</f>
        <v>19</v>
      </c>
      <c r="K8">
        <f>[3]table_ot!K5</f>
        <v>92</v>
      </c>
      <c r="L8">
        <f>[3]table_ot!L5</f>
        <v>58</v>
      </c>
      <c r="M8">
        <f>[3]table_ot!M5</f>
        <v>92</v>
      </c>
      <c r="N8">
        <f>[3]table_ot!N5</f>
        <v>4.0999999999999996</v>
      </c>
    </row>
    <row r="9" spans="1:14" x14ac:dyDescent="0.25">
      <c r="A9" s="1" t="str">
        <f>[1]table_ot!A5</f>
        <v>Moving Block</v>
      </c>
      <c r="B9" t="str">
        <f>[1]table_ot!B5</f>
        <v>Amplify</v>
      </c>
      <c r="C9" t="str">
        <f>[1]table_ot!C5</f>
        <v>Ipopt 3.12.13</v>
      </c>
      <c r="D9" t="str">
        <f>[1]table_ot!D5</f>
        <v>TRAP</v>
      </c>
      <c r="E9">
        <f>[1]table_ot!E5</f>
        <v>12.055857637172497</v>
      </c>
      <c r="F9">
        <f>[1]table_ot!F5</f>
        <v>0.17810000000000001</v>
      </c>
      <c r="G9">
        <f>[1]table_ot!G5</f>
        <v>0.156</v>
      </c>
      <c r="H9">
        <f>[1]table_ot!H5</f>
        <v>0.20300000000000001</v>
      </c>
      <c r="I9">
        <f>[1]table_ot!I5</f>
        <v>1.5029230777979876E-2</v>
      </c>
      <c r="J9">
        <f>[1]table_ot!J5</f>
        <v>7</v>
      </c>
      <c r="K9">
        <f>[1]table_ot!K5</f>
        <v>116</v>
      </c>
      <c r="L9">
        <f>[1]table_ot!L5</f>
        <v>88</v>
      </c>
      <c r="M9">
        <f>[1]table_ot!M5</f>
        <v>0</v>
      </c>
      <c r="N9">
        <f>[1]table_ot!N5</f>
        <v>4.2</v>
      </c>
    </row>
    <row r="10" spans="1:14" x14ac:dyDescent="0.25">
      <c r="A10" t="str">
        <f>[3]table_ot!A6</f>
        <v>Five-Link Biped (5 DOF)</v>
      </c>
      <c r="B10" t="str">
        <f>[3]table_ot!B6</f>
        <v>OptimTraj</v>
      </c>
      <c r="C10" t="str">
        <f>[3]table_ot!C6</f>
        <v>fmincon v24.1 (2024a)</v>
      </c>
      <c r="D10" t="str">
        <f>[3]table_ot!D6</f>
        <v>HS</v>
      </c>
      <c r="E10">
        <f>[3]table_ot!O6</f>
        <v>420.13156442374998</v>
      </c>
      <c r="F10">
        <f>[3]table_ot!F6</f>
        <v>0.58966359999999995</v>
      </c>
      <c r="G10">
        <f>[3]table_ot!G6</f>
        <v>0.53590499999999996</v>
      </c>
      <c r="H10">
        <f>[3]table_ot!H6</f>
        <v>0.85341400000000001</v>
      </c>
      <c r="I10">
        <f>[3]table_ot!I6</f>
        <v>9.6073143448335549E-2</v>
      </c>
      <c r="J10">
        <f>[3]table_ot!J6</f>
        <v>27</v>
      </c>
      <c r="K10">
        <f>[3]table_ot!K6</f>
        <v>197</v>
      </c>
      <c r="L10">
        <f>[3]table_ot!L6</f>
        <v>132</v>
      </c>
      <c r="M10">
        <f>[3]table_ot!M6</f>
        <v>225</v>
      </c>
      <c r="N10">
        <f>[3]table_ot!N6</f>
        <v>5.0999999999999996</v>
      </c>
    </row>
    <row r="11" spans="1:14" x14ac:dyDescent="0.25">
      <c r="A11" s="1" t="str">
        <f>[1]table_ot!A6</f>
        <v>Five-Link Biped (5 DOF)</v>
      </c>
      <c r="B11" t="str">
        <f>[1]table_ot!B6</f>
        <v>Amplify</v>
      </c>
      <c r="C11" t="str">
        <f>[1]table_ot!C6</f>
        <v>Ipopt 3.12.13</v>
      </c>
      <c r="D11" t="str">
        <f>[1]table_ot!D6</f>
        <v>HS</v>
      </c>
      <c r="E11">
        <f>[1]table_ot!E6</f>
        <v>260.43008529551423</v>
      </c>
      <c r="F11">
        <f>[1]table_ot!F6</f>
        <v>0.50459999999999994</v>
      </c>
      <c r="G11">
        <f>[1]table_ot!G6</f>
        <v>0.45299999999999996</v>
      </c>
      <c r="H11">
        <f>[1]table_ot!H6</f>
        <v>0.71799999999999997</v>
      </c>
      <c r="I11">
        <f>[1]table_ot!I6</f>
        <v>7.9728985388697785E-2</v>
      </c>
      <c r="J11">
        <f>[1]table_ot!J6</f>
        <v>11</v>
      </c>
      <c r="K11">
        <f>[1]table_ot!K6</f>
        <v>266</v>
      </c>
      <c r="L11">
        <f>[1]table_ot!L6</f>
        <v>212</v>
      </c>
      <c r="M11">
        <f>[1]table_ot!M6</f>
        <v>2</v>
      </c>
      <c r="N11">
        <f>[1]table_ot!N6</f>
        <v>5.2</v>
      </c>
    </row>
    <row r="12" spans="1:14" x14ac:dyDescent="0.25">
      <c r="A12" s="1" t="str">
        <f>[1]table_ot!A7</f>
        <v>Five-Link Biped (7 DOF)</v>
      </c>
      <c r="B12" t="str">
        <f>[1]table_ot!B7</f>
        <v>Amplify</v>
      </c>
      <c r="C12" t="str">
        <f>[1]table_ot!C7</f>
        <v>Ipopt 3.12.13</v>
      </c>
      <c r="D12" t="str">
        <f>[1]table_ot!D7</f>
        <v>HS</v>
      </c>
      <c r="E12">
        <f>[1]table_ot!E7</f>
        <v>443.14228437220765</v>
      </c>
      <c r="F12">
        <f>[1]table_ot!F7</f>
        <v>0.52500000000000002</v>
      </c>
      <c r="G12">
        <f>[1]table_ot!G7</f>
        <v>0.48499999999999999</v>
      </c>
      <c r="H12">
        <f>[1]table_ot!H7</f>
        <v>0.57799999999999996</v>
      </c>
      <c r="I12">
        <f>[1]table_ot!I7</f>
        <v>2.764858847110363E-2</v>
      </c>
      <c r="J12">
        <f>[1]table_ot!J7</f>
        <v>13</v>
      </c>
      <c r="K12">
        <f>[1]table_ot!K7</f>
        <v>326</v>
      </c>
      <c r="L12">
        <f>[1]table_ot!L7</f>
        <v>300</v>
      </c>
      <c r="M12">
        <f>[1]table_ot!M7</f>
        <v>2</v>
      </c>
      <c r="N12">
        <f>[1]table_ot!N7</f>
        <v>6.2</v>
      </c>
    </row>
  </sheetData>
  <sortState xmlns:xlrd2="http://schemas.microsoft.com/office/spreadsheetml/2017/richdata2" ref="A2:N12">
    <sortCondition ref="N2:N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6491-9633-4EB1-9D63-EA5AF473F0B6}">
  <dimension ref="A1:S5"/>
  <sheetViews>
    <sheetView workbookViewId="0">
      <selection activeCell="J5" sqref="J5"/>
    </sheetView>
  </sheetViews>
  <sheetFormatPr defaultRowHeight="15" x14ac:dyDescent="0.25"/>
  <cols>
    <col min="1" max="1" width="22" bestFit="1" customWidth="1"/>
    <col min="2" max="2" width="8" bestFit="1" customWidth="1"/>
    <col min="3" max="3" width="12.28515625" bestFit="1" customWidth="1"/>
    <col min="4" max="4" width="4.7109375" bestFit="1" customWidth="1"/>
    <col min="5" max="6" width="12" bestFit="1" customWidth="1"/>
    <col min="7" max="7" width="13.85546875" bestFit="1" customWidth="1"/>
    <col min="8" max="8" width="14.140625" bestFit="1" customWidth="1"/>
    <col min="9" max="9" width="17.85546875" bestFit="1" customWidth="1"/>
    <col min="10" max="10" width="10" bestFit="1" customWidth="1"/>
    <col min="11" max="11" width="14" bestFit="1" customWidth="1"/>
    <col min="12" max="12" width="14.28515625" bestFit="1" customWidth="1"/>
    <col min="13" max="13" width="18.5703125" bestFit="1" customWidth="1"/>
    <col min="14" max="14" width="9.5703125" bestFit="1" customWidth="1"/>
    <col min="15" max="15" width="9.28515625" bestFit="1" customWidth="1"/>
    <col min="16" max="16" width="10.42578125" bestFit="1" customWidth="1"/>
    <col min="17" max="17" width="12.28515625" bestFit="1" customWidth="1"/>
    <col min="18" max="18" width="40.5703125" bestFit="1" customWidth="1"/>
    <col min="19" max="19" width="6.140625" bestFit="1" customWidth="1"/>
  </cols>
  <sheetData>
    <row r="1" spans="1:19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24</v>
      </c>
      <c r="H1" t="s">
        <v>25</v>
      </c>
      <c r="I1" t="s">
        <v>26</v>
      </c>
      <c r="J1" t="s">
        <v>7</v>
      </c>
      <c r="K1" t="s">
        <v>28</v>
      </c>
      <c r="L1" t="s">
        <v>29</v>
      </c>
      <c r="M1" t="s">
        <v>30</v>
      </c>
      <c r="N1" t="s">
        <v>6</v>
      </c>
      <c r="O1" t="s">
        <v>8</v>
      </c>
      <c r="P1" t="s">
        <v>9</v>
      </c>
      <c r="Q1" t="s">
        <v>10</v>
      </c>
      <c r="R1" t="s">
        <v>31</v>
      </c>
      <c r="S1" t="s">
        <v>27</v>
      </c>
    </row>
    <row r="2" spans="1:19" x14ac:dyDescent="0.25">
      <c r="A2" t="str">
        <f>[4]table_tc!A2</f>
        <v>Five-Link Biped (7 DOF)</v>
      </c>
      <c r="B2" t="str">
        <f>[4]table_tc!B2</f>
        <v>TROPIC</v>
      </c>
      <c r="C2" t="str">
        <f>[4]table_tc!C2</f>
        <v>Ipopt 3.12.3</v>
      </c>
      <c r="D2" t="str">
        <f>[4]table_tc!D2</f>
        <v>HS</v>
      </c>
      <c r="E2">
        <f>[4]table_tc!E2</f>
        <v>4.1215593876914607</v>
      </c>
      <c r="F2">
        <f>[4]table_tc!F2</f>
        <v>2.6927525000000001</v>
      </c>
      <c r="G2">
        <f>[4]table_tc!G2</f>
        <v>2.4732829999999999</v>
      </c>
      <c r="H2">
        <f>[4]table_tc!H2</f>
        <v>3.8394680000000001</v>
      </c>
      <c r="I2">
        <f>[4]table_tc!I2</f>
        <v>0.41058382977420738</v>
      </c>
      <c r="J2">
        <f>[4]table_tc!J2</f>
        <v>1.1497999999999999</v>
      </c>
      <c r="K2">
        <f>[4]table_tc!K2</f>
        <v>0.99299999999999999</v>
      </c>
      <c r="L2">
        <f>[4]table_tc!L2</f>
        <v>1.589</v>
      </c>
      <c r="M2">
        <f>[4]table_tc!M2</f>
        <v>0.16724220626252112</v>
      </c>
      <c r="N2">
        <f>[4]table_tc!N2</f>
        <v>101</v>
      </c>
      <c r="O2">
        <f>[4]table_tc!O2</f>
        <v>1404</v>
      </c>
      <c r="P2">
        <f>[4]table_tc!P2</f>
        <v>6</v>
      </c>
      <c r="Q2">
        <f>[4]table_tc!Q2</f>
        <v>1642</v>
      </c>
      <c r="R2" t="str">
        <f>[4]table_tc!R2</f>
        <v>TROPIC defaults with $\epsilon$ constraints</v>
      </c>
      <c r="S2">
        <f>[4]table_tc!S2</f>
        <v>1.1000000000000001</v>
      </c>
    </row>
    <row r="3" spans="1:19" x14ac:dyDescent="0.25">
      <c r="A3" t="str">
        <f>[1]table_tc!A2</f>
        <v>Five-Link Biped (7 DOF)</v>
      </c>
      <c r="B3" t="str">
        <f>[1]table_tc!B2</f>
        <v>Amplify</v>
      </c>
      <c r="C3" t="str">
        <f>[1]table_tc!C2</f>
        <v>Ipopt 3.12.13</v>
      </c>
      <c r="D3" t="str">
        <f>[1]table_tc!D2</f>
        <v>HS</v>
      </c>
      <c r="E3">
        <f>[1]table_tc!E2</f>
        <v>5.7300002083855279</v>
      </c>
      <c r="F3">
        <f>[1]table_tc!F2</f>
        <v>31.954400000000003</v>
      </c>
      <c r="G3">
        <f>[1]table_tc!G2</f>
        <v>30.765000000000001</v>
      </c>
      <c r="H3">
        <f>[1]table_tc!H2</f>
        <v>33.093000000000004</v>
      </c>
      <c r="I3">
        <f>[1]table_tc!I2</f>
        <v>0.63404665093000578</v>
      </c>
      <c r="J3">
        <f>[1]table_tc!J2</f>
        <v>11.904500000000002</v>
      </c>
      <c r="K3">
        <f>[1]table_tc!K2</f>
        <v>11.284000000000001</v>
      </c>
      <c r="L3">
        <f>[1]table_tc!L2</f>
        <v>12.42</v>
      </c>
      <c r="M3">
        <f>[1]table_tc!M2</f>
        <v>0.29286335456052592</v>
      </c>
      <c r="N3">
        <f>[1]table_tc!N2</f>
        <v>206</v>
      </c>
      <c r="O3">
        <f>[1]table_tc!O2</f>
        <v>2345</v>
      </c>
      <c r="P3">
        <f>[1]table_tc!P2</f>
        <v>2331</v>
      </c>
      <c r="Q3">
        <f>[1]table_tc!Q2</f>
        <v>206</v>
      </c>
      <c r="R3" t="str">
        <f>[1]table_tc!R2</f>
        <v>Ipopt defaults with equality constraints</v>
      </c>
      <c r="S3">
        <f>[1]table_tc!S2</f>
        <v>1.2</v>
      </c>
    </row>
    <row r="4" spans="1:19" x14ac:dyDescent="0.25">
      <c r="A4" t="str">
        <f>[4]table_tc!A3</f>
        <v>Five-Link Biped (7 DOF)</v>
      </c>
      <c r="B4" t="str">
        <f>[4]table_tc!B3</f>
        <v>TROPIC</v>
      </c>
      <c r="C4" t="str">
        <f>[4]table_tc!C3</f>
        <v>Ipopt 3.12.3</v>
      </c>
      <c r="D4" t="str">
        <f>[4]table_tc!D3</f>
        <v>HS</v>
      </c>
      <c r="E4">
        <f>[4]table_tc!E3</f>
        <v>6.0928933623037809</v>
      </c>
      <c r="F4">
        <f>[4]table_tc!F3</f>
        <v>18.966076000000001</v>
      </c>
      <c r="G4">
        <f>[4]table_tc!G3</f>
        <v>18.638432999999999</v>
      </c>
      <c r="H4">
        <f>[4]table_tc!H3</f>
        <v>20.016275</v>
      </c>
      <c r="I4">
        <f>[4]table_tc!I3</f>
        <v>0.44364196748930063</v>
      </c>
      <c r="J4">
        <f>[4]table_tc!J3</f>
        <v>9.2027000000000001</v>
      </c>
      <c r="K4">
        <f>[4]table_tc!K3</f>
        <v>8.8729999999999993</v>
      </c>
      <c r="L4">
        <f>[4]table_tc!L3</f>
        <v>9.5139999999999993</v>
      </c>
      <c r="M4">
        <f>[4]table_tc!M3</f>
        <v>0.20846052117580652</v>
      </c>
      <c r="N4">
        <f>[4]table_tc!N3</f>
        <v>793</v>
      </c>
      <c r="O4">
        <f>[4]table_tc!O3</f>
        <v>1404</v>
      </c>
      <c r="P4">
        <f>[4]table_tc!P3</f>
        <v>1390</v>
      </c>
      <c r="Q4">
        <f>[4]table_tc!Q3</f>
        <v>258</v>
      </c>
      <c r="R4" t="str">
        <f>[4]table_tc!R3</f>
        <v>TROPIC defaults with equality constraints</v>
      </c>
      <c r="S4">
        <f>[4]table_tc!S3</f>
        <v>2.1</v>
      </c>
    </row>
    <row r="5" spans="1:19" x14ac:dyDescent="0.25">
      <c r="A5" t="str">
        <f>[4]table_tc!A4</f>
        <v>Five-Link Biped (7 DOF)</v>
      </c>
      <c r="B5" t="str">
        <f>[4]table_tc!B4</f>
        <v>TROPIC</v>
      </c>
      <c r="C5" t="str">
        <f>[4]table_tc!C4</f>
        <v>Ipopt 3.12.3</v>
      </c>
      <c r="D5" t="str">
        <f>[4]table_tc!D4</f>
        <v>HS</v>
      </c>
      <c r="E5">
        <f>[4]table_tc!E4</f>
        <v>5.9227518003997712</v>
      </c>
      <c r="F5">
        <f>[4]table_tc!F4</f>
        <v>207.4800339</v>
      </c>
      <c r="G5">
        <f>[4]table_tc!G4</f>
        <v>204.79609199999999</v>
      </c>
      <c r="H5">
        <f>[4]table_tc!H4</f>
        <v>212.44538900000001</v>
      </c>
      <c r="I5">
        <f>[4]table_tc!I4</f>
        <v>2.4590701065861156</v>
      </c>
      <c r="J5">
        <f>[4]table_tc!J4</f>
        <v>69.762</v>
      </c>
      <c r="K5">
        <f>[4]table_tc!K4</f>
        <v>68.317999999999998</v>
      </c>
      <c r="L5">
        <f>[4]table_tc!L4</f>
        <v>70.930999999999997</v>
      </c>
      <c r="M5">
        <f>[4]table_tc!M4</f>
        <v>0.79665899577896848</v>
      </c>
      <c r="N5">
        <f>[4]table_tc!N4</f>
        <v>1141</v>
      </c>
      <c r="O5">
        <f>[4]table_tc!O4</f>
        <v>1404</v>
      </c>
      <c r="P5">
        <f>[4]table_tc!P4</f>
        <v>1390</v>
      </c>
      <c r="Q5">
        <f>[4]table_tc!Q4</f>
        <v>258</v>
      </c>
      <c r="R5" t="str">
        <f>[4]table_tc!R4</f>
        <v>Ipopt defaults with equality constraints</v>
      </c>
      <c r="S5">
        <f>[4]table_tc!S4</f>
        <v>3.1</v>
      </c>
    </row>
  </sheetData>
  <sortState xmlns:xlrd2="http://schemas.microsoft.com/office/spreadsheetml/2017/richdata2" ref="A2:S5">
    <sortCondition ref="S2:S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D2C3-ED1B-4EC9-B4DE-7BF298E4CC43}">
  <dimension ref="A1:S7"/>
  <sheetViews>
    <sheetView workbookViewId="0"/>
  </sheetViews>
  <sheetFormatPr defaultRowHeight="15" x14ac:dyDescent="0.25"/>
  <cols>
    <col min="1" max="1" width="6.28515625" bestFit="1" customWidth="1"/>
    <col min="2" max="2" width="8" bestFit="1" customWidth="1"/>
    <col min="3" max="3" width="12.28515625" bestFit="1" customWidth="1"/>
    <col min="4" max="4" width="10.7109375" bestFit="1" customWidth="1"/>
    <col min="5" max="5" width="11.5703125" bestFit="1" customWidth="1"/>
    <col min="6" max="6" width="12" bestFit="1" customWidth="1"/>
    <col min="7" max="7" width="9.85546875" bestFit="1" customWidth="1"/>
    <col min="8" max="8" width="13.85546875" bestFit="1" customWidth="1"/>
    <col min="9" max="9" width="14.140625" bestFit="1" customWidth="1"/>
    <col min="10" max="10" width="17.85546875" bestFit="1" customWidth="1"/>
    <col min="11" max="11" width="10" bestFit="1" customWidth="1"/>
    <col min="12" max="12" width="14" bestFit="1" customWidth="1"/>
    <col min="13" max="13" width="14.28515625" bestFit="1" customWidth="1"/>
    <col min="14" max="14" width="18.5703125" bestFit="1" customWidth="1"/>
    <col min="15" max="15" width="9.5703125" bestFit="1" customWidth="1"/>
    <col min="16" max="16" width="9.28515625" bestFit="1" customWidth="1"/>
    <col min="17" max="17" width="10.42578125" bestFit="1" customWidth="1"/>
    <col min="18" max="18" width="12.28515625" bestFit="1" customWidth="1"/>
    <col min="19" max="19" width="6.140625" bestFit="1" customWidth="1"/>
  </cols>
  <sheetData>
    <row r="1" spans="1:19" x14ac:dyDescent="0.25">
      <c r="A1" t="s">
        <v>0</v>
      </c>
      <c r="B1" t="s">
        <v>3</v>
      </c>
      <c r="C1" t="s">
        <v>1</v>
      </c>
      <c r="D1" t="s">
        <v>35</v>
      </c>
      <c r="E1" t="s">
        <v>32</v>
      </c>
      <c r="F1" t="s">
        <v>4</v>
      </c>
      <c r="G1" t="s">
        <v>5</v>
      </c>
      <c r="H1" t="s">
        <v>24</v>
      </c>
      <c r="I1" t="s">
        <v>25</v>
      </c>
      <c r="J1" t="s">
        <v>26</v>
      </c>
      <c r="K1" t="s">
        <v>7</v>
      </c>
      <c r="L1" t="s">
        <v>28</v>
      </c>
      <c r="M1" t="s">
        <v>29</v>
      </c>
      <c r="N1" t="s">
        <v>30</v>
      </c>
      <c r="O1" t="s">
        <v>6</v>
      </c>
      <c r="P1" t="s">
        <v>8</v>
      </c>
      <c r="Q1" t="s">
        <v>9</v>
      </c>
      <c r="R1" t="s">
        <v>10</v>
      </c>
      <c r="S1" t="s">
        <v>27</v>
      </c>
    </row>
    <row r="2" spans="1:19" x14ac:dyDescent="0.25">
      <c r="A2" t="str">
        <f>[5]table_hn!A2</f>
        <v>spot</v>
      </c>
      <c r="B2" t="str">
        <f>[5]table_hn!B2</f>
        <v>Horizon</v>
      </c>
      <c r="C2" t="str">
        <f>[5]table_hn!C2</f>
        <v>Ipopt 3.12.3</v>
      </c>
      <c r="D2" t="str">
        <f>[5]table_hn!D2</f>
        <v>COL3</v>
      </c>
      <c r="E2" t="str">
        <f>[5]table_hn!E2</f>
        <v>No</v>
      </c>
      <c r="F2">
        <f>[5]table_hn!F2</f>
        <v>16947.152891601992</v>
      </c>
      <c r="G2">
        <f>[5]table_hn!G2</f>
        <v>67.31362</v>
      </c>
      <c r="H2">
        <f>[5]table_hn!H2</f>
        <v>66.008600000000001</v>
      </c>
      <c r="I2">
        <f>[5]table_hn!I2</f>
        <v>68.869</v>
      </c>
      <c r="J2">
        <f>[5]table_hn!J2</f>
        <v>0.88417222027787667</v>
      </c>
      <c r="K2">
        <f>[5]table_hn!K2</f>
        <v>12.74</v>
      </c>
      <c r="L2">
        <f>[5]table_hn!L2</f>
        <v>12.449</v>
      </c>
      <c r="M2">
        <f>[5]table_hn!M2</f>
        <v>13.194000000000001</v>
      </c>
      <c r="N2">
        <f>[5]table_hn!N2</f>
        <v>0.24093475373128637</v>
      </c>
      <c r="O2">
        <f>[5]table_hn!O2</f>
        <v>493</v>
      </c>
      <c r="P2">
        <f>[5]table_hn!P2</f>
        <v>8950</v>
      </c>
      <c r="Q2">
        <f>[5]table_hn!Q2</f>
        <v>8337</v>
      </c>
      <c r="R2">
        <f>[5]table_hn!R2</f>
        <v>1180</v>
      </c>
      <c r="S2">
        <f>[5]table_hn!S2</f>
        <v>1.1000000000000001</v>
      </c>
    </row>
    <row r="3" spans="1:19" x14ac:dyDescent="0.25">
      <c r="A3" t="str">
        <f>[1]table_hn!A2</f>
        <v>spot</v>
      </c>
      <c r="B3" t="str">
        <f>[1]table_hn!B2</f>
        <v>Amplify</v>
      </c>
      <c r="C3" t="str">
        <f>[1]table_hn!C2</f>
        <v>Ipopt 3.12.13</v>
      </c>
      <c r="D3" t="str">
        <f>[1]table_hn!D2</f>
        <v>COL3</v>
      </c>
      <c r="E3" t="str">
        <f>[1]table_hn!E2</f>
        <v>Yes</v>
      </c>
      <c r="F3">
        <f>[1]table_hn!F2</f>
        <v>13250.852894543201</v>
      </c>
      <c r="G3">
        <f>[1]table_hn!G2</f>
        <v>199.73899999999998</v>
      </c>
      <c r="H3">
        <f>[1]table_hn!H2</f>
        <v>196.48400000000001</v>
      </c>
      <c r="I3">
        <f>[1]table_hn!I2</f>
        <v>203.56300000000002</v>
      </c>
      <c r="J3">
        <f>[1]table_hn!J2</f>
        <v>2.1081676087699179</v>
      </c>
      <c r="K3">
        <f>[1]table_hn!K2</f>
        <v>152.01589999999999</v>
      </c>
      <c r="L3">
        <f>[1]table_hn!L2</f>
        <v>150.34</v>
      </c>
      <c r="M3">
        <f>[1]table_hn!M2</f>
        <v>154.44300000000001</v>
      </c>
      <c r="N3">
        <f>[1]table_hn!N2</f>
        <v>1.1963879387556533</v>
      </c>
      <c r="O3">
        <f>[1]table_hn!O2</f>
        <v>172</v>
      </c>
      <c r="P3">
        <f>[1]table_hn!P2</f>
        <v>14854</v>
      </c>
      <c r="Q3">
        <f>[1]table_hn!Q2</f>
        <v>14228</v>
      </c>
      <c r="R3">
        <f>[1]table_hn!R2</f>
        <v>480</v>
      </c>
      <c r="S3">
        <f>[1]table_hn!S2</f>
        <v>1.2</v>
      </c>
    </row>
    <row r="4" spans="1:19" x14ac:dyDescent="0.25">
      <c r="A4" t="str">
        <f>[5]table_hn!A3</f>
        <v>spot</v>
      </c>
      <c r="B4" t="str">
        <f>[5]table_hn!B3</f>
        <v>Horizon</v>
      </c>
      <c r="C4" t="str">
        <f>[5]table_hn!C3</f>
        <v>Ipopt 3.12.3</v>
      </c>
      <c r="D4" t="str">
        <f>[5]table_hn!D3</f>
        <v>RK1</v>
      </c>
      <c r="E4" t="str">
        <f>[5]table_hn!E3</f>
        <v>No</v>
      </c>
      <c r="F4">
        <f>[5]table_hn!F3</f>
        <v>19921.461898401179</v>
      </c>
      <c r="G4">
        <f>[5]table_hn!G3</f>
        <v>65.095769999999987</v>
      </c>
      <c r="H4">
        <f>[5]table_hn!H3</f>
        <v>63.828400000000002</v>
      </c>
      <c r="I4">
        <f>[5]table_hn!I3</f>
        <v>66.660600000000002</v>
      </c>
      <c r="J4">
        <f>[5]table_hn!J3</f>
        <v>1.0688427210461495</v>
      </c>
      <c r="K4">
        <f>[5]table_hn!K3</f>
        <v>9.0190000000000019</v>
      </c>
      <c r="L4">
        <f>[5]table_hn!L3</f>
        <v>8.734</v>
      </c>
      <c r="M4">
        <f>[5]table_hn!M3</f>
        <v>9.3819999999999997</v>
      </c>
      <c r="N4">
        <f>[5]table_hn!N3</f>
        <v>0.21180336793041485</v>
      </c>
      <c r="O4">
        <f>[5]table_hn!O3</f>
        <v>398</v>
      </c>
      <c r="P4">
        <f>[5]table_hn!P3</f>
        <v>3400</v>
      </c>
      <c r="Q4">
        <f>[5]table_hn!Q3</f>
        <v>2787</v>
      </c>
      <c r="R4">
        <f>[5]table_hn!R3</f>
        <v>1180</v>
      </c>
      <c r="S4">
        <f>[5]table_hn!S3</f>
        <v>2.1</v>
      </c>
    </row>
    <row r="5" spans="1:19" x14ac:dyDescent="0.25">
      <c r="A5" t="str">
        <f>[1]table_hn!A3</f>
        <v>spot</v>
      </c>
      <c r="B5" t="str">
        <f>[1]table_hn!B3</f>
        <v>Amplify</v>
      </c>
      <c r="C5" t="str">
        <f>[1]table_hn!C3</f>
        <v>Ipopt 3.12.13</v>
      </c>
      <c r="D5" t="str">
        <f>[1]table_hn!D3</f>
        <v>RK1</v>
      </c>
      <c r="E5" t="str">
        <f>[1]table_hn!E3</f>
        <v>Yes</v>
      </c>
      <c r="F5">
        <f>[1]table_hn!F3</f>
        <v>13087.318929267831</v>
      </c>
      <c r="G5">
        <f>[1]table_hn!G3</f>
        <v>217.5641</v>
      </c>
      <c r="H5">
        <f>[1]table_hn!H3</f>
        <v>212.46899999999999</v>
      </c>
      <c r="I5">
        <f>[1]table_hn!I3</f>
        <v>226.953</v>
      </c>
      <c r="J5">
        <f>[1]table_hn!J3</f>
        <v>4.3938343783584335</v>
      </c>
      <c r="K5">
        <f>[1]table_hn!K3</f>
        <v>168.97460000000001</v>
      </c>
      <c r="L5">
        <f>[1]table_hn!L3</f>
        <v>165.077</v>
      </c>
      <c r="M5">
        <f>[1]table_hn!M3</f>
        <v>177.81200000000001</v>
      </c>
      <c r="N5">
        <f>[1]table_hn!N3</f>
        <v>3.8416228399524672</v>
      </c>
      <c r="O5">
        <f>[1]table_hn!O3</f>
        <v>201</v>
      </c>
      <c r="P5">
        <f>[1]table_hn!P3</f>
        <v>3706</v>
      </c>
      <c r="Q5">
        <f>[1]table_hn!Q3</f>
        <v>3080</v>
      </c>
      <c r="R5">
        <f>[1]table_hn!R3</f>
        <v>480</v>
      </c>
      <c r="S5">
        <f>[1]table_hn!S3</f>
        <v>2.2000000000000002</v>
      </c>
    </row>
    <row r="6" spans="1:19" x14ac:dyDescent="0.25">
      <c r="A6" t="str">
        <f>[5]table_hn!A4</f>
        <v>spot</v>
      </c>
      <c r="B6" t="str">
        <f>[5]table_hn!B4</f>
        <v>Horizon</v>
      </c>
      <c r="C6" t="str">
        <f>[5]table_hn!C4</f>
        <v>Ipopt 3.12.3</v>
      </c>
      <c r="D6" t="str">
        <f>[5]table_hn!D4</f>
        <v>RK4</v>
      </c>
      <c r="E6" t="str">
        <f>[5]table_hn!E4</f>
        <v>Yes</v>
      </c>
      <c r="F6">
        <f>[5]table_hn!F4</f>
        <v>13127.37489131594</v>
      </c>
      <c r="G6">
        <f>[5]table_hn!G4</f>
        <v>43.196540000000006</v>
      </c>
      <c r="H6">
        <f>[5]table_hn!H4</f>
        <v>41.409500000000001</v>
      </c>
      <c r="I6">
        <f>[5]table_hn!I4</f>
        <v>44.3583</v>
      </c>
      <c r="J6">
        <f>[5]table_hn!J4</f>
        <v>0.85296181391665971</v>
      </c>
      <c r="K6">
        <f>[5]table_hn!K4</f>
        <v>9.1204000000000001</v>
      </c>
      <c r="L6">
        <f>[5]table_hn!L4</f>
        <v>8.6869999999999994</v>
      </c>
      <c r="M6">
        <f>[5]table_hn!M4</f>
        <v>9.4830000000000005</v>
      </c>
      <c r="N6">
        <f>[5]table_hn!N4</f>
        <v>0.26120115705035551</v>
      </c>
      <c r="O6">
        <f>[5]table_hn!O4</f>
        <v>330</v>
      </c>
      <c r="P6">
        <f>[5]table_hn!P4</f>
        <v>3400</v>
      </c>
      <c r="Q6">
        <f>[5]table_hn!Q4</f>
        <v>2787</v>
      </c>
      <c r="R6">
        <f>[5]table_hn!R4</f>
        <v>1180</v>
      </c>
      <c r="S6">
        <f>[5]table_hn!S4</f>
        <v>3.1</v>
      </c>
    </row>
    <row r="7" spans="1:19" x14ac:dyDescent="0.25">
      <c r="A7" t="str">
        <f>[1]table_hn!A4</f>
        <v>spot</v>
      </c>
      <c r="B7" t="str">
        <f>[1]table_hn!B4</f>
        <v>Amplify</v>
      </c>
      <c r="C7" t="str">
        <f>[1]table_hn!C4</f>
        <v>Ipopt 3.12.13</v>
      </c>
      <c r="D7" t="str">
        <f>[1]table_hn!D4</f>
        <v>RK4</v>
      </c>
      <c r="E7" t="str">
        <f>[1]table_hn!E4</f>
        <v>Yes</v>
      </c>
      <c r="F7">
        <f>[1]table_hn!F4</f>
        <v>13343.081305464602</v>
      </c>
      <c r="G7">
        <f>[1]table_hn!G4</f>
        <v>159.82990000000001</v>
      </c>
      <c r="H7">
        <f>[1]table_hn!H4</f>
        <v>157.34399999999999</v>
      </c>
      <c r="I7">
        <f>[1]table_hn!I4</f>
        <v>167.34400000000002</v>
      </c>
      <c r="J7">
        <f>[1]table_hn!J4</f>
        <v>2.9478735254793849</v>
      </c>
      <c r="K7">
        <f>[1]table_hn!K4</f>
        <v>119.6144</v>
      </c>
      <c r="L7">
        <f>[1]table_hn!L4</f>
        <v>115.982</v>
      </c>
      <c r="M7">
        <f>[1]table_hn!M4</f>
        <v>124.925</v>
      </c>
      <c r="N7">
        <f>[1]table_hn!N4</f>
        <v>2.4609347456245607</v>
      </c>
      <c r="O7">
        <f>[1]table_hn!O4</f>
        <v>136</v>
      </c>
      <c r="P7">
        <f>[1]table_hn!P4</f>
        <v>14836</v>
      </c>
      <c r="Q7">
        <f>[1]table_hn!Q4</f>
        <v>14210</v>
      </c>
      <c r="R7">
        <f>[1]table_hn!R4</f>
        <v>480</v>
      </c>
      <c r="S7">
        <f>[1]table_hn!S4</f>
        <v>3.2</v>
      </c>
    </row>
  </sheetData>
  <sortState xmlns:xlrd2="http://schemas.microsoft.com/office/spreadsheetml/2017/richdata2" ref="A2:S7">
    <sortCondition ref="S2:S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11E0-0113-478E-A59C-0B810F734461}">
  <dimension ref="A1:H27"/>
  <sheetViews>
    <sheetView workbookViewId="0">
      <selection activeCell="H25" sqref="H25"/>
    </sheetView>
  </sheetViews>
  <sheetFormatPr defaultRowHeight="15" x14ac:dyDescent="0.25"/>
  <cols>
    <col min="1" max="1" width="19.28515625" bestFit="1" customWidth="1"/>
    <col min="2" max="2" width="5.5703125" bestFit="1" customWidth="1"/>
    <col min="3" max="3" width="15" bestFit="1" customWidth="1"/>
    <col min="4" max="4" width="17.7109375" bestFit="1" customWidth="1"/>
    <col min="5" max="5" width="27" bestFit="1" customWidth="1"/>
    <col min="6" max="6" width="16.7109375" bestFit="1" customWidth="1"/>
    <col min="7" max="7" width="19.42578125" bestFit="1" customWidth="1"/>
    <col min="8" max="8" width="28.7109375" bestFit="1" customWidth="1"/>
  </cols>
  <sheetData>
    <row r="1" spans="1:8" x14ac:dyDescent="0.25">
      <c r="A1" t="str">
        <f>[1]table_pre!A1</f>
        <v>Demo</v>
      </c>
      <c r="B1" t="str">
        <f>[1]table_pre!B1</f>
        <v>ODE</v>
      </c>
      <c r="C1" t="str">
        <f>[1]table_pre!C1</f>
        <v>Initial Variables</v>
      </c>
      <c r="D1" t="str">
        <f>[1]table_pre!D1</f>
        <v>Presolve Variables</v>
      </c>
      <c r="E1" t="str">
        <f>[1]table_pre!E1</f>
        <v>Variables Relative Reduction</v>
      </c>
      <c r="F1" t="str">
        <f>[1]table_pre!F1</f>
        <v>Initial Constraints</v>
      </c>
      <c r="G1" t="str">
        <f>[1]table_pre!G1</f>
        <v>Presolve Constraints</v>
      </c>
      <c r="H1" t="str">
        <f>[1]table_pre!H1</f>
        <v>Constraints Relative Reduction</v>
      </c>
    </row>
    <row r="2" spans="1:8" x14ac:dyDescent="0.25">
      <c r="A2" t="str">
        <f>[1]table_pre!A2</f>
        <v>acrobot</v>
      </c>
      <c r="B2" t="str">
        <f>[1]table_pre!B2</f>
        <v>TRAP</v>
      </c>
      <c r="C2">
        <f>[1]table_pre!C2</f>
        <v>8779</v>
      </c>
      <c r="D2">
        <f>[1]table_pre!D2</f>
        <v>132</v>
      </c>
      <c r="E2">
        <f>[1]table_pre!E2</f>
        <v>0.98496411892015034</v>
      </c>
      <c r="F2">
        <f>[1]table_pre!F2</f>
        <v>8824</v>
      </c>
      <c r="G2">
        <f>[1]table_pre!G2</f>
        <v>134</v>
      </c>
      <c r="H2">
        <f>[1]table_pre!H2</f>
        <v>0.98481414324569361</v>
      </c>
    </row>
    <row r="3" spans="1:8" x14ac:dyDescent="0.25">
      <c r="A3" t="str">
        <f>[1]table_pre!A3</f>
        <v>cart-pendulum-time</v>
      </c>
      <c r="B3" t="str">
        <f>[1]table_pre!B3</f>
        <v>TRAP</v>
      </c>
      <c r="C3">
        <f>[1]table_pre!C3</f>
        <v>4388</v>
      </c>
      <c r="D3">
        <f>[1]table_pre!D3</f>
        <v>80</v>
      </c>
      <c r="E3">
        <f>[1]table_pre!E3</f>
        <v>0.98176845943482227</v>
      </c>
      <c r="F3">
        <f>[1]table_pre!F3</f>
        <v>4413</v>
      </c>
      <c r="G3">
        <f>[1]table_pre!G3</f>
        <v>74</v>
      </c>
      <c r="H3">
        <f>[1]table_pre!H3</f>
        <v>0.98323136188533877</v>
      </c>
    </row>
    <row r="4" spans="1:8" x14ac:dyDescent="0.25">
      <c r="A4" t="str">
        <f>[1]table_pre!A4</f>
        <v>cart-pendulum-utot</v>
      </c>
      <c r="B4" t="str">
        <f>[1]table_pre!B4</f>
        <v>TRAP</v>
      </c>
      <c r="C4">
        <f>[1]table_pre!C4</f>
        <v>13169</v>
      </c>
      <c r="D4">
        <f>[1]table_pre!D4</f>
        <v>202</v>
      </c>
      <c r="E4">
        <f>[1]table_pre!E4</f>
        <v>0.98466094616143973</v>
      </c>
      <c r="F4">
        <f>[1]table_pre!F4</f>
        <v>13234</v>
      </c>
      <c r="G4">
        <f>[1]table_pre!G4</f>
        <v>176</v>
      </c>
      <c r="H4">
        <f>[1]table_pre!H4</f>
        <v>0.98670092186791603</v>
      </c>
    </row>
    <row r="5" spans="1:8" x14ac:dyDescent="0.25">
      <c r="A5" t="str">
        <f>[1]table_pre!A5</f>
        <v>five-link-mc-kelly</v>
      </c>
      <c r="B5" t="str">
        <f>[1]table_pre!B5</f>
        <v>HS</v>
      </c>
      <c r="C5">
        <f>[1]table_pre!C5</f>
        <v>99109</v>
      </c>
      <c r="D5">
        <f>[1]table_pre!D5</f>
        <v>266</v>
      </c>
      <c r="E5">
        <f>[1]table_pre!E5</f>
        <v>0.99731608632919311</v>
      </c>
      <c r="F5">
        <f>[1]table_pre!F5</f>
        <v>98877</v>
      </c>
      <c r="G5">
        <f>[1]table_pre!G5</f>
        <v>214</v>
      </c>
      <c r="H5">
        <f>[1]table_pre!H5</f>
        <v>0.99783569485320145</v>
      </c>
    </row>
    <row r="6" spans="1:8" x14ac:dyDescent="0.25">
      <c r="A6" t="str">
        <f>[1]table_pre!A6</f>
        <v>five-link-phc-kelly</v>
      </c>
      <c r="B6" t="str">
        <f>[1]table_pre!B6</f>
        <v>HS</v>
      </c>
      <c r="C6">
        <f>[1]table_pre!C6</f>
        <v>46821</v>
      </c>
      <c r="D6">
        <f>[1]table_pre!D6</f>
        <v>326</v>
      </c>
      <c r="E6">
        <f>[1]table_pre!E6</f>
        <v>0.99303731231712267</v>
      </c>
      <c r="F6">
        <f>[1]table_pre!F6</f>
        <v>46820</v>
      </c>
      <c r="G6">
        <f>[1]table_pre!G6</f>
        <v>302</v>
      </c>
      <c r="H6">
        <f>[1]table_pre!H6</f>
        <v>0.99354976505766768</v>
      </c>
    </row>
    <row r="7" spans="1:8" x14ac:dyDescent="0.25">
      <c r="A7" t="str">
        <f>[1]table_pre!A7</f>
        <v>five-link-tropic</v>
      </c>
      <c r="B7" t="str">
        <f>[1]table_pre!B7</f>
        <v>HS</v>
      </c>
      <c r="C7">
        <f>[1]table_pre!C7</f>
        <v>371155</v>
      </c>
      <c r="D7">
        <f>[1]table_pre!D7</f>
        <v>2345</v>
      </c>
      <c r="E7">
        <f>[1]table_pre!E7</f>
        <v>0.99368188492678267</v>
      </c>
      <c r="F7">
        <f>[1]table_pre!F7</f>
        <v>372492</v>
      </c>
      <c r="G7">
        <f>[1]table_pre!G7</f>
        <v>2537</v>
      </c>
      <c r="H7">
        <f>[1]table_pre!H7</f>
        <v>0.99318911547093625</v>
      </c>
    </row>
    <row r="8" spans="1:8" x14ac:dyDescent="0.25">
      <c r="A8" t="str">
        <f>[1]table_pre!A8</f>
        <v>grasp-cbc</v>
      </c>
      <c r="B8" t="str">
        <f>[1]table_pre!B8</f>
        <v>N/A</v>
      </c>
      <c r="C8">
        <f>[1]table_pre!C8</f>
        <v>29729</v>
      </c>
      <c r="D8">
        <f>[1]table_pre!D8</f>
        <v>73</v>
      </c>
      <c r="E8">
        <f>[1]table_pre!E8</f>
        <v>0.99754448518281813</v>
      </c>
      <c r="F8">
        <f>[1]table_pre!F8</f>
        <v>29766</v>
      </c>
      <c r="G8">
        <f>[1]table_pre!G8</f>
        <v>80</v>
      </c>
      <c r="H8">
        <f>[1]table_pre!H8</f>
        <v>0.99731236981791305</v>
      </c>
    </row>
    <row r="9" spans="1:8" x14ac:dyDescent="0.25">
      <c r="A9" t="str">
        <f>[1]table_pre!A9</f>
        <v>grasp-conopt</v>
      </c>
      <c r="B9" t="str">
        <f>[1]table_pre!B9</f>
        <v>N/A</v>
      </c>
      <c r="C9">
        <f>[1]table_pre!C9</f>
        <v>29729</v>
      </c>
      <c r="D9">
        <f>[1]table_pre!D9</f>
        <v>73</v>
      </c>
      <c r="E9">
        <f>[1]table_pre!E9</f>
        <v>0.99754448518281813</v>
      </c>
      <c r="F9">
        <f>[1]table_pre!F9</f>
        <v>29766</v>
      </c>
      <c r="G9">
        <f>[1]table_pre!G9</f>
        <v>80</v>
      </c>
      <c r="H9">
        <f>[1]table_pre!H9</f>
        <v>0.99731236981791305</v>
      </c>
    </row>
    <row r="10" spans="1:8" x14ac:dyDescent="0.25">
      <c r="A10" t="str">
        <f>[1]table_pre!A10</f>
        <v>grasp-gurobi</v>
      </c>
      <c r="B10" t="str">
        <f>[1]table_pre!B10</f>
        <v>N/A</v>
      </c>
      <c r="C10">
        <f>[1]table_pre!C10</f>
        <v>29729</v>
      </c>
      <c r="D10">
        <f>[1]table_pre!D10</f>
        <v>73</v>
      </c>
      <c r="E10">
        <f>[1]table_pre!E10</f>
        <v>0.99754448518281813</v>
      </c>
      <c r="F10">
        <f>[1]table_pre!F10</f>
        <v>29766</v>
      </c>
      <c r="G10">
        <f>[1]table_pre!G10</f>
        <v>80</v>
      </c>
      <c r="H10">
        <f>[1]table_pre!H10</f>
        <v>0.99731236981791305</v>
      </c>
    </row>
    <row r="11" spans="1:8" x14ac:dyDescent="0.25">
      <c r="A11" t="str">
        <f>[1]table_pre!A11</f>
        <v>grasp-highs</v>
      </c>
      <c r="B11" t="str">
        <f>[1]table_pre!B11</f>
        <v>N/A</v>
      </c>
      <c r="C11">
        <f>[1]table_pre!C11</f>
        <v>29729</v>
      </c>
      <c r="D11">
        <f>[1]table_pre!D11</f>
        <v>73</v>
      </c>
      <c r="E11">
        <f>[1]table_pre!E11</f>
        <v>0.99754448518281813</v>
      </c>
      <c r="F11">
        <f>[1]table_pre!F11</f>
        <v>29766</v>
      </c>
      <c r="G11">
        <f>[1]table_pre!G11</f>
        <v>80</v>
      </c>
      <c r="H11">
        <f>[1]table_pre!H11</f>
        <v>0.99731236981791305</v>
      </c>
    </row>
    <row r="12" spans="1:8" x14ac:dyDescent="0.25">
      <c r="A12" t="str">
        <f>[1]table_pre!A12</f>
        <v>grasp-knitro</v>
      </c>
      <c r="B12" t="str">
        <f>[1]table_pre!B12</f>
        <v>N/A</v>
      </c>
      <c r="C12">
        <f>[1]table_pre!C12</f>
        <v>29729</v>
      </c>
      <c r="D12">
        <f>[1]table_pre!D12</f>
        <v>73</v>
      </c>
      <c r="E12">
        <f>[1]table_pre!E12</f>
        <v>0.99754448518281813</v>
      </c>
      <c r="F12">
        <f>[1]table_pre!F12</f>
        <v>29766</v>
      </c>
      <c r="G12">
        <f>[1]table_pre!G12</f>
        <v>80</v>
      </c>
      <c r="H12">
        <f>[1]table_pre!H12</f>
        <v>0.99731236981791305</v>
      </c>
    </row>
    <row r="13" spans="1:8" x14ac:dyDescent="0.25">
      <c r="A13" t="str">
        <f>[1]table_pre!A13</f>
        <v>grasp-raposa</v>
      </c>
      <c r="B13" t="str">
        <f>[1]table_pre!B13</f>
        <v>N/A</v>
      </c>
      <c r="C13">
        <f>[1]table_pre!C13</f>
        <v>29729</v>
      </c>
      <c r="D13">
        <f>[1]table_pre!D13</f>
        <v>73</v>
      </c>
      <c r="E13">
        <f>[1]table_pre!E13</f>
        <v>0.99754448518281813</v>
      </c>
      <c r="F13">
        <f>[1]table_pre!F13</f>
        <v>29766</v>
      </c>
      <c r="G13">
        <f>[1]table_pre!G13</f>
        <v>80</v>
      </c>
      <c r="H13">
        <f>[1]table_pre!H13</f>
        <v>0.99731236981791305</v>
      </c>
    </row>
    <row r="14" spans="1:8" x14ac:dyDescent="0.25">
      <c r="A14" t="str">
        <f>[1]table_pre!A14</f>
        <v>grasp-scip</v>
      </c>
      <c r="B14" t="str">
        <f>[1]table_pre!B14</f>
        <v>N/A</v>
      </c>
      <c r="C14">
        <f>[1]table_pre!C14</f>
        <v>29729</v>
      </c>
      <c r="D14">
        <f>[1]table_pre!D14</f>
        <v>73</v>
      </c>
      <c r="E14">
        <f>[1]table_pre!E14</f>
        <v>0.99754448518281813</v>
      </c>
      <c r="F14">
        <f>[1]table_pre!F14</f>
        <v>29766</v>
      </c>
      <c r="G14">
        <f>[1]table_pre!G14</f>
        <v>80</v>
      </c>
      <c r="H14">
        <f>[1]table_pre!H14</f>
        <v>0.99731236981791305</v>
      </c>
    </row>
    <row r="15" spans="1:8" x14ac:dyDescent="0.25">
      <c r="A15" t="str">
        <f>[1]table_pre!A15</f>
        <v>kinematic-car-conopt</v>
      </c>
      <c r="B15" t="str">
        <f>[1]table_pre!B15</f>
        <v>TRAP</v>
      </c>
      <c r="C15">
        <f>[1]table_pre!C15</f>
        <v>16623</v>
      </c>
      <c r="D15">
        <f>[1]table_pre!D15</f>
        <v>391</v>
      </c>
      <c r="E15">
        <f>[1]table_pre!E15</f>
        <v>0.97647837333814591</v>
      </c>
      <c r="F15">
        <f>[1]table_pre!F15</f>
        <v>16624</v>
      </c>
      <c r="G15">
        <f>[1]table_pre!G15</f>
        <v>341</v>
      </c>
      <c r="H15">
        <f>[1]table_pre!H15</f>
        <v>0.97948748796920115</v>
      </c>
    </row>
    <row r="16" spans="1:8" x14ac:dyDescent="0.25">
      <c r="A16" t="str">
        <f>[1]table_pre!A16</f>
        <v>kinematic-car-filter</v>
      </c>
      <c r="B16" t="str">
        <f>[1]table_pre!B16</f>
        <v>TRAP</v>
      </c>
      <c r="C16">
        <f>[1]table_pre!C16</f>
        <v>16623</v>
      </c>
      <c r="D16">
        <f>[1]table_pre!D16</f>
        <v>391</v>
      </c>
      <c r="E16">
        <f>[1]table_pre!E16</f>
        <v>0.97647837333814591</v>
      </c>
      <c r="F16">
        <f>[1]table_pre!F16</f>
        <v>16624</v>
      </c>
      <c r="G16">
        <f>[1]table_pre!G16</f>
        <v>341</v>
      </c>
      <c r="H16">
        <f>[1]table_pre!H16</f>
        <v>0.97948748796920115</v>
      </c>
    </row>
    <row r="17" spans="1:8" x14ac:dyDescent="0.25">
      <c r="A17" t="str">
        <f>[1]table_pre!A17</f>
        <v>kinematic-car-gurobi</v>
      </c>
      <c r="B17" t="str">
        <f>[1]table_pre!B17</f>
        <v>TRAP</v>
      </c>
      <c r="C17">
        <f>[1]table_pre!C17</f>
        <v>16623</v>
      </c>
      <c r="D17">
        <f>[1]table_pre!D17</f>
        <v>391</v>
      </c>
      <c r="E17">
        <f>[1]table_pre!E17</f>
        <v>0.97647837333814591</v>
      </c>
      <c r="F17">
        <f>[1]table_pre!F17</f>
        <v>16624</v>
      </c>
      <c r="G17">
        <f>[1]table_pre!G17</f>
        <v>341</v>
      </c>
      <c r="H17">
        <f>[1]table_pre!H17</f>
        <v>0.97948748796920115</v>
      </c>
    </row>
    <row r="18" spans="1:8" x14ac:dyDescent="0.25">
      <c r="A18" t="str">
        <f>[1]table_pre!A18</f>
        <v>kinematic-car-ipopt</v>
      </c>
      <c r="B18" t="str">
        <f>[1]table_pre!B18</f>
        <v>TRAP</v>
      </c>
      <c r="C18">
        <f>[1]table_pre!C18</f>
        <v>16623</v>
      </c>
      <c r="D18">
        <f>[1]table_pre!D18</f>
        <v>391</v>
      </c>
      <c r="E18">
        <f>[1]table_pre!E18</f>
        <v>0.97647837333814591</v>
      </c>
      <c r="F18">
        <f>[1]table_pre!F18</f>
        <v>16624</v>
      </c>
      <c r="G18">
        <f>[1]table_pre!G18</f>
        <v>341</v>
      </c>
      <c r="H18">
        <f>[1]table_pre!H18</f>
        <v>0.97948748796920115</v>
      </c>
    </row>
    <row r="19" spans="1:8" x14ac:dyDescent="0.25">
      <c r="A19" t="str">
        <f>[1]table_pre!A19</f>
        <v>kinematic-car-knitro</v>
      </c>
      <c r="B19" t="str">
        <f>[1]table_pre!B19</f>
        <v>TRAP</v>
      </c>
      <c r="C19" t="str">
        <f>[1]table_pre!C19</f>
        <v/>
      </c>
      <c r="D19" t="str">
        <f>[1]table_pre!D19</f>
        <v/>
      </c>
      <c r="E19" t="str">
        <f>[1]table_pre!E19</f>
        <v/>
      </c>
      <c r="F19" t="str">
        <f>[1]table_pre!F19</f>
        <v/>
      </c>
      <c r="G19" t="str">
        <f>[1]table_pre!G19</f>
        <v/>
      </c>
      <c r="H19" t="str">
        <f>[1]table_pre!H19</f>
        <v/>
      </c>
    </row>
    <row r="20" spans="1:8" x14ac:dyDescent="0.25">
      <c r="A20" t="str">
        <f>[1]table_pre!A20</f>
        <v>kinematic-car-lancelot</v>
      </c>
      <c r="B20" t="str">
        <f>[1]table_pre!B20</f>
        <v>TRAP</v>
      </c>
      <c r="C20">
        <f>[1]table_pre!C20</f>
        <v>16623</v>
      </c>
      <c r="D20">
        <f>[1]table_pre!D20</f>
        <v>391</v>
      </c>
      <c r="E20">
        <f>[1]table_pre!E20</f>
        <v>0.97647837333814591</v>
      </c>
      <c r="F20">
        <f>[1]table_pre!F20</f>
        <v>16624</v>
      </c>
      <c r="G20">
        <f>[1]table_pre!G20</f>
        <v>341</v>
      </c>
      <c r="H20">
        <f>[1]table_pre!H20</f>
        <v>0.97948748796920115</v>
      </c>
    </row>
    <row r="21" spans="1:8" x14ac:dyDescent="0.25">
      <c r="A21" t="str">
        <f>[1]table_pre!A21</f>
        <v>kinematic-car-loqo</v>
      </c>
      <c r="B21" t="str">
        <f>[1]table_pre!B21</f>
        <v>TRAP</v>
      </c>
      <c r="C21">
        <f>[1]table_pre!C21</f>
        <v>16623</v>
      </c>
      <c r="D21">
        <f>[1]table_pre!D21</f>
        <v>391</v>
      </c>
      <c r="E21">
        <f>[1]table_pre!E21</f>
        <v>0.97647837333814591</v>
      </c>
      <c r="F21">
        <f>[1]table_pre!F21</f>
        <v>16624</v>
      </c>
      <c r="G21">
        <f>[1]table_pre!G21</f>
        <v>341</v>
      </c>
      <c r="H21">
        <f>[1]table_pre!H21</f>
        <v>0.97948748796920115</v>
      </c>
    </row>
    <row r="22" spans="1:8" x14ac:dyDescent="0.25">
      <c r="A22" t="str">
        <f>[1]table_pre!A22</f>
        <v>kinematic-car-minos</v>
      </c>
      <c r="B22" t="str">
        <f>[1]table_pre!B22</f>
        <v>TRAP</v>
      </c>
      <c r="C22">
        <f>[1]table_pre!C22</f>
        <v>16623</v>
      </c>
      <c r="D22">
        <f>[1]table_pre!D22</f>
        <v>391</v>
      </c>
      <c r="E22">
        <f>[1]table_pre!E22</f>
        <v>0.97647837333814591</v>
      </c>
      <c r="F22">
        <f>[1]table_pre!F22</f>
        <v>16624</v>
      </c>
      <c r="G22">
        <f>[1]table_pre!G22</f>
        <v>341</v>
      </c>
      <c r="H22">
        <f>[1]table_pre!H22</f>
        <v>0.97948748796920115</v>
      </c>
    </row>
    <row r="23" spans="1:8" x14ac:dyDescent="0.25">
      <c r="A23" t="str">
        <f>[1]table_pre!A23</f>
        <v>kinematic-car-snopt</v>
      </c>
      <c r="B23" t="str">
        <f>[1]table_pre!B23</f>
        <v>TRAP</v>
      </c>
      <c r="C23">
        <f>[1]table_pre!C23</f>
        <v>16623</v>
      </c>
      <c r="D23">
        <f>[1]table_pre!D23</f>
        <v>391</v>
      </c>
      <c r="E23">
        <f>[1]table_pre!E23</f>
        <v>0.97647837333814591</v>
      </c>
      <c r="F23">
        <f>[1]table_pre!F23</f>
        <v>16624</v>
      </c>
      <c r="G23">
        <f>[1]table_pre!G23</f>
        <v>341</v>
      </c>
      <c r="H23">
        <f>[1]table_pre!H23</f>
        <v>0.97948748796920115</v>
      </c>
    </row>
    <row r="24" spans="1:8" x14ac:dyDescent="0.25">
      <c r="A24" t="str">
        <f>[1]table_pre!A24</f>
        <v>moving-block</v>
      </c>
      <c r="B24" t="str">
        <f>[1]table_pre!B24</f>
        <v>TRAP</v>
      </c>
      <c r="C24">
        <f>[1]table_pre!C24</f>
        <v>6689</v>
      </c>
      <c r="D24">
        <f>[1]table_pre!D24</f>
        <v>116</v>
      </c>
      <c r="E24">
        <f>[1]table_pre!E24</f>
        <v>0.98265809538047544</v>
      </c>
      <c r="F24">
        <f>[1]table_pre!F24</f>
        <v>6722</v>
      </c>
      <c r="G24">
        <f>[1]table_pre!G24</f>
        <v>88</v>
      </c>
      <c r="H24">
        <f>[1]table_pre!H24</f>
        <v>0.98690865813745909</v>
      </c>
    </row>
    <row r="25" spans="1:8" x14ac:dyDescent="0.25">
      <c r="A25" t="str">
        <f>[1]table_pre!A25</f>
        <v>spot-col3</v>
      </c>
      <c r="B25" t="str">
        <f>[1]table_pre!B25</f>
        <v>COL3</v>
      </c>
      <c r="C25">
        <f>[1]table_pre!C25</f>
        <v>2460541</v>
      </c>
      <c r="D25">
        <f>[1]table_pre!D25</f>
        <v>14854</v>
      </c>
      <c r="E25">
        <f>[1]table_pre!E25</f>
        <v>0.99396311624150946</v>
      </c>
      <c r="F25">
        <f>[1]table_pre!F25</f>
        <v>2467453</v>
      </c>
      <c r="G25">
        <f>[1]table_pre!G25</f>
        <v>14708</v>
      </c>
      <c r="H25">
        <f>[1]table_pre!H25</f>
        <v>0.99403919750447123</v>
      </c>
    </row>
    <row r="26" spans="1:8" x14ac:dyDescent="0.25">
      <c r="A26" t="str">
        <f>[1]table_pre!A26</f>
        <v>spot-rk1</v>
      </c>
      <c r="B26" t="str">
        <f>[1]table_pre!B26</f>
        <v>RK1</v>
      </c>
      <c r="C26">
        <f>[1]table_pre!C26</f>
        <v>624391</v>
      </c>
      <c r="D26">
        <f>[1]table_pre!D26</f>
        <v>3706</v>
      </c>
      <c r="E26">
        <f>[1]table_pre!E26</f>
        <v>0.99406461656237843</v>
      </c>
      <c r="F26">
        <f>[1]table_pre!F26</f>
        <v>627703</v>
      </c>
      <c r="G26">
        <f>[1]table_pre!G26</f>
        <v>3560</v>
      </c>
      <c r="H26">
        <f>[1]table_pre!H26</f>
        <v>0.99432852798218263</v>
      </c>
    </row>
    <row r="27" spans="1:8" x14ac:dyDescent="0.25">
      <c r="A27" t="str">
        <f>[1]table_pre!A27</f>
        <v>spot-rk4</v>
      </c>
      <c r="B27" t="str">
        <f>[1]table_pre!B27</f>
        <v>RK4</v>
      </c>
      <c r="C27">
        <f>[1]table_pre!C27</f>
        <v>2460541</v>
      </c>
      <c r="D27">
        <f>[1]table_pre!D27</f>
        <v>14836</v>
      </c>
      <c r="E27">
        <f>[1]table_pre!E27</f>
        <v>0.99397043170587285</v>
      </c>
      <c r="F27">
        <f>[1]table_pre!F27</f>
        <v>2467453</v>
      </c>
      <c r="G27">
        <f>[1]table_pre!G27</f>
        <v>14690</v>
      </c>
      <c r="H27">
        <f>[1]table_pre!H27</f>
        <v>0.99404649247624977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0B02-8E57-4A90-81E6-3AE110CC6320}">
  <dimension ref="A1:M14"/>
  <sheetViews>
    <sheetView workbookViewId="0">
      <selection activeCell="F9" sqref="F9"/>
    </sheetView>
  </sheetViews>
  <sheetFormatPr defaultRowHeight="15" x14ac:dyDescent="0.25"/>
  <cols>
    <col min="1" max="1" width="19.28515625" bestFit="1" customWidth="1"/>
    <col min="2" max="2" width="10.7109375" bestFit="1" customWidth="1"/>
    <col min="3" max="3" width="12.7109375" bestFit="1" customWidth="1"/>
    <col min="4" max="4" width="16.7109375" bestFit="1" customWidth="1"/>
    <col min="5" max="5" width="17" bestFit="1" customWidth="1"/>
    <col min="6" max="6" width="21.42578125" bestFit="1" customWidth="1"/>
    <col min="7" max="7" width="12.7109375" bestFit="1" customWidth="1"/>
    <col min="8" max="8" width="16.7109375" bestFit="1" customWidth="1"/>
    <col min="9" max="9" width="17" bestFit="1" customWidth="1"/>
    <col min="10" max="10" width="21.42578125" bestFit="1" customWidth="1"/>
    <col min="11" max="11" width="12.7109375" bestFit="1" customWidth="1"/>
    <col min="12" max="12" width="16.7109375" bestFit="1" customWidth="1"/>
    <col min="13" max="13" width="17" bestFit="1" customWidth="1"/>
  </cols>
  <sheetData>
    <row r="1" spans="1:13" x14ac:dyDescent="0.25">
      <c r="C1" s="3" t="s">
        <v>33</v>
      </c>
      <c r="D1" s="3"/>
      <c r="E1" s="3"/>
      <c r="F1" s="3"/>
      <c r="G1" s="3" t="s">
        <v>34</v>
      </c>
      <c r="H1" s="3"/>
      <c r="I1" s="3"/>
      <c r="J1" s="3"/>
      <c r="K1" s="3" t="s">
        <v>36</v>
      </c>
      <c r="L1" s="3"/>
      <c r="M1" s="3"/>
    </row>
    <row r="2" spans="1:13" x14ac:dyDescent="0.25">
      <c r="A2" t="str">
        <f>[1]table_ns!A1</f>
        <v>Demo</v>
      </c>
      <c r="B2" t="s">
        <v>35</v>
      </c>
      <c r="C2" t="str">
        <f>[1]table_ns!B1</f>
        <v>Elapsed Time</v>
      </c>
      <c r="D2" t="str">
        <f>[1]table_ns!C1</f>
        <v>Elapsed Time Min</v>
      </c>
      <c r="E2" t="str">
        <f>[1]table_ns!D1</f>
        <v>Elapsed Time Max</v>
      </c>
      <c r="F2" t="str">
        <f>[1]table_ns!E1</f>
        <v>Elapsed Time Std. Dev.</v>
      </c>
      <c r="G2" t="str">
        <f>[2]table_ns!B1</f>
        <v>Elapsed Time</v>
      </c>
      <c r="H2" t="str">
        <f>[2]table_ns!C1</f>
        <v>Elapsed Time Min</v>
      </c>
      <c r="I2" t="str">
        <f>[2]table_ns!D1</f>
        <v>Elapsed Time Max</v>
      </c>
      <c r="J2" t="str">
        <f>[2]table_ns!E1</f>
        <v>Elapsed Time Std. Dev.</v>
      </c>
      <c r="K2" t="s">
        <v>37</v>
      </c>
      <c r="L2" t="s">
        <v>38</v>
      </c>
      <c r="M2" t="s">
        <v>39</v>
      </c>
    </row>
    <row r="3" spans="1:13" x14ac:dyDescent="0.25">
      <c r="A3" t="str">
        <f>[1]table_ns!A2</f>
        <v>acrobot</v>
      </c>
      <c r="B3" t="s">
        <v>13</v>
      </c>
      <c r="C3">
        <f>[1]table_ns!B2</f>
        <v>0.23279999999999995</v>
      </c>
      <c r="D3">
        <f>[1]table_ns!C2</f>
        <v>0.20300000000000001</v>
      </c>
      <c r="E3">
        <f>[1]table_ns!D2</f>
        <v>0.29699999999999999</v>
      </c>
      <c r="F3">
        <f>[1]table_ns!E2</f>
        <v>2.9977028242009849E-2</v>
      </c>
      <c r="G3">
        <f>[2]table_ns!B2</f>
        <v>61.599599999999988</v>
      </c>
      <c r="H3">
        <f>[2]table_ns!C2</f>
        <v>3.9649999999999999</v>
      </c>
      <c r="I3">
        <f>[2]table_ns!D2</f>
        <v>254.227</v>
      </c>
      <c r="J3">
        <f>[2]table_ns!E2</f>
        <v>101.3091148144573</v>
      </c>
      <c r="K3">
        <f>G3/C3</f>
        <v>264.60309278350513</v>
      </c>
      <c r="L3">
        <f t="shared" ref="L3:L14" si="0">H3/D3</f>
        <v>19.532019704433495</v>
      </c>
      <c r="M3">
        <f t="shared" ref="M3:M14" si="1">I3/E3</f>
        <v>855.98316498316501</v>
      </c>
    </row>
    <row r="4" spans="1:13" x14ac:dyDescent="0.25">
      <c r="A4" t="str">
        <f>[1]table_ns!A3</f>
        <v>cart-pole (force)</v>
      </c>
      <c r="B4" t="s">
        <v>13</v>
      </c>
      <c r="C4">
        <f>[1]table_ns!B3</f>
        <v>0.2283</v>
      </c>
      <c r="D4">
        <f>[1]table_ns!C3</f>
        <v>0.20300000000000001</v>
      </c>
      <c r="E4">
        <f>[1]table_ns!D3</f>
        <v>0.26600000000000001</v>
      </c>
      <c r="F4">
        <f>[1]table_ns!E3</f>
        <v>1.8481522303821905E-2</v>
      </c>
      <c r="G4">
        <f>[2]table_ns!B3</f>
        <v>22.384399999999999</v>
      </c>
      <c r="H4">
        <f>[2]table_ns!C3</f>
        <v>4.4530000000000003</v>
      </c>
      <c r="I4">
        <f>[2]table_ns!D3</f>
        <v>136.30699999999999</v>
      </c>
      <c r="J4">
        <f>[2]table_ns!E3</f>
        <v>40.323931811160364</v>
      </c>
      <c r="K4">
        <f t="shared" ref="K4:K14" si="2">G4/C4</f>
        <v>98.048182216381946</v>
      </c>
      <c r="L4">
        <f t="shared" si="0"/>
        <v>21.935960591133004</v>
      </c>
      <c r="M4">
        <f t="shared" si="1"/>
        <v>512.43233082706763</v>
      </c>
    </row>
    <row r="5" spans="1:13" x14ac:dyDescent="0.25">
      <c r="A5" t="str">
        <f>[1]table_ns!A4</f>
        <v>cart-pole (time)</v>
      </c>
      <c r="B5" t="s">
        <v>13</v>
      </c>
      <c r="C5">
        <f>[1]table_ns!B4</f>
        <v>0.21870000000000003</v>
      </c>
      <c r="D5">
        <f>[1]table_ns!C4</f>
        <v>0.20300000000000001</v>
      </c>
      <c r="E5">
        <f>[1]table_ns!D4</f>
        <v>0.25</v>
      </c>
      <c r="F5">
        <f>[1]table_ns!E4</f>
        <v>1.8000308639329242E-2</v>
      </c>
      <c r="G5">
        <f>[2]table_ns!B4</f>
        <v>27.414200000000001</v>
      </c>
      <c r="H5">
        <f>[2]table_ns!C4</f>
        <v>4.6050000000000004</v>
      </c>
      <c r="I5">
        <f>[2]table_ns!D4</f>
        <v>102.771</v>
      </c>
      <c r="J5">
        <f>[2]table_ns!E4</f>
        <v>36.953492184396083</v>
      </c>
      <c r="K5">
        <f t="shared" si="2"/>
        <v>125.35070873342477</v>
      </c>
      <c r="L5">
        <f t="shared" si="0"/>
        <v>22.684729064039409</v>
      </c>
      <c r="M5">
        <f t="shared" si="1"/>
        <v>411.084</v>
      </c>
    </row>
    <row r="6" spans="1:13" x14ac:dyDescent="0.25">
      <c r="A6" t="str">
        <f>[1]table_ns!A5</f>
        <v>moving block</v>
      </c>
      <c r="B6" t="s">
        <v>13</v>
      </c>
      <c r="C6">
        <f>[1]table_ns!B5</f>
        <v>0.47039999999999998</v>
      </c>
      <c r="D6">
        <f>[1]table_ns!C5</f>
        <v>0.42199999999999999</v>
      </c>
      <c r="E6">
        <f>[1]table_ns!D5</f>
        <v>0.54700000000000004</v>
      </c>
      <c r="F6">
        <f>[1]table_ns!E5</f>
        <v>4.0691795514848236E-2</v>
      </c>
      <c r="G6">
        <f>[2]table_ns!B5</f>
        <v>8.6436999999999991</v>
      </c>
      <c r="H6">
        <f>[2]table_ns!C5</f>
        <v>2.3940000000000001</v>
      </c>
      <c r="I6">
        <f>[2]table_ns!D5</f>
        <v>25.786000000000001</v>
      </c>
      <c r="J6">
        <f>[2]table_ns!E5</f>
        <v>8.3782145678207893</v>
      </c>
      <c r="K6">
        <f t="shared" si="2"/>
        <v>18.375212585034014</v>
      </c>
      <c r="L6">
        <f t="shared" si="0"/>
        <v>5.6729857819905218</v>
      </c>
      <c r="M6">
        <f t="shared" si="1"/>
        <v>47.14076782449726</v>
      </c>
    </row>
    <row r="7" spans="1:13" x14ac:dyDescent="0.25">
      <c r="A7" t="str">
        <f>[1]table_ns!A6</f>
        <v>five-link biped</v>
      </c>
      <c r="B7" t="s">
        <v>11</v>
      </c>
      <c r="C7">
        <f>[1]table_ns!B6</f>
        <v>0.50459999999999994</v>
      </c>
      <c r="D7">
        <f>[1]table_ns!C6</f>
        <v>0.45299999999999996</v>
      </c>
      <c r="E7">
        <f>[1]table_ns!D6</f>
        <v>0.71799999999999997</v>
      </c>
      <c r="F7">
        <f>[1]table_ns!E6</f>
        <v>7.9728985388697785E-2</v>
      </c>
      <c r="G7">
        <f>[2]table_ns!B6</f>
        <v>10.1564</v>
      </c>
      <c r="H7">
        <f>[2]table_ns!C6</f>
        <v>5.6029999999999998</v>
      </c>
      <c r="I7">
        <f>[2]table_ns!D6</f>
        <v>21.164999999999999</v>
      </c>
      <c r="J7">
        <f>[2]table_ns!E6</f>
        <v>5.4740386106704726</v>
      </c>
      <c r="K7">
        <f t="shared" si="2"/>
        <v>20.127625842251291</v>
      </c>
      <c r="L7">
        <f t="shared" si="0"/>
        <v>12.368653421633555</v>
      </c>
      <c r="M7">
        <f t="shared" si="1"/>
        <v>29.477715877437326</v>
      </c>
    </row>
    <row r="8" spans="1:13" x14ac:dyDescent="0.25">
      <c r="A8" t="str">
        <f>[1]table_ns!A7</f>
        <v>five-link biped (phc)</v>
      </c>
      <c r="B8" t="s">
        <v>11</v>
      </c>
      <c r="C8">
        <f>[1]table_ns!B7</f>
        <v>0.52500000000000002</v>
      </c>
      <c r="D8">
        <f>[1]table_ns!C7</f>
        <v>0.48499999999999999</v>
      </c>
      <c r="E8">
        <f>[1]table_ns!D7</f>
        <v>0.57799999999999996</v>
      </c>
      <c r="F8">
        <f>[1]table_ns!E7</f>
        <v>2.764858847110363E-2</v>
      </c>
      <c r="G8">
        <f>[2]table_ns!B7</f>
        <v>12.415699999999999</v>
      </c>
      <c r="H8">
        <f>[2]table_ns!C7</f>
        <v>6.4260000000000002</v>
      </c>
      <c r="I8">
        <f>[2]table_ns!D7</f>
        <v>17.664999999999999</v>
      </c>
      <c r="J8">
        <f>[2]table_ns!E7</f>
        <v>4.4748948355116607</v>
      </c>
      <c r="K8">
        <f t="shared" si="2"/>
        <v>23.64895238095238</v>
      </c>
      <c r="L8">
        <f t="shared" si="0"/>
        <v>13.249484536082475</v>
      </c>
      <c r="M8">
        <f t="shared" si="1"/>
        <v>30.562283737024224</v>
      </c>
    </row>
    <row r="9" spans="1:13" x14ac:dyDescent="0.25">
      <c r="A9" t="str">
        <f>[1]table_ns!A8</f>
        <v>planar 7-DOF biped</v>
      </c>
      <c r="B9" t="s">
        <v>11</v>
      </c>
      <c r="C9">
        <f>[1]table_ns!B8</f>
        <v>31.954400000000003</v>
      </c>
      <c r="D9">
        <f>[1]table_ns!C8</f>
        <v>30.765000000000001</v>
      </c>
      <c r="E9">
        <f>[1]table_ns!D8</f>
        <v>33.093000000000004</v>
      </c>
      <c r="F9">
        <f>[1]table_ns!E8</f>
        <v>0.63404665093000578</v>
      </c>
      <c r="G9">
        <f>[2]table_ns!B8</f>
        <v>70.011200000000002</v>
      </c>
      <c r="H9">
        <f>[2]table_ns!C8</f>
        <v>43.081000000000003</v>
      </c>
      <c r="I9">
        <f>[2]table_ns!D8</f>
        <v>99.629000000000005</v>
      </c>
      <c r="J9">
        <f>[2]table_ns!E8</f>
        <v>18.252633318693118</v>
      </c>
      <c r="K9">
        <f t="shared" si="2"/>
        <v>2.190972135292792</v>
      </c>
      <c r="L9">
        <f t="shared" si="0"/>
        <v>1.4003250446936455</v>
      </c>
      <c r="M9">
        <f t="shared" si="1"/>
        <v>3.0105762547970869</v>
      </c>
    </row>
    <row r="10" spans="1:13" x14ac:dyDescent="0.25">
      <c r="A10" t="str">
        <f>[1]table_ns!A9</f>
        <v>grasp</v>
      </c>
      <c r="B10" t="s">
        <v>17</v>
      </c>
      <c r="C10">
        <f>[1]table_ns!B9</f>
        <v>0.23910000000000003</v>
      </c>
      <c r="D10">
        <f>[1]table_ns!C9</f>
        <v>0.20300000000000001</v>
      </c>
      <c r="E10">
        <f>[1]table_ns!D9</f>
        <v>0.28100000000000003</v>
      </c>
      <c r="F10">
        <f>[1]table_ns!E9</f>
        <v>2.6735120472267147E-2</v>
      </c>
      <c r="G10">
        <f>[2]table_ns!B9</f>
        <v>40.64889999999999</v>
      </c>
      <c r="H10">
        <f>[2]table_ns!C9</f>
        <v>12.898</v>
      </c>
      <c r="I10">
        <f>[2]table_ns!D9</f>
        <v>73.421999999999997</v>
      </c>
      <c r="J10">
        <f>[2]table_ns!E9</f>
        <v>17.042182903020386</v>
      </c>
      <c r="K10">
        <f t="shared" si="2"/>
        <v>170.00794646591379</v>
      </c>
      <c r="L10">
        <f t="shared" si="0"/>
        <v>63.536945812807879</v>
      </c>
      <c r="M10">
        <f t="shared" si="1"/>
        <v>261.28825622775798</v>
      </c>
    </row>
    <row r="11" spans="1:13" x14ac:dyDescent="0.25">
      <c r="A11" t="str">
        <f>[1]table_ns!A10</f>
        <v>kinematic car</v>
      </c>
      <c r="B11" t="s">
        <v>13</v>
      </c>
      <c r="C11">
        <f>[1]table_ns!B10</f>
        <v>0.34550000000000003</v>
      </c>
      <c r="D11">
        <f>[1]table_ns!C10</f>
        <v>0.26600000000000001</v>
      </c>
      <c r="E11">
        <f>[1]table_ns!D10</f>
        <v>0.51600000000000001</v>
      </c>
      <c r="F11">
        <f>[1]table_ns!E10</f>
        <v>7.6367896105337021E-2</v>
      </c>
      <c r="G11">
        <f>[2]table_ns!B10</f>
        <v>14.598200000000002</v>
      </c>
      <c r="H11">
        <f>[2]table_ns!C10</f>
        <v>4.718</v>
      </c>
      <c r="I11">
        <f>[2]table_ns!D10</f>
        <v>35.548999999999999</v>
      </c>
      <c r="J11">
        <f>[2]table_ns!E10</f>
        <v>11.899176692341173</v>
      </c>
      <c r="K11">
        <f t="shared" si="2"/>
        <v>42.252387843704781</v>
      </c>
      <c r="L11">
        <f t="shared" si="0"/>
        <v>17.736842105263158</v>
      </c>
      <c r="M11">
        <f t="shared" si="1"/>
        <v>68.893410852713174</v>
      </c>
    </row>
    <row r="12" spans="1:13" x14ac:dyDescent="0.25">
      <c r="A12" t="str">
        <f>[1]table_ns!A11</f>
        <v>spot</v>
      </c>
      <c r="B12" t="s">
        <v>14</v>
      </c>
      <c r="C12">
        <f>[1]table_ns!B11</f>
        <v>0.22320000000000001</v>
      </c>
      <c r="D12">
        <f>[1]table_ns!C11</f>
        <v>0.20300000000000001</v>
      </c>
      <c r="E12">
        <f>[1]table_ns!D11</f>
        <v>0.26600000000000001</v>
      </c>
      <c r="F12">
        <f>[1]table_ns!E11</f>
        <v>2.1054426824040798E-2</v>
      </c>
      <c r="G12">
        <f>[2]table_ns!B11</f>
        <v>9.3768999999999991</v>
      </c>
      <c r="H12">
        <f>[2]table_ns!C11</f>
        <v>4.8879999999999999</v>
      </c>
      <c r="I12">
        <f>[2]table_ns!D11</f>
        <v>27.016999999999999</v>
      </c>
      <c r="J12">
        <f>[2]table_ns!E11</f>
        <v>6.4668089065112602</v>
      </c>
      <c r="K12">
        <f t="shared" si="2"/>
        <v>42.01120071684587</v>
      </c>
      <c r="L12">
        <f t="shared" si="0"/>
        <v>24.078817733990146</v>
      </c>
      <c r="M12">
        <f t="shared" si="1"/>
        <v>101.56766917293233</v>
      </c>
    </row>
    <row r="13" spans="1:13" x14ac:dyDescent="0.25">
      <c r="A13" t="str">
        <f>[1]table_ns!A12</f>
        <v>spot</v>
      </c>
      <c r="B13" t="s">
        <v>15</v>
      </c>
      <c r="C13">
        <f>[1]table_ns!B12</f>
        <v>0.28110000000000002</v>
      </c>
      <c r="D13">
        <f>[1]table_ns!C12</f>
        <v>0.25</v>
      </c>
      <c r="E13">
        <f>[1]table_ns!D12</f>
        <v>0.36</v>
      </c>
      <c r="F13">
        <f>[1]table_ns!E12</f>
        <v>3.696079003484655E-2</v>
      </c>
      <c r="G13">
        <f>[2]table_ns!B12</f>
        <v>25.7546</v>
      </c>
      <c r="H13">
        <f>[2]table_ns!C12</f>
        <v>4.9539999999999997</v>
      </c>
      <c r="I13">
        <f>[2]table_ns!D12</f>
        <v>152.75899999999999</v>
      </c>
      <c r="J13">
        <f>[2]table_ns!E12</f>
        <v>44.982768170341252</v>
      </c>
      <c r="K13">
        <f t="shared" si="2"/>
        <v>91.620775524724294</v>
      </c>
      <c r="L13">
        <f t="shared" si="0"/>
        <v>19.815999999999999</v>
      </c>
      <c r="M13">
        <f t="shared" si="1"/>
        <v>424.33055555555552</v>
      </c>
    </row>
    <row r="14" spans="1:13" x14ac:dyDescent="0.25">
      <c r="A14" t="str">
        <f>[1]table_ns!A13</f>
        <v>spot</v>
      </c>
      <c r="B14" t="s">
        <v>16</v>
      </c>
      <c r="C14">
        <f>[1]table_ns!B13</f>
        <v>2.3390999999999997</v>
      </c>
      <c r="D14">
        <f>[1]table_ns!C13</f>
        <v>2.2349999999999999</v>
      </c>
      <c r="E14">
        <f>[1]table_ns!D13</f>
        <v>2.625</v>
      </c>
      <c r="F14">
        <f>[1]table_ns!E13</f>
        <v>0.11871763886540945</v>
      </c>
      <c r="G14">
        <f>[2]table_ns!B13</f>
        <v>36.077299999999994</v>
      </c>
      <c r="H14">
        <f>[2]table_ns!C13</f>
        <v>18.143000000000001</v>
      </c>
      <c r="I14">
        <f>[2]table_ns!D13</f>
        <v>96.789000000000001</v>
      </c>
      <c r="J14">
        <f>[2]table_ns!E13</f>
        <v>24.808704870356394</v>
      </c>
      <c r="K14">
        <f t="shared" si="2"/>
        <v>15.423581719464751</v>
      </c>
      <c r="L14">
        <f t="shared" si="0"/>
        <v>8.1176733780760628</v>
      </c>
      <c r="M14">
        <f t="shared" si="1"/>
        <v>36.872</v>
      </c>
    </row>
  </sheetData>
  <mergeCells count="3">
    <mergeCell ref="C1:F1"/>
    <mergeCell ref="G1:J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262F-6EF2-4F4E-80A6-25DC26C8D75E}">
  <dimension ref="A1:P10"/>
  <sheetViews>
    <sheetView tabSelected="1" workbookViewId="0">
      <selection activeCell="L2" sqref="L2"/>
    </sheetView>
  </sheetViews>
  <sheetFormatPr defaultRowHeight="15" x14ac:dyDescent="0.25"/>
  <cols>
    <col min="1" max="1" width="13.28515625" bestFit="1" customWidth="1"/>
    <col min="2" max="2" width="8" bestFit="1" customWidth="1"/>
    <col min="3" max="3" width="8.140625" bestFit="1" customWidth="1"/>
    <col min="4" max="4" width="10.7109375" bestFit="1" customWidth="1"/>
    <col min="5" max="5" width="11.5703125" bestFit="1" customWidth="1"/>
    <col min="6" max="6" width="12" bestFit="1" customWidth="1"/>
    <col min="7" max="7" width="12.5703125" bestFit="1" customWidth="1"/>
    <col min="8" max="8" width="13.85546875" bestFit="1" customWidth="1"/>
    <col min="9" max="9" width="14.140625" bestFit="1" customWidth="1"/>
    <col min="10" max="10" width="17.85546875" bestFit="1" customWidth="1"/>
    <col min="11" max="11" width="7.85546875" bestFit="1" customWidth="1"/>
    <col min="12" max="12" width="6.85546875" bestFit="1" customWidth="1"/>
    <col min="13" max="13" width="10.42578125" bestFit="1" customWidth="1"/>
    <col min="14" max="14" width="16.140625" bestFit="1" customWidth="1"/>
    <col min="16" max="16" width="21.140625" bestFit="1" customWidth="1"/>
  </cols>
  <sheetData>
    <row r="1" spans="1:16" x14ac:dyDescent="0.25">
      <c r="A1" t="s">
        <v>0</v>
      </c>
      <c r="B1" t="s">
        <v>3</v>
      </c>
      <c r="C1" t="s">
        <v>1</v>
      </c>
      <c r="D1" t="s">
        <v>35</v>
      </c>
      <c r="E1" t="s">
        <v>32</v>
      </c>
      <c r="F1" t="s">
        <v>4</v>
      </c>
      <c r="G1" t="s">
        <v>40</v>
      </c>
      <c r="H1" t="s">
        <v>24</v>
      </c>
      <c r="I1" t="s">
        <v>25</v>
      </c>
      <c r="J1" t="s">
        <v>26</v>
      </c>
      <c r="K1" t="s">
        <v>41</v>
      </c>
      <c r="L1" t="s">
        <v>42</v>
      </c>
      <c r="M1" t="s">
        <v>43</v>
      </c>
      <c r="N1" t="s">
        <v>44</v>
      </c>
      <c r="P1" t="s">
        <v>46</v>
      </c>
    </row>
    <row r="2" spans="1:16" x14ac:dyDescent="0.25">
      <c r="A2" t="s">
        <v>45</v>
      </c>
      <c r="B2" t="s">
        <v>12</v>
      </c>
      <c r="C2" t="str">
        <f t="shared" ref="C2:C10" si="0">_xlfn.TEXTAFTER(P2,"-", -1)</f>
        <v>conopt</v>
      </c>
      <c r="D2" t="s">
        <v>13</v>
      </c>
      <c r="E2" t="str">
        <f>[2]averages!E15</f>
        <v>solved?</v>
      </c>
      <c r="F2">
        <f>[2]averages!G15</f>
        <v>1.9590243219240224</v>
      </c>
      <c r="G2">
        <f>[2]averages!AK15</f>
        <v>0.18266060000000001</v>
      </c>
      <c r="H2">
        <f>[2]averages!AL15</f>
        <v>0.138158</v>
      </c>
      <c r="I2">
        <f>[2]averages!AM15</f>
        <v>0.25604800000000005</v>
      </c>
      <c r="J2" s="2">
        <f>'[2]std. dev'!AK15</f>
        <v>3.8757378457957306E-2</v>
      </c>
      <c r="K2" t="str">
        <f>[2]averages!I15</f>
        <v/>
      </c>
      <c r="L2" t="str">
        <f>[2]averages!T15</f>
        <v/>
      </c>
      <c r="M2" t="str">
        <f>[2]averages!U15</f>
        <v/>
      </c>
      <c r="N2" t="str">
        <f>[2]averages!V15</f>
        <v/>
      </c>
      <c r="P2" t="str">
        <f>[2]averages!A15</f>
        <v>kinematic-car-conopt</v>
      </c>
    </row>
    <row r="3" spans="1:16" x14ac:dyDescent="0.25">
      <c r="A3" t="s">
        <v>45</v>
      </c>
      <c r="B3" t="s">
        <v>12</v>
      </c>
      <c r="C3" t="str">
        <f t="shared" si="0"/>
        <v>filter</v>
      </c>
      <c r="D3" t="s">
        <v>13</v>
      </c>
      <c r="E3" t="str">
        <f>[2]averages!E16</f>
        <v>infeasible</v>
      </c>
      <c r="F3">
        <f>[2]averages!G16</f>
        <v>0</v>
      </c>
      <c r="G3">
        <f>[2]averages!AK16</f>
        <v>0.10124580000000001</v>
      </c>
      <c r="H3">
        <f>[2]averages!AL16</f>
        <v>7.9640999999999962E-2</v>
      </c>
      <c r="I3">
        <f>[2]averages!AM16</f>
        <v>0.134326</v>
      </c>
      <c r="J3" s="2">
        <f>'[2]std. dev'!AK16</f>
        <v>2.1557362860774702E-2</v>
      </c>
      <c r="K3" t="str">
        <f>[2]averages!I16</f>
        <v/>
      </c>
      <c r="L3" t="str">
        <f>[2]averages!T16</f>
        <v/>
      </c>
      <c r="M3" t="str">
        <f>[2]averages!U16</f>
        <v/>
      </c>
      <c r="N3" t="str">
        <f>[2]averages!V16</f>
        <v/>
      </c>
      <c r="P3" t="str">
        <f>[2]averages!A16</f>
        <v>kinematic-car-filter</v>
      </c>
    </row>
    <row r="4" spans="1:16" x14ac:dyDescent="0.25">
      <c r="A4" t="s">
        <v>45</v>
      </c>
      <c r="B4" t="s">
        <v>12</v>
      </c>
      <c r="C4" t="str">
        <f t="shared" si="0"/>
        <v>gurobi</v>
      </c>
      <c r="D4" t="s">
        <v>13</v>
      </c>
      <c r="E4" t="str">
        <f>[1]averages!E17</f>
        <v>solved</v>
      </c>
      <c r="F4">
        <f>[1]averages!G17</f>
        <v>1.9590243829214429</v>
      </c>
      <c r="G4">
        <f>[1]averages!AK17</f>
        <v>3.8485000000000005</v>
      </c>
      <c r="H4">
        <f>[1]averages!AL17</f>
        <v>3.734</v>
      </c>
      <c r="I4">
        <f>[1]averages!AM17</f>
        <v>4.0469999999999997</v>
      </c>
      <c r="J4" s="2">
        <f>'[1]std. dev'!AK17</f>
        <v>8.874338786010412E-2</v>
      </c>
      <c r="K4" t="str">
        <f>[1]averages!I17</f>
        <v/>
      </c>
      <c r="L4" t="str">
        <f>[1]averages!T17</f>
        <v/>
      </c>
      <c r="M4" t="str">
        <f>[1]averages!U17</f>
        <v/>
      </c>
      <c r="N4" t="str">
        <f>[1]averages!V17</f>
        <v/>
      </c>
      <c r="P4" t="str">
        <f>[1]averages!A17</f>
        <v>kinematic-car-gurobi</v>
      </c>
    </row>
    <row r="5" spans="1:16" x14ac:dyDescent="0.25">
      <c r="A5" t="s">
        <v>45</v>
      </c>
      <c r="B5" t="s">
        <v>12</v>
      </c>
      <c r="C5" t="str">
        <f t="shared" si="0"/>
        <v>ipopt</v>
      </c>
      <c r="D5" t="s">
        <v>13</v>
      </c>
      <c r="E5" t="str">
        <f>[2]averages!E18</f>
        <v>solved</v>
      </c>
      <c r="F5">
        <f>[2]averages!G18</f>
        <v>1.9589704802793864</v>
      </c>
      <c r="G5">
        <f>[2]averages!AK18</f>
        <v>0.51328909999999994</v>
      </c>
      <c r="H5">
        <f>[2]averages!AL18</f>
        <v>0.33872400000000003</v>
      </c>
      <c r="I5">
        <f>[2]averages!AM18</f>
        <v>0.72522900000000001</v>
      </c>
      <c r="J5" s="2">
        <f>'[2]std. dev'!AK18</f>
        <v>0.16893359692787305</v>
      </c>
      <c r="K5">
        <f>[2]averages!I18</f>
        <v>70</v>
      </c>
      <c r="L5">
        <f>[2]averages!T18</f>
        <v>391</v>
      </c>
      <c r="M5">
        <f>[2]averages!U18</f>
        <v>341</v>
      </c>
      <c r="N5">
        <f>[2]averages!V18</f>
        <v>0</v>
      </c>
      <c r="P5" t="str">
        <f>[2]averages!A18</f>
        <v>kinematic-car-ipopt</v>
      </c>
    </row>
    <row r="6" spans="1:16" x14ac:dyDescent="0.25">
      <c r="A6" t="s">
        <v>45</v>
      </c>
      <c r="B6" t="s">
        <v>12</v>
      </c>
      <c r="C6" t="str">
        <f t="shared" si="0"/>
        <v>knitro</v>
      </c>
      <c r="D6" t="s">
        <v>13</v>
      </c>
      <c r="E6" t="str">
        <f>[2]averages!E19</f>
        <v/>
      </c>
      <c r="F6" t="str">
        <f>[2]averages!G19</f>
        <v/>
      </c>
      <c r="G6">
        <f>[2]averages!AK19</f>
        <v>0</v>
      </c>
      <c r="H6">
        <f>[2]averages!AL19</f>
        <v>0</v>
      </c>
      <c r="I6">
        <f>[2]averages!AM19</f>
        <v>0</v>
      </c>
      <c r="J6" s="2">
        <f>'[2]std. dev'!AK19</f>
        <v>0</v>
      </c>
      <c r="K6" t="str">
        <f>[2]averages!I19</f>
        <v/>
      </c>
      <c r="L6" t="str">
        <f>[2]averages!T19</f>
        <v/>
      </c>
      <c r="M6" t="str">
        <f>[2]averages!U19</f>
        <v/>
      </c>
      <c r="N6" t="str">
        <f>[2]averages!V19</f>
        <v/>
      </c>
      <c r="P6" t="str">
        <f>[2]averages!A19</f>
        <v>kinematic-car-knitro</v>
      </c>
    </row>
    <row r="7" spans="1:16" x14ac:dyDescent="0.25">
      <c r="A7" t="s">
        <v>45</v>
      </c>
      <c r="B7" t="s">
        <v>12</v>
      </c>
      <c r="C7" t="str">
        <f t="shared" si="0"/>
        <v>lancelot</v>
      </c>
      <c r="D7" t="s">
        <v>13</v>
      </c>
      <c r="E7" t="str">
        <f>[2]averages!E20</f>
        <v>failure</v>
      </c>
      <c r="F7">
        <f>[2]averages!G20</f>
        <v>0</v>
      </c>
      <c r="G7">
        <f>[2]averages!AK20</f>
        <v>9.6046199999999998E-2</v>
      </c>
      <c r="H7">
        <f>[2]averages!AL20</f>
        <v>7.5784000000000004E-2</v>
      </c>
      <c r="I7">
        <f>[2]averages!AM20</f>
        <v>0.13386200000000001</v>
      </c>
      <c r="J7" s="2">
        <f>'[2]std. dev'!AK20</f>
        <v>1.991307315866191E-2</v>
      </c>
      <c r="K7" t="str">
        <f>[2]averages!I20</f>
        <v/>
      </c>
      <c r="L7" t="str">
        <f>[2]averages!T20</f>
        <v/>
      </c>
      <c r="M7" t="str">
        <f>[2]averages!U20</f>
        <v/>
      </c>
      <c r="N7" t="str">
        <f>[2]averages!V20</f>
        <v/>
      </c>
      <c r="P7" t="str">
        <f>[2]averages!A20</f>
        <v>kinematic-car-lancelot</v>
      </c>
    </row>
    <row r="8" spans="1:16" x14ac:dyDescent="0.25">
      <c r="A8" t="s">
        <v>45</v>
      </c>
      <c r="B8" t="s">
        <v>12</v>
      </c>
      <c r="C8" t="str">
        <f t="shared" si="0"/>
        <v>loqo</v>
      </c>
      <c r="D8" t="s">
        <v>13</v>
      </c>
      <c r="E8" t="str">
        <f>[2]averages!E21</f>
        <v>solved</v>
      </c>
      <c r="F8">
        <f>[2]averages!G21</f>
        <v>1.9589704335602907</v>
      </c>
      <c r="G8">
        <f>[2]averages!AK21</f>
        <v>0.2093149</v>
      </c>
      <c r="H8">
        <f>[2]averages!AL21</f>
        <v>0.135462</v>
      </c>
      <c r="I8">
        <f>[2]averages!AM21</f>
        <v>0.270679</v>
      </c>
      <c r="J8" s="2">
        <f>'[2]std. dev'!AK21</f>
        <v>5.1380177488664455E-2</v>
      </c>
      <c r="K8" t="str">
        <f>[2]averages!I21</f>
        <v/>
      </c>
      <c r="L8" t="str">
        <f>[2]averages!T21</f>
        <v/>
      </c>
      <c r="M8" t="str">
        <f>[2]averages!U21</f>
        <v/>
      </c>
      <c r="N8" t="str">
        <f>[2]averages!V21</f>
        <v/>
      </c>
      <c r="P8" t="str">
        <f>[2]averages!A21</f>
        <v>kinematic-car-loqo</v>
      </c>
    </row>
    <row r="9" spans="1:16" x14ac:dyDescent="0.25">
      <c r="A9" t="s">
        <v>45</v>
      </c>
      <c r="B9" t="s">
        <v>12</v>
      </c>
      <c r="C9" t="str">
        <f t="shared" si="0"/>
        <v>minos</v>
      </c>
      <c r="D9" t="s">
        <v>13</v>
      </c>
      <c r="E9" t="str">
        <f>[2]averages!E22</f>
        <v>infeasible</v>
      </c>
      <c r="F9">
        <f>[2]averages!G22</f>
        <v>0</v>
      </c>
      <c r="G9">
        <f>[2]averages!AK22</f>
        <v>0.11023769999999999</v>
      </c>
      <c r="H9">
        <f>[2]averages!AL22</f>
        <v>9.3435000000000004E-2</v>
      </c>
      <c r="I9">
        <f>[2]averages!AM22</f>
        <v>0.12802000000000002</v>
      </c>
      <c r="J9" s="2">
        <f>'[2]std. dev'!AK22</f>
        <v>1.1377117004955363E-2</v>
      </c>
      <c r="K9" t="str">
        <f>[2]averages!I22</f>
        <v/>
      </c>
      <c r="L9" t="str">
        <f>[2]averages!T22</f>
        <v/>
      </c>
      <c r="M9" t="str">
        <f>[2]averages!U22</f>
        <v/>
      </c>
      <c r="N9" t="str">
        <f>[2]averages!V22</f>
        <v/>
      </c>
      <c r="P9" t="str">
        <f>[2]averages!A22</f>
        <v>kinematic-car-minos</v>
      </c>
    </row>
    <row r="10" spans="1:16" x14ac:dyDescent="0.25">
      <c r="A10" t="s">
        <v>45</v>
      </c>
      <c r="B10" t="s">
        <v>12</v>
      </c>
      <c r="C10" t="str">
        <f t="shared" si="0"/>
        <v>snopt</v>
      </c>
      <c r="D10" t="s">
        <v>13</v>
      </c>
      <c r="E10" t="str">
        <f>[2]averages!E23</f>
        <v>infeasible</v>
      </c>
      <c r="F10">
        <f>[2]averages!G23</f>
        <v>0</v>
      </c>
      <c r="G10">
        <f>[2]averages!AK23</f>
        <v>0.1081882</v>
      </c>
      <c r="H10">
        <f>[2]averages!AL23</f>
        <v>7.5719999999999996E-2</v>
      </c>
      <c r="I10">
        <f>[2]averages!AM23</f>
        <v>0.135187</v>
      </c>
      <c r="J10" s="2">
        <f>'[2]std. dev'!AK23</f>
        <v>2.4826733444235281E-2</v>
      </c>
      <c r="K10" t="str">
        <f>[2]averages!I23</f>
        <v/>
      </c>
      <c r="L10" t="str">
        <f>[2]averages!T23</f>
        <v/>
      </c>
      <c r="M10" t="str">
        <f>[2]averages!U23</f>
        <v/>
      </c>
      <c r="N10" t="str">
        <f>[2]averages!V23</f>
        <v/>
      </c>
      <c r="P10" t="str">
        <f>[2]averages!A23</f>
        <v>kinematic-car-snopt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zoomScaleNormal="100" workbookViewId="0">
      <selection activeCell="A2" sqref="A2"/>
    </sheetView>
  </sheetViews>
  <sheetFormatPr defaultRowHeight="15" x14ac:dyDescent="0.25"/>
  <cols>
    <col min="1" max="1" width="133.85546875" bestFit="1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21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table_ot</vt:lpstr>
      <vt:lpstr>table_tc</vt:lpstr>
      <vt:lpstr>table_hn</vt:lpstr>
      <vt:lpstr>table_pre</vt:lpstr>
      <vt:lpstr>table_ns</vt:lpstr>
      <vt:lpstr>table_kc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</dc:creator>
  <cp:lastModifiedBy>Nelson Rosa</cp:lastModifiedBy>
  <dcterms:created xsi:type="dcterms:W3CDTF">2015-06-05T18:17:20Z</dcterms:created>
  <dcterms:modified xsi:type="dcterms:W3CDTF">2026-09-16T01:09:56Z</dcterms:modified>
</cp:coreProperties>
</file>