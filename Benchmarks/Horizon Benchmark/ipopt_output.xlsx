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TRO 2026\code\Horizon Benchmark\"/>
    </mc:Choice>
  </mc:AlternateContent>
  <xr:revisionPtr revIDLastSave="0" documentId="13_ncr:1_{9DF200B4-3088-46BE-AA3B-909EFE9EB0C7}" xr6:coauthVersionLast="47" xr6:coauthVersionMax="47" xr10:uidLastSave="{00000000-0000-0000-0000-000000000000}"/>
  <bookViews>
    <workbookView xWindow="25695" yWindow="0" windowWidth="26010" windowHeight="20985" activeTab="4" xr2:uid="{0A151A32-934F-4762-939F-B462AE23ACAB}"/>
  </bookViews>
  <sheets>
    <sheet name="ipopt_output" sheetId="5" r:id="rId1"/>
    <sheet name="averages" sheetId="2" r:id="rId2"/>
    <sheet name="std. dev" sheetId="3" r:id="rId3"/>
    <sheet name="csv" sheetId="7" r:id="rId4"/>
    <sheet name="table_hn" sheetId="8" r:id="rId5"/>
  </sheets>
  <definedNames>
    <definedName name="CSVPath">csv!$A$2</definedName>
    <definedName name="ExternalData_1" localSheetId="0" hidden="1">ipopt_output!$A$1:$T$41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O3" i="8"/>
  <c r="P3" i="8"/>
  <c r="Q3" i="8"/>
  <c r="R3" i="8"/>
  <c r="F4" i="8"/>
  <c r="O4" i="8"/>
  <c r="P4" i="8"/>
  <c r="Q4" i="8"/>
  <c r="R4" i="8"/>
  <c r="Q2" i="8"/>
  <c r="R2" i="8"/>
  <c r="P2" i="8"/>
  <c r="O2" i="8"/>
  <c r="U2" i="8"/>
  <c r="M2" i="8" s="1"/>
  <c r="F2" i="8"/>
  <c r="G2" i="8" l="1"/>
  <c r="L2" i="8"/>
  <c r="H2" i="8"/>
  <c r="I2" i="8"/>
  <c r="K2" i="8"/>
  <c r="N2" i="8"/>
  <c r="J2" i="8"/>
  <c r="U3" i="8" a="1"/>
  <c r="U3" i="8" s="1"/>
  <c r="H3" i="8" l="1"/>
  <c r="I3" i="8"/>
  <c r="K3" i="8"/>
  <c r="N3" i="8"/>
  <c r="G3" i="8"/>
  <c r="J3" i="8"/>
  <c r="L3" i="8"/>
  <c r="M3" i="8"/>
  <c r="U4" i="8" a="1"/>
  <c r="U4" i="8" s="1"/>
  <c r="A2" i="7" a="1"/>
  <c r="A2" i="7" s="1"/>
  <c r="U2" i="2"/>
  <c r="Q2" i="3" s="1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A1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A1" i="2"/>
  <c r="I4" i="8" l="1"/>
  <c r="K4" i="8"/>
  <c r="M4" i="8"/>
  <c r="N4" i="8"/>
  <c r="L4" i="8"/>
  <c r="G4" i="8"/>
  <c r="J4" i="8"/>
  <c r="H4" i="8"/>
  <c r="U3" i="2" a="1"/>
  <c r="U3" i="2" s="1"/>
  <c r="B2" i="3" a="1"/>
  <c r="B2" i="3" s="1"/>
  <c r="A2" i="3" a="1"/>
  <c r="A2" i="3" s="1"/>
  <c r="F2" i="2"/>
  <c r="E2" i="2"/>
  <c r="D2" i="2"/>
  <c r="T2" i="3"/>
  <c r="S2" i="3"/>
  <c r="C2" i="2"/>
  <c r="R2" i="3"/>
  <c r="E2" i="3"/>
  <c r="F2" i="3"/>
  <c r="K2" i="2"/>
  <c r="J2" i="3"/>
  <c r="M2" i="3"/>
  <c r="P2" i="3"/>
  <c r="G2" i="3"/>
  <c r="L2" i="2"/>
  <c r="M2" i="2"/>
  <c r="I2" i="3"/>
  <c r="N2" i="2"/>
  <c r="R2" i="2"/>
  <c r="B2" i="2" a="1"/>
  <c r="B2" i="2" s="1"/>
  <c r="H2" i="3"/>
  <c r="O2" i="2"/>
  <c r="K2" i="3"/>
  <c r="P2" i="2"/>
  <c r="L2" i="3"/>
  <c r="Q2" i="2"/>
  <c r="T2" i="2"/>
  <c r="N2" i="3"/>
  <c r="S2" i="2"/>
  <c r="A2" i="2" a="1"/>
  <c r="A2" i="2" s="1"/>
  <c r="O2" i="3"/>
  <c r="C2" i="3"/>
  <c r="G2" i="2"/>
  <c r="H2" i="2"/>
  <c r="D2" i="3"/>
  <c r="I2" i="2"/>
  <c r="J2" i="2"/>
  <c r="U4" i="2" l="1" a="1"/>
  <c r="U4" i="2" s="1"/>
  <c r="D4" i="3" s="1"/>
  <c r="C3" i="2"/>
  <c r="G3" i="2"/>
  <c r="K3" i="2"/>
  <c r="D3" i="2"/>
  <c r="P3" i="2"/>
  <c r="R3" i="2"/>
  <c r="E3" i="2"/>
  <c r="O3" i="2"/>
  <c r="F3" i="2"/>
  <c r="H3" i="2"/>
  <c r="J3" i="2"/>
  <c r="N3" i="2"/>
  <c r="I3" i="2"/>
  <c r="L3" i="2"/>
  <c r="T3" i="2"/>
  <c r="M3" i="2"/>
  <c r="Q3" i="2"/>
  <c r="S3" i="2"/>
  <c r="U5" i="2" a="1"/>
  <c r="U5" i="2" s="1"/>
  <c r="O4" i="3"/>
  <c r="B4" i="3" a="1"/>
  <c r="B4" i="3" s="1"/>
  <c r="A4" i="2" a="1"/>
  <c r="A4" i="2" s="1"/>
  <c r="R4" i="3"/>
  <c r="P4" i="3"/>
  <c r="S4" i="3"/>
  <c r="Q4" i="3"/>
  <c r="C3" i="3"/>
  <c r="F3" i="3"/>
  <c r="J3" i="3"/>
  <c r="D3" i="3"/>
  <c r="E3" i="3"/>
  <c r="G3" i="3"/>
  <c r="H3" i="3"/>
  <c r="M3" i="3"/>
  <c r="I3" i="3"/>
  <c r="K3" i="3"/>
  <c r="L3" i="3"/>
  <c r="R3" i="3"/>
  <c r="A3" i="3" a="1"/>
  <c r="A3" i="3" s="1"/>
  <c r="S3" i="3"/>
  <c r="B3" i="3" a="1"/>
  <c r="B3" i="3" s="1"/>
  <c r="T3" i="3"/>
  <c r="N3" i="3"/>
  <c r="O3" i="3"/>
  <c r="P3" i="3"/>
  <c r="Q3" i="3"/>
  <c r="B3" i="2" a="1"/>
  <c r="B3" i="2" s="1"/>
  <c r="A3" i="2" a="1"/>
  <c r="A3" i="2" s="1"/>
  <c r="C4" i="3" l="1"/>
  <c r="A4" i="3" a="1"/>
  <c r="A4" i="3" s="1"/>
  <c r="T4" i="3"/>
  <c r="N4" i="3"/>
  <c r="B5" i="3" a="1"/>
  <c r="B5" i="3" s="1"/>
  <c r="C5" i="3"/>
  <c r="D5" i="3"/>
  <c r="E5" i="3"/>
  <c r="S5" i="3"/>
  <c r="A5" i="3" a="1"/>
  <c r="A5" i="3" s="1"/>
  <c r="F5" i="3"/>
  <c r="M5" i="3"/>
  <c r="G5" i="3"/>
  <c r="O5" i="3"/>
  <c r="H5" i="3"/>
  <c r="I5" i="3"/>
  <c r="J5" i="3"/>
  <c r="K5" i="3"/>
  <c r="L5" i="3"/>
  <c r="N5" i="3"/>
  <c r="P5" i="3"/>
  <c r="Q5" i="3"/>
  <c r="R5" i="3"/>
  <c r="T5" i="3"/>
  <c r="M4" i="3"/>
  <c r="K4" i="3"/>
  <c r="I4" i="3"/>
  <c r="J4" i="3"/>
  <c r="G4" i="3"/>
  <c r="L4" i="3"/>
  <c r="H4" i="3"/>
  <c r="F4" i="3"/>
  <c r="E4" i="3"/>
  <c r="B4" i="2" a="1"/>
  <c r="B4" i="2" s="1"/>
  <c r="G5" i="2"/>
  <c r="J5" i="2"/>
  <c r="K5" i="2"/>
  <c r="O5" i="2"/>
  <c r="Q5" i="2"/>
  <c r="H5" i="2"/>
  <c r="P5" i="2"/>
  <c r="T5" i="2"/>
  <c r="C5" i="2"/>
  <c r="F5" i="2"/>
  <c r="I5" i="2"/>
  <c r="D5" i="2"/>
  <c r="L5" i="2"/>
  <c r="M5" i="2"/>
  <c r="N5" i="2"/>
  <c r="R5" i="2"/>
  <c r="S5" i="2"/>
  <c r="E5" i="2"/>
  <c r="B5" i="2" a="1"/>
  <c r="B5" i="2" s="1"/>
  <c r="A5" i="2" a="1"/>
  <c r="A5" i="2" s="1"/>
  <c r="E4" i="2"/>
  <c r="H4" i="2"/>
  <c r="I4" i="2"/>
  <c r="N4" i="2"/>
  <c r="F4" i="2"/>
  <c r="C4" i="2"/>
  <c r="D4" i="2"/>
  <c r="G4" i="2"/>
  <c r="R4" i="2"/>
  <c r="S4" i="2"/>
  <c r="O4" i="2"/>
  <c r="P4" i="2"/>
  <c r="J4" i="2"/>
  <c r="K4" i="2"/>
  <c r="L4" i="2"/>
  <c r="M4" i="2"/>
  <c r="Q4" i="2"/>
  <c r="T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D650C-4A24-42FF-B859-C1D988A60628}" keepAlive="1" name="Query - ipopt_output" description="Connection to the 'ipopt_output' query in the workbook." type="5" refreshedVersion="8" background="1" refreshOnLoad="1">
    <dbPr connection="Provider=Microsoft.Mashup.OleDb.1;Data Source=$Workbook$;Location=ipopt_output;Extended Properties=&quot;&quot;" command="SELECT * FROM [ipopt_outpu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<sst xmlns="http://schemas.openxmlformats.org/spreadsheetml/2006/main" count="37" uniqueCount="29">
  <si>
    <t>num_runs</t>
  </si>
  <si>
    <t>Cell A2 list the path to the .csv file.  It should update automatically.  If it doesn’t, then manually update the path</t>
  </si>
  <si>
    <t>Demo</t>
  </si>
  <si>
    <t>Library</t>
  </si>
  <si>
    <t>Solver</t>
  </si>
  <si>
    <t>ODE</t>
  </si>
  <si>
    <t>Converged?</t>
  </si>
  <si>
    <t>Objective</t>
  </si>
  <si>
    <t>Wall Time</t>
  </si>
  <si>
    <t>Wall Time Min</t>
  </si>
  <si>
    <t>Wall Time Max</t>
  </si>
  <si>
    <t>Wall Time Std. Dev</t>
  </si>
  <si>
    <t>Eval. Time</t>
  </si>
  <si>
    <t>Eval. Time Min</t>
  </si>
  <si>
    <t>Eval. Time Max</t>
  </si>
  <si>
    <t>Eval. Time Std. Dev.</t>
  </si>
  <si>
    <t>Iterations</t>
  </si>
  <si>
    <t>Variables</t>
  </si>
  <si>
    <t>Eq. Constr.</t>
  </si>
  <si>
    <t>Ineq. Constr.</t>
  </si>
  <si>
    <t>Order</t>
  </si>
  <si>
    <t>spot</t>
  </si>
  <si>
    <t>Horizon</t>
  </si>
  <si>
    <t>Ipopt 3.12.3</t>
  </si>
  <si>
    <t>COL3</t>
  </si>
  <si>
    <t>RK1</t>
  </si>
  <si>
    <t>RK4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</si>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</sst>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removeDataOnSave="1" connectionId="1" xr16:uid="{C0B7F773-EDD3-4EF7-AB61-8627A89F9C80}" autoFormatId="16" applyNumberFormats="0" applyBorderFormats="0" applyFontFormats="0" applyPatternFormats="0" applyAlignmentFormats="0" applyWidthHeightFormats="0">
  <queryTableRefresh nextId="21">
    <queryTableFields count="20">
      <queryTableField id="1" name="run" tableColumnId="1"/>
      <queryTableField id="2" name="status" tableColumnId="2"/>
      <queryTableField id="3" name="variables" tableColumnId="3"/>
      <queryTableField id="4" name="equality_constraints" tableColumnId="4"/>
      <queryTableField id="5" name="inequality_constraints" tableColumnId="5"/>
      <queryTableField id="6" name="iterations" tableColumnId="6"/>
      <queryTableField id="7" name="objective_unscaled" tableColumnId="7"/>
      <queryTableField id="8" name="constraint_violation_unscaled" tableColumnId="8"/>
      <queryTableField id="9" name="ipopt_cpu_secs" tableColumnId="9"/>
      <queryTableField id="10" name="nlp_cpu_secs" tableColumnId="10"/>
      <queryTableField id="11" name="python_wall" tableColumnId="11"/>
      <queryTableField id="12" name="ampl_wall" tableColumnId="12"/>
      <queryTableField id="13" name="solve_wall" tableColumnId="13"/>
      <queryTableField id="14" name="nvars" tableColumnId="14"/>
      <queryTableField id="15" name="snvars" tableColumnId="15"/>
      <queryTableField id="16" name="ncons" tableColumnId="16"/>
      <queryTableField id="17" name="sncons" tableColumnId="17"/>
      <queryTableField id="18" name="total_wall" tableColumnId="18"/>
      <queryTableField id="19" name="run_date" tableColumnId="19"/>
      <queryTableField id="20" name="run_start_tim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AC4A6-E5FF-497A-A1B4-BC897A570A75}" name="ipopt_output" displayName="ipopt_output" ref="A1:T41" tableType="queryTable" totalsRowShown="0">
  <autoFilter ref="A1:T41" xr:uid="{DD1AC4A6-E5FF-497A-A1B4-BC897A570A75}"/>
  <tableColumns count="20">
    <tableColumn id="1" xr3:uid="{4B2F80CD-C210-4135-AC56-79A0A2F18D03}" uniqueName="1" name="run" queryTableFieldId="1" dataDxfId="1"/>
    <tableColumn id="2" xr3:uid="{33FF0FB2-9774-4A9F-B713-5D54016DB96E}" uniqueName="2" name="status" queryTableFieldId="2" dataDxfId="0"/>
    <tableColumn id="3" xr3:uid="{85719C07-C2E5-4E34-819B-9701551C460B}" uniqueName="3" name="variables" queryTableFieldId="3"/>
    <tableColumn id="4" xr3:uid="{2AD69530-84AD-49F3-BF3D-7EF8D63CB776}" uniqueName="4" name="equality_constraints" queryTableFieldId="4"/>
    <tableColumn id="5" xr3:uid="{807941AB-E4B7-4E13-AB44-1B0D73039EB1}" uniqueName="5" name="inequality_constraints" queryTableFieldId="5"/>
    <tableColumn id="6" xr3:uid="{D2F9A225-A2B0-4142-916C-47A9C657F9B2}" uniqueName="6" name="iterations" queryTableFieldId="6"/>
    <tableColumn id="7" xr3:uid="{EEDA56D3-3525-40C5-9BF4-5D62B4E2C89F}" uniqueName="7" name="objective_unscaled" queryTableFieldId="7"/>
    <tableColumn id="8" xr3:uid="{3839E1AF-4F0E-4204-AEAE-B887009C2F9A}" uniqueName="8" name="constraint_violation_unscaled" queryTableFieldId="8"/>
    <tableColumn id="9" xr3:uid="{E2C84407-9543-4044-8B32-3DA4C295D6CE}" uniqueName="9" name="ipopt_cpu_secs" queryTableFieldId="9"/>
    <tableColumn id="10" xr3:uid="{2ED249A4-0B5E-42EA-8C07-F9618AF756A9}" uniqueName="10" name="nlp_cpu_secs" queryTableFieldId="10"/>
    <tableColumn id="11" xr3:uid="{00BFCDC0-7798-49C4-B2BB-9574314A64C1}" uniqueName="11" name="python_wall" queryTableFieldId="11"/>
    <tableColumn id="12" xr3:uid="{F02E8B94-0E0D-4299-BC77-DB00DCD4C608}" uniqueName="12" name="ampl_wall" queryTableFieldId="12"/>
    <tableColumn id="13" xr3:uid="{380142DB-A4E5-454E-BB89-3D44651A8DB1}" uniqueName="13" name="solve_wall" queryTableFieldId="13"/>
    <tableColumn id="14" xr3:uid="{D7051EAB-4414-405D-B12A-E3DC733F0847}" uniqueName="14" name="nvars" queryTableFieldId="14"/>
    <tableColumn id="15" xr3:uid="{B840985A-85A8-4E66-9569-155FC7CF9E7A}" uniqueName="15" name="snvars" queryTableFieldId="15"/>
    <tableColumn id="16" xr3:uid="{764ACA5E-90E7-4A69-A1E5-017987182E0C}" uniqueName="16" name="ncons" queryTableFieldId="16"/>
    <tableColumn id="17" xr3:uid="{CAD39197-DDBB-411E-9439-875EF7C6D37E}" uniqueName="17" name="sncons" queryTableFieldId="17"/>
    <tableColumn id="18" xr3:uid="{4AC2ACBC-D656-4593-B169-6FC9AC4345AC}" uniqueName="18" name="total_wall" queryTableFieldId="18"/>
    <tableColumn id="19" xr3:uid="{E36D7E14-828D-46F4-B4D5-2C6D43E3BDCE}" uniqueName="19" name="run_date" queryTableFieldId="19"/>
    <tableColumn id="20" xr3:uid="{03E551A3-C61D-4531-9202-31100C3BC5DC}" uniqueName="20" name="run_start_tim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D80A-C988-4EFA-B6E1-71ECA4A1D1AC}">
  <dimension ref="A1:T41"/>
  <sheetViews>
    <sheetView workbookViewId="0">
      <selection activeCell="C31" sqref="C31"/>
    </sheetView>
  </sheetViews>
  <sheetFormatPr defaultRowHeight="15" x14ac:dyDescent="0.25"/>
  <cols>
    <col min="1" max="1" width="29.85546875" bestFit="1" customWidth="1"/>
    <col min="2" max="2" width="63.28515625" bestFit="1" customWidth="1"/>
    <col min="3" max="3" width="11.42578125" bestFit="1" customWidth="1"/>
    <col min="4" max="4" width="21.85546875" bestFit="1" customWidth="1"/>
    <col min="5" max="5" width="23.7109375" bestFit="1" customWidth="1"/>
    <col min="6" max="6" width="12" bestFit="1" customWidth="1"/>
    <col min="7" max="7" width="21" bestFit="1" customWidth="1"/>
    <col min="8" max="8" width="30.7109375" bestFit="1" customWidth="1"/>
    <col min="9" max="9" width="17.28515625" bestFit="1" customWidth="1"/>
    <col min="10" max="10" width="15.42578125" bestFit="1" customWidth="1"/>
    <col min="11" max="11" width="14" bestFit="1" customWidth="1"/>
    <col min="12" max="12" width="12.140625" bestFit="1" customWidth="1"/>
    <col min="13" max="13" width="12.5703125" bestFit="1" customWidth="1"/>
    <col min="14" max="14" width="8.140625" bestFit="1" customWidth="1"/>
    <col min="16" max="16" width="8.7109375" bestFit="1" customWidth="1"/>
    <col min="17" max="17" width="9.7109375" bestFit="1" customWidth="1"/>
    <col min="18" max="18" width="11.85546875" bestFit="1" customWidth="1"/>
    <col min="19" max="19" width="11.140625" bestFit="1" customWidth="1"/>
    <col min="20" max="20" width="16.42578125" bestFit="1" customWidth="1"/>
  </cols>
  <sheetData>
    <row r="1" spans="1:2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x14ac:dyDescent="0.25">
      <c r="A2"/>
      <c r="B2"/>
      <c r="C2"/>
      <c r="D2"/>
      <c r="E2"/>
      <c r="F2"/>
      <c r="G2"/>
      <c r="H2"/>
      <c r="I2"/>
      <c r="J2"/>
      <c r="K2"/>
      <c r="R2"/>
      <c r="S2"/>
      <c r="T2"/>
    </row>
    <row r="3" spans="1:20" x14ac:dyDescent="0.25">
      <c r="A3"/>
      <c r="B3"/>
      <c r="C3"/>
      <c r="D3"/>
      <c r="E3"/>
      <c r="F3"/>
      <c r="G3"/>
      <c r="H3"/>
      <c r="I3"/>
      <c r="J3"/>
      <c r="K3"/>
      <c r="R3"/>
      <c r="S3"/>
      <c r="T3"/>
    </row>
    <row r="4" spans="1:20" x14ac:dyDescent="0.25">
      <c r="A4"/>
      <c r="B4"/>
      <c r="C4"/>
      <c r="D4"/>
      <c r="E4"/>
      <c r="F4"/>
      <c r="G4"/>
      <c r="H4"/>
      <c r="I4"/>
      <c r="J4"/>
      <c r="K4"/>
      <c r="R4"/>
      <c r="S4"/>
      <c r="T4"/>
    </row>
    <row r="5" spans="1:20" x14ac:dyDescent="0.25">
      <c r="A5"/>
      <c r="B5"/>
      <c r="C5"/>
      <c r="D5"/>
      <c r="E5"/>
      <c r="F5"/>
      <c r="G5"/>
      <c r="H5"/>
      <c r="I5"/>
      <c r="J5"/>
      <c r="K5"/>
      <c r="R5"/>
      <c r="S5"/>
      <c r="T5"/>
    </row>
    <row r="6" spans="1:20" x14ac:dyDescent="0.25">
      <c r="A6"/>
      <c r="B6"/>
      <c r="C6"/>
      <c r="D6"/>
      <c r="E6"/>
      <c r="F6"/>
      <c r="G6"/>
      <c r="H6"/>
      <c r="I6"/>
      <c r="J6"/>
      <c r="K6"/>
      <c r="R6"/>
      <c r="S6"/>
      <c r="T6"/>
    </row>
    <row r="7" spans="1:20" x14ac:dyDescent="0.25">
      <c r="A7"/>
      <c r="B7"/>
      <c r="C7"/>
      <c r="D7"/>
      <c r="E7"/>
      <c r="F7"/>
      <c r="G7"/>
      <c r="H7"/>
      <c r="I7"/>
      <c r="J7"/>
      <c r="K7"/>
      <c r="R7"/>
      <c r="S7"/>
      <c r="T7"/>
    </row>
    <row r="8" spans="1:20" x14ac:dyDescent="0.25">
      <c r="A8"/>
      <c r="B8"/>
      <c r="C8"/>
      <c r="D8"/>
      <c r="E8"/>
      <c r="F8"/>
      <c r="G8"/>
      <c r="H8"/>
      <c r="I8"/>
      <c r="J8"/>
      <c r="K8"/>
      <c r="R8"/>
      <c r="S8"/>
      <c r="T8"/>
    </row>
    <row r="9" spans="1:20" x14ac:dyDescent="0.25">
      <c r="A9"/>
      <c r="B9"/>
      <c r="C9"/>
      <c r="D9"/>
      <c r="E9"/>
      <c r="F9"/>
      <c r="G9"/>
      <c r="H9"/>
      <c r="I9"/>
      <c r="J9"/>
      <c r="K9"/>
      <c r="R9"/>
      <c r="S9"/>
      <c r="T9"/>
    </row>
    <row r="10" spans="1:20" x14ac:dyDescent="0.25">
      <c r="A10"/>
      <c r="B10"/>
      <c r="C10"/>
      <c r="D10"/>
      <c r="E10"/>
      <c r="F10"/>
      <c r="G10"/>
      <c r="H10"/>
      <c r="I10"/>
      <c r="J10"/>
      <c r="K10"/>
      <c r="R10"/>
      <c r="S10"/>
      <c r="T10"/>
    </row>
    <row r="11" spans="1:20" x14ac:dyDescent="0.25">
      <c r="A11"/>
      <c r="B11"/>
      <c r="C11"/>
      <c r="D11"/>
      <c r="E11"/>
      <c r="F11"/>
      <c r="G11"/>
      <c r="H11"/>
      <c r="I11"/>
      <c r="J11"/>
      <c r="K11"/>
      <c r="R11"/>
      <c r="S11"/>
      <c r="T11"/>
    </row>
    <row r="12" spans="1:20" x14ac:dyDescent="0.25">
      <c r="A12"/>
      <c r="B12"/>
      <c r="C12"/>
      <c r="D12"/>
      <c r="E12"/>
      <c r="F12"/>
      <c r="G12"/>
      <c r="H12"/>
      <c r="I12"/>
      <c r="J12"/>
      <c r="K12"/>
      <c r="R12"/>
      <c r="S12"/>
      <c r="T12"/>
    </row>
    <row r="13" spans="1:20" x14ac:dyDescent="0.25">
      <c r="A13"/>
      <c r="B13"/>
      <c r="C13"/>
      <c r="D13"/>
      <c r="E13"/>
      <c r="F13"/>
      <c r="G13"/>
      <c r="H13"/>
      <c r="I13"/>
      <c r="J13"/>
      <c r="K13"/>
      <c r="R13"/>
      <c r="S13"/>
      <c r="T13"/>
    </row>
    <row r="14" spans="1:20" x14ac:dyDescent="0.25">
      <c r="A14"/>
      <c r="B14"/>
      <c r="C14"/>
      <c r="D14"/>
      <c r="E14"/>
      <c r="F14"/>
      <c r="G14"/>
      <c r="H14"/>
      <c r="I14"/>
      <c r="J14"/>
      <c r="K14"/>
      <c r="R14"/>
      <c r="S14"/>
      <c r="T14"/>
    </row>
    <row r="15" spans="1:20" x14ac:dyDescent="0.25">
      <c r="A15"/>
      <c r="B15"/>
      <c r="C15"/>
      <c r="D15"/>
      <c r="E15"/>
      <c r="F15"/>
      <c r="G15"/>
      <c r="H15"/>
      <c r="I15"/>
      <c r="J15"/>
      <c r="K15"/>
      <c r="R15"/>
      <c r="S15"/>
      <c r="T15"/>
    </row>
    <row r="16" spans="1:20" x14ac:dyDescent="0.25">
      <c r="A16"/>
      <c r="B16"/>
      <c r="C16"/>
      <c r="D16"/>
      <c r="E16"/>
      <c r="F16"/>
      <c r="G16"/>
      <c r="H16"/>
      <c r="I16"/>
      <c r="J16"/>
      <c r="K16"/>
      <c r="R16"/>
      <c r="S16"/>
      <c r="T16"/>
    </row>
    <row r="17" spans="1:20" x14ac:dyDescent="0.25">
      <c r="A17"/>
      <c r="B17"/>
      <c r="C17"/>
      <c r="D17"/>
      <c r="E17"/>
      <c r="F17"/>
      <c r="G17"/>
      <c r="H17"/>
      <c r="I17"/>
      <c r="J17"/>
      <c r="K17"/>
      <c r="R17"/>
      <c r="S17"/>
      <c r="T17"/>
    </row>
    <row r="18" spans="1:20" x14ac:dyDescent="0.25">
      <c r="A18"/>
      <c r="B18"/>
      <c r="C18"/>
      <c r="D18"/>
      <c r="E18"/>
      <c r="F18"/>
      <c r="G18"/>
      <c r="H18"/>
      <c r="I18"/>
      <c r="J18"/>
      <c r="K18"/>
      <c r="R18"/>
      <c r="S18"/>
      <c r="T18"/>
    </row>
    <row r="19" spans="1:20" x14ac:dyDescent="0.25">
      <c r="A19"/>
      <c r="B19"/>
      <c r="C19"/>
      <c r="D19"/>
      <c r="E19"/>
      <c r="F19"/>
      <c r="G19"/>
      <c r="H19"/>
      <c r="I19"/>
      <c r="J19"/>
      <c r="K19"/>
      <c r="R19"/>
      <c r="S19"/>
      <c r="T19"/>
    </row>
    <row r="20" spans="1:20" x14ac:dyDescent="0.25">
      <c r="A20"/>
      <c r="B20"/>
      <c r="C20"/>
      <c r="D20"/>
      <c r="E20"/>
      <c r="F20"/>
      <c r="G20"/>
      <c r="H20"/>
      <c r="I20"/>
      <c r="J20"/>
      <c r="K20"/>
      <c r="R20"/>
      <c r="S20"/>
      <c r="T20"/>
    </row>
    <row r="21" spans="1:20" x14ac:dyDescent="0.25">
      <c r="A21"/>
      <c r="B21"/>
      <c r="C21"/>
      <c r="D21"/>
      <c r="E21"/>
      <c r="F21"/>
      <c r="G21"/>
      <c r="H21"/>
      <c r="I21"/>
      <c r="J21"/>
      <c r="K21"/>
      <c r="R21"/>
      <c r="S21"/>
      <c r="T21"/>
    </row>
    <row r="22" spans="1:20" x14ac:dyDescent="0.25">
      <c r="A22"/>
      <c r="B22"/>
      <c r="C22"/>
      <c r="D22"/>
      <c r="E22"/>
      <c r="F22"/>
      <c r="G22"/>
      <c r="H22"/>
      <c r="I22"/>
      <c r="J22"/>
      <c r="K22"/>
      <c r="R22"/>
      <c r="S22"/>
      <c r="T22"/>
    </row>
    <row r="23" spans="1:20" x14ac:dyDescent="0.25">
      <c r="A23"/>
      <c r="B23"/>
      <c r="C23"/>
      <c r="D23"/>
      <c r="E23"/>
      <c r="F23"/>
      <c r="G23"/>
      <c r="H23"/>
      <c r="I23"/>
      <c r="J23"/>
      <c r="K23"/>
      <c r="R23"/>
      <c r="S23"/>
      <c r="T23"/>
    </row>
    <row r="24" spans="1:20" x14ac:dyDescent="0.25">
      <c r="A24"/>
      <c r="B24"/>
      <c r="C24"/>
      <c r="D24"/>
      <c r="E24"/>
      <c r="F24"/>
      <c r="G24"/>
      <c r="H24"/>
      <c r="I24"/>
      <c r="J24"/>
      <c r="K24"/>
      <c r="R24"/>
      <c r="S24"/>
      <c r="T24"/>
    </row>
    <row r="25" spans="1:20" x14ac:dyDescent="0.25">
      <c r="A25"/>
      <c r="B25"/>
      <c r="C25"/>
      <c r="D25"/>
      <c r="E25"/>
      <c r="F25"/>
      <c r="G25"/>
      <c r="H25"/>
      <c r="I25"/>
      <c r="J25"/>
      <c r="K25"/>
      <c r="R25"/>
      <c r="S25"/>
      <c r="T25"/>
    </row>
    <row r="26" spans="1:20" x14ac:dyDescent="0.25">
      <c r="A26"/>
      <c r="B26"/>
      <c r="C26"/>
      <c r="D26"/>
      <c r="E26"/>
      <c r="F26"/>
      <c r="G26"/>
      <c r="H26"/>
      <c r="I26"/>
      <c r="J26"/>
      <c r="K26"/>
      <c r="R26"/>
      <c r="S26"/>
      <c r="T26"/>
    </row>
    <row r="27" spans="1:20" x14ac:dyDescent="0.25">
      <c r="A27"/>
      <c r="B27"/>
      <c r="C27"/>
      <c r="D27"/>
      <c r="E27"/>
      <c r="F27"/>
      <c r="G27"/>
      <c r="H27"/>
      <c r="I27"/>
      <c r="J27"/>
      <c r="K27"/>
      <c r="R27"/>
      <c r="S27"/>
      <c r="T27"/>
    </row>
    <row r="28" spans="1:20" x14ac:dyDescent="0.25">
      <c r="A28"/>
      <c r="B28"/>
      <c r="C28"/>
      <c r="D28"/>
      <c r="E28"/>
      <c r="F28"/>
      <c r="G28"/>
      <c r="H28"/>
      <c r="I28"/>
      <c r="J28"/>
      <c r="K28"/>
      <c r="R28"/>
      <c r="S28"/>
      <c r="T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  <c r="R29"/>
      <c r="S29"/>
      <c r="T29"/>
    </row>
    <row r="30" spans="1:20" x14ac:dyDescent="0.25">
      <c r="A30"/>
      <c r="B30"/>
      <c r="C30"/>
      <c r="D30"/>
      <c r="E30"/>
      <c r="F30"/>
      <c r="G30"/>
      <c r="H30"/>
      <c r="I30"/>
      <c r="J30"/>
      <c r="K30"/>
      <c r="R30"/>
      <c r="S30"/>
      <c r="T30"/>
    </row>
    <row r="31" spans="1:20" x14ac:dyDescent="0.25">
      <c r="A31"/>
      <c r="B31"/>
      <c r="C31"/>
      <c r="D31"/>
      <c r="E31"/>
      <c r="F31"/>
      <c r="G31"/>
      <c r="H31"/>
      <c r="I31"/>
      <c r="J31"/>
      <c r="K31"/>
      <c r="R31"/>
      <c r="S31"/>
      <c r="T31"/>
    </row>
    <row r="32" spans="1:20" x14ac:dyDescent="0.25">
      <c r="A32"/>
      <c r="B32"/>
      <c r="C32"/>
      <c r="D32"/>
      <c r="E32"/>
      <c r="F32"/>
      <c r="G32"/>
      <c r="H32"/>
      <c r="I32"/>
      <c r="J32"/>
      <c r="K32"/>
      <c r="R32"/>
      <c r="S32"/>
      <c r="T32"/>
    </row>
    <row r="33" spans="1:20" x14ac:dyDescent="0.25">
      <c r="A33"/>
      <c r="B33"/>
      <c r="C33"/>
      <c r="D33"/>
      <c r="E33"/>
      <c r="F33"/>
      <c r="G33"/>
      <c r="H33"/>
      <c r="I33"/>
      <c r="J33"/>
      <c r="K33"/>
      <c r="R33"/>
      <c r="S33"/>
      <c r="T33"/>
    </row>
    <row r="34" spans="1:20" x14ac:dyDescent="0.25">
      <c r="A34"/>
      <c r="B34"/>
      <c r="C34"/>
      <c r="D34"/>
      <c r="E34"/>
      <c r="F34"/>
      <c r="G34"/>
      <c r="H34"/>
      <c r="I34"/>
      <c r="J34"/>
      <c r="K34"/>
      <c r="R34"/>
      <c r="S34"/>
      <c r="T34"/>
    </row>
    <row r="35" spans="1:20" x14ac:dyDescent="0.25">
      <c r="A35"/>
      <c r="B35"/>
      <c r="C35"/>
      <c r="D35"/>
      <c r="E35"/>
      <c r="F35"/>
      <c r="G35"/>
      <c r="H35"/>
      <c r="I35"/>
      <c r="J35"/>
      <c r="K35"/>
      <c r="R35"/>
      <c r="S35"/>
      <c r="T35"/>
    </row>
    <row r="36" spans="1:20" x14ac:dyDescent="0.25">
      <c r="A36"/>
      <c r="B36"/>
      <c r="C36"/>
      <c r="D36"/>
      <c r="E36"/>
      <c r="F36"/>
      <c r="G36"/>
      <c r="H36"/>
      <c r="I36"/>
      <c r="J36"/>
      <c r="K36"/>
      <c r="R36"/>
      <c r="S36"/>
      <c r="T36"/>
    </row>
    <row r="37" spans="1:20" x14ac:dyDescent="0.25">
      <c r="A37"/>
      <c r="B37"/>
      <c r="C37"/>
      <c r="D37"/>
      <c r="E37"/>
      <c r="F37"/>
      <c r="G37"/>
      <c r="H37"/>
      <c r="I37"/>
      <c r="J37"/>
      <c r="K37"/>
      <c r="R37"/>
      <c r="S37"/>
      <c r="T37"/>
    </row>
    <row r="38" spans="1:20" x14ac:dyDescent="0.25">
      <c r="A38"/>
      <c r="B38"/>
      <c r="C38"/>
      <c r="D38"/>
      <c r="E38"/>
      <c r="F38"/>
      <c r="G38"/>
      <c r="H38"/>
      <c r="I38"/>
      <c r="J38"/>
      <c r="K38"/>
      <c r="R38"/>
      <c r="S38"/>
      <c r="T38"/>
    </row>
    <row r="39" spans="1:20" x14ac:dyDescent="0.25">
      <c r="A39"/>
      <c r="B39"/>
      <c r="C39"/>
      <c r="D39"/>
      <c r="E39"/>
      <c r="F39"/>
      <c r="G39"/>
      <c r="H39"/>
      <c r="I39"/>
      <c r="J39"/>
      <c r="K39"/>
      <c r="R39"/>
      <c r="S39"/>
      <c r="T39"/>
    </row>
    <row r="40" spans="1:20" x14ac:dyDescent="0.25">
      <c r="A40"/>
      <c r="B40"/>
      <c r="C40"/>
      <c r="D40"/>
      <c r="E40"/>
      <c r="F40"/>
      <c r="G40"/>
      <c r="H40"/>
      <c r="I40"/>
      <c r="J40"/>
      <c r="K40"/>
      <c r="R40"/>
      <c r="S40"/>
      <c r="T40"/>
    </row>
    <row r="41" spans="1:20" x14ac:dyDescent="0.25">
      <c r="A41"/>
      <c r="B41"/>
      <c r="C41"/>
      <c r="D41"/>
      <c r="E41"/>
      <c r="F41"/>
      <c r="G41"/>
      <c r="H41"/>
      <c r="I41"/>
      <c r="J41"/>
      <c r="K41"/>
      <c r="R41"/>
      <c r="S41"/>
      <c r="T4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3603-31DD-4839-A5EA-76F11F0AB097}">
  <dimension ref="A1:U5"/>
  <sheetViews>
    <sheetView zoomScale="140" zoomScaleNormal="140" workbookViewId="0">
      <selection activeCell="C2" sqref="C2"/>
    </sheetView>
  </sheetViews>
  <sheetFormatPr defaultRowHeight="15" x14ac:dyDescent="0.25"/>
  <cols>
    <col min="1" max="1" width="30.85546875" bestFit="1" customWidth="1"/>
    <col min="2" max="2" width="63.28515625" bestFit="1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0" width="12.85546875" bestFit="1" customWidth="1"/>
    <col min="11" max="11" width="13.28515625" bestFit="1" customWidth="1"/>
    <col min="12" max="13" width="10.140625" bestFit="1" customWidth="1"/>
    <col min="14" max="14" width="5.85546875" bestFit="1" customWidth="1"/>
    <col min="15" max="15" width="6.85546875" bestFit="1" customWidth="1"/>
    <col min="16" max="16" width="6.42578125" bestFit="1" customWidth="1"/>
    <col min="17" max="17" width="7.42578125" bestFit="1" customWidth="1"/>
    <col min="18" max="19" width="10" bestFit="1" customWidth="1"/>
    <col min="20" max="20" width="13.7109375" bestFit="1" customWidth="1"/>
    <col min="21" max="21" width="9.85546875" bestFit="1" customWidth="1"/>
  </cols>
  <sheetData>
    <row r="1" spans="1:21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  <c r="U1" t="s">
        <v>0</v>
      </c>
    </row>
    <row r="2" spans="1:21" x14ac:dyDescent="0.25">
      <c r="A2" t="str" cm="1">
        <f t="array" ref="A2">INDEX(ipopt_output!A:A, (ROW()-2)*$U2+2)</f>
        <v>spot_jump_twist_col3_py</v>
      </c>
      <c r="B2" t="str" cm="1">
        <f t="array" ref="B2">INDEX(ipopt_output!B:B, (ROW()-2)*$U2+2)</f>
        <v>Converged to a point of local infeasibility. Problem may be infeasible.</v>
      </c>
      <c r="C2">
        <f>IFERROR(AVERAGE(INDEX(ipopt_output!C:C, (ROW()-2)*$U2+2):INDEX(ipopt_output!C:C, (ROW()-2)*$U2 + $U2+1)), "")</f>
        <v>8950</v>
      </c>
      <c r="D2">
        <f>IFERROR(AVERAGE(INDEX(ipopt_output!D:D, (ROW()-2)*$U2+2):INDEX(ipopt_output!D:D, (ROW()-2)*$U2 + $U2+1)), "")</f>
        <v>8337</v>
      </c>
      <c r="E2">
        <f>IFERROR(AVERAGE(INDEX(ipopt_output!E:E, (ROW()-2)*$U2+2):INDEX(ipopt_output!E:E, (ROW()-2)*$U2 + $U2+1)), "")</f>
        <v>1180</v>
      </c>
      <c r="F2">
        <f>IFERROR(AVERAGE(INDEX(ipopt_output!F:F, (ROW()-2)*$U2+2):INDEX(ipopt_output!F:F, (ROW()-2)*$U2 + $U2+1)), "")</f>
        <v>493</v>
      </c>
      <c r="G2">
        <f>IFERROR(AVERAGE(INDEX(ipopt_output!G:G, (ROW()-2)*$U2+2):INDEX(ipopt_output!G:G, (ROW()-2)*$U2 + $U2+1)), "")</f>
        <v>16947.152891601992</v>
      </c>
      <c r="H2">
        <f>IFERROR(AVERAGE(INDEX(ipopt_output!H:H, (ROW()-2)*$U2+2):INDEX(ipopt_output!H:H, (ROW()-2)*$U2 + $U2+1)), "")</f>
        <v>1.2411050059394912E-2</v>
      </c>
      <c r="I2">
        <f>IFERROR(AVERAGE(INDEX(ipopt_output!I:I, (ROW()-2)*$U2+2):INDEX(ipopt_output!I:I, (ROW()-2)*$U2 + $U2+1)), "")</f>
        <v>46.467499999999994</v>
      </c>
      <c r="J2">
        <f>IFERROR(AVERAGE(INDEX(ipopt_output!J:J, (ROW()-2)*$U2+2):INDEX(ipopt_output!J:J, (ROW()-2)*$U2 + $U2+1)), "")</f>
        <v>12.74</v>
      </c>
      <c r="K2">
        <f>IFERROR(AVERAGE(INDEX(ipopt_output!K:K, (ROW()-2)*$U2+2):INDEX(ipopt_output!K:K, (ROW()-2)*$U2 + $U2+1)), "")</f>
        <v>67.313599917400012</v>
      </c>
      <c r="L2" t="str">
        <f>IFERROR(AVERAGE(INDEX(ipopt_output!L:L, (ROW()-2)*$U2+2):INDEX(ipopt_output!L:L, (ROW()-2)*$U2 + $U2+1)), "")</f>
        <v/>
      </c>
      <c r="M2" t="str">
        <f>IFERROR(AVERAGE(INDEX(ipopt_output!M:M, (ROW()-2)*$U2+2):INDEX(ipopt_output!M:M, (ROW()-2)*$U2 + $U2+1)), "")</f>
        <v/>
      </c>
      <c r="N2" t="str">
        <f>IFERROR(AVERAGE(INDEX(ipopt_output!N:N, (ROW()-2)*$U2+2):INDEX(ipopt_output!N:N, (ROW()-2)*$U2 + $U2+1)), "")</f>
        <v/>
      </c>
      <c r="O2" t="str">
        <f>IFERROR(AVERAGE(INDEX(ipopt_output!O:O, (ROW()-2)*$U2+2):INDEX(ipopt_output!O:O, (ROW()-2)*$U2 + $U2+1)), "")</f>
        <v/>
      </c>
      <c r="P2" t="str">
        <f>IFERROR(AVERAGE(INDEX(ipopt_output!P:P, (ROW()-2)*$U2+2):INDEX(ipopt_output!P:P, (ROW()-2)*$U2 + $U2+1)), "")</f>
        <v/>
      </c>
      <c r="Q2" t="str">
        <f>IFERROR(AVERAGE(INDEX(ipopt_output!Q:Q, (ROW()-2)*$U2+2):INDEX(ipopt_output!Q:Q, (ROW()-2)*$U2 + $U2+1)), "")</f>
        <v/>
      </c>
      <c r="R2">
        <f>IFERROR(AVERAGE(INDEX(ipopt_output!R:R, (ROW()-2)*$U2+2):INDEX(ipopt_output!R:R, (ROW()-2)*$U2 + $U2+1)), "")</f>
        <v>67.31362</v>
      </c>
      <c r="S2">
        <f>IFERROR(AVERAGE(INDEX(ipopt_output!S:S, (ROW()-2)*$U2+2):INDEX(ipopt_output!S:S, (ROW()-2)*$U2 + $U2+1)), "")</f>
        <v>20260623</v>
      </c>
      <c r="T2">
        <f>IFERROR(AVERAGE(INDEX(ipopt_output!T:T, (ROW()-2)*$U2+2):INDEX(ipopt_output!T:T, (ROW()-2)*$U2 + $U2+1)), "")</f>
        <v>38878.6</v>
      </c>
      <c r="U2">
        <f>COUNTIF(ipopt_output!A:A, ipopt_output!A2)</f>
        <v>10</v>
      </c>
    </row>
    <row r="3" spans="1:21" x14ac:dyDescent="0.25">
      <c r="A3" t="str" cm="1">
        <f t="array" ref="A3">INDEX(ipopt_output!A:A, (ROW()-2)*$U3+2)</f>
        <v>spot_jump_twist_rk1_py</v>
      </c>
      <c r="B3" t="str" cm="1">
        <f t="array" ref="B3">INDEX(ipopt_output!B:B, (ROW()-2)*$U3+2)</f>
        <v>Converged to a point of local infeasibility. Problem may be infeasible.</v>
      </c>
      <c r="C3">
        <f>IFERROR(AVERAGE(INDEX(ipopt_output!C:C, (ROW()-2)*$U3+2):INDEX(ipopt_output!C:C, (ROW()-2)*$U3 + $U3+1)), "")</f>
        <v>3400</v>
      </c>
      <c r="D3">
        <f>IFERROR(AVERAGE(INDEX(ipopt_output!D:D, (ROW()-2)*$U3+2):INDEX(ipopt_output!D:D, (ROW()-2)*$U3 + $U3+1)), "")</f>
        <v>2787</v>
      </c>
      <c r="E3">
        <f>IFERROR(AVERAGE(INDEX(ipopt_output!E:E, (ROW()-2)*$U3+2):INDEX(ipopt_output!E:E, (ROW()-2)*$U3 + $U3+1)), "")</f>
        <v>1180</v>
      </c>
      <c r="F3">
        <f>IFERROR(AVERAGE(INDEX(ipopt_output!F:F, (ROW()-2)*$U3+2):INDEX(ipopt_output!F:F, (ROW()-2)*$U3 + $U3+1)), "")</f>
        <v>398</v>
      </c>
      <c r="G3">
        <f>IFERROR(AVERAGE(INDEX(ipopt_output!G:G, (ROW()-2)*$U3+2):INDEX(ipopt_output!G:G, (ROW()-2)*$U3 + $U3+1)), "")</f>
        <v>19921.461898401179</v>
      </c>
      <c r="H3">
        <f>IFERROR(AVERAGE(INDEX(ipopt_output!H:H, (ROW()-2)*$U3+2):INDEX(ipopt_output!H:H, (ROW()-2)*$U3 + $U3+1)), "")</f>
        <v>1.2054748952508354E-2</v>
      </c>
      <c r="I3">
        <f>IFERROR(AVERAGE(INDEX(ipopt_output!I:I, (ROW()-2)*$U3+2):INDEX(ipopt_output!I:I, (ROW()-2)*$U3 + $U3+1)), "")</f>
        <v>49.113799999999998</v>
      </c>
      <c r="J3">
        <f>IFERROR(AVERAGE(INDEX(ipopt_output!J:J, (ROW()-2)*$U3+2):INDEX(ipopt_output!J:J, (ROW()-2)*$U3 + $U3+1)), "")</f>
        <v>9.0190000000000019</v>
      </c>
      <c r="K3">
        <f>IFERROR(AVERAGE(INDEX(ipopt_output!K:K, (ROW()-2)*$U3+2):INDEX(ipopt_output!K:K, (ROW()-2)*$U3 + $U3+1)), "")</f>
        <v>65.09576805680004</v>
      </c>
      <c r="L3" t="str">
        <f>IFERROR(AVERAGE(INDEX(ipopt_output!L:L, (ROW()-2)*$U3+2):INDEX(ipopt_output!L:L, (ROW()-2)*$U3 + $U3+1)), "")</f>
        <v/>
      </c>
      <c r="M3" t="str">
        <f>IFERROR(AVERAGE(INDEX(ipopt_output!M:M, (ROW()-2)*$U3+2):INDEX(ipopt_output!M:M, (ROW()-2)*$U3 + $U3+1)), "")</f>
        <v/>
      </c>
      <c r="N3" t="str">
        <f>IFERROR(AVERAGE(INDEX(ipopt_output!N:N, (ROW()-2)*$U3+2):INDEX(ipopt_output!N:N, (ROW()-2)*$U3 + $U3+1)), "")</f>
        <v/>
      </c>
      <c r="O3" t="str">
        <f>IFERROR(AVERAGE(INDEX(ipopt_output!O:O, (ROW()-2)*$U3+2):INDEX(ipopt_output!O:O, (ROW()-2)*$U3 + $U3+1)), "")</f>
        <v/>
      </c>
      <c r="P3" t="str">
        <f>IFERROR(AVERAGE(INDEX(ipopt_output!P:P, (ROW()-2)*$U3+2):INDEX(ipopt_output!P:P, (ROW()-2)*$U3 + $U3+1)), "")</f>
        <v/>
      </c>
      <c r="Q3" t="str">
        <f>IFERROR(AVERAGE(INDEX(ipopt_output!Q:Q, (ROW()-2)*$U3+2):INDEX(ipopt_output!Q:Q, (ROW()-2)*$U3 + $U3+1)), "")</f>
        <v/>
      </c>
      <c r="R3">
        <f>IFERROR(AVERAGE(INDEX(ipopt_output!R:R, (ROW()-2)*$U3+2):INDEX(ipopt_output!R:R, (ROW()-2)*$U3 + $U3+1)), "")</f>
        <v>65.095769999999987</v>
      </c>
      <c r="S3">
        <f>IFERROR(AVERAGE(INDEX(ipopt_output!S:S, (ROW()-2)*$U3+2):INDEX(ipopt_output!S:S, (ROW()-2)*$U3 + $U3+1)), "")</f>
        <v>20260623</v>
      </c>
      <c r="T3">
        <f>IFERROR(AVERAGE(INDEX(ipopt_output!T:T, (ROW()-2)*$U3+2):INDEX(ipopt_output!T:T, (ROW()-2)*$U3 + $U3+1)), "")</f>
        <v>38878.6</v>
      </c>
      <c r="U3" cm="1">
        <f t="array" ref="U3">COUNTIF(ipopt_output!A:A,INDEX(ipopt_output!A:A,SUM(U$2:U2)+2))</f>
        <v>10</v>
      </c>
    </row>
    <row r="4" spans="1:21" x14ac:dyDescent="0.25">
      <c r="A4" t="str" cm="1">
        <f t="array" ref="A4">INDEX(ipopt_output!A:A, (ROW()-2)*$U4+2)</f>
        <v>spot_jump_twist_rk4-zero-tol_py</v>
      </c>
      <c r="B4" t="str" cm="1">
        <f t="array" ref="B4">INDEX(ipopt_output!B:B, (ROW()-2)*$U4+2)</f>
        <v>Converged to a point of local infeasibility. Problem may be infeasible.</v>
      </c>
      <c r="C4">
        <f>IFERROR(AVERAGE(INDEX(ipopt_output!C:C, (ROW()-2)*$U4+2):INDEX(ipopt_output!C:C, (ROW()-2)*$U4 + $U4+1)), "")</f>
        <v>3400</v>
      </c>
      <c r="D4">
        <f>IFERROR(AVERAGE(INDEX(ipopt_output!D:D, (ROW()-2)*$U4+2):INDEX(ipopt_output!D:D, (ROW()-2)*$U4 + $U4+1)), "")</f>
        <v>2787</v>
      </c>
      <c r="E4">
        <f>IFERROR(AVERAGE(INDEX(ipopt_output!E:E, (ROW()-2)*$U4+2):INDEX(ipopt_output!E:E, (ROW()-2)*$U4 + $U4+1)), "")</f>
        <v>1180</v>
      </c>
      <c r="F4">
        <f>IFERROR(AVERAGE(INDEX(ipopt_output!F:F, (ROW()-2)*$U4+2):INDEX(ipopt_output!F:F, (ROW()-2)*$U4 + $U4+1)), "")</f>
        <v>355</v>
      </c>
      <c r="G4">
        <f>IFERROR(AVERAGE(INDEX(ipopt_output!G:G, (ROW()-2)*$U4+2):INDEX(ipopt_output!G:G, (ROW()-2)*$U4 + $U4+1)), "")</f>
        <v>13581.503511743726</v>
      </c>
      <c r="H4">
        <f>IFERROR(AVERAGE(INDEX(ipopt_output!H:H, (ROW()-2)*$U4+2):INDEX(ipopt_output!H:H, (ROW()-2)*$U4 + $U4+1)), "")</f>
        <v>1.1100848100742411E-6</v>
      </c>
      <c r="I4">
        <f>IFERROR(AVERAGE(INDEX(ipopt_output!I:I, (ROW()-2)*$U4+2):INDEX(ipopt_output!I:I, (ROW()-2)*$U4 + $U4+1)), "")</f>
        <v>26.802699999999998</v>
      </c>
      <c r="J4">
        <f>IFERROR(AVERAGE(INDEX(ipopt_output!J:J, (ROW()-2)*$U4+2):INDEX(ipopt_output!J:J, (ROW()-2)*$U4 + $U4+1)), "")</f>
        <v>9.1204000000000001</v>
      </c>
      <c r="K4">
        <f>IFERROR(AVERAGE(INDEX(ipopt_output!K:K, (ROW()-2)*$U4+2):INDEX(ipopt_output!K:K, (ROW()-2)*$U4 + $U4+1)), "")</f>
        <v>43.196532232200113</v>
      </c>
      <c r="L4" t="str">
        <f>IFERROR(AVERAGE(INDEX(ipopt_output!L:L, (ROW()-2)*$U4+2):INDEX(ipopt_output!L:L, (ROW()-2)*$U4 + $U4+1)), "")</f>
        <v/>
      </c>
      <c r="M4" t="str">
        <f>IFERROR(AVERAGE(INDEX(ipopt_output!M:M, (ROW()-2)*$U4+2):INDEX(ipopt_output!M:M, (ROW()-2)*$U4 + $U4+1)), "")</f>
        <v/>
      </c>
      <c r="N4" t="str">
        <f>IFERROR(AVERAGE(INDEX(ipopt_output!N:N, (ROW()-2)*$U4+2):INDEX(ipopt_output!N:N, (ROW()-2)*$U4 + $U4+1)), "")</f>
        <v/>
      </c>
      <c r="O4" t="str">
        <f>IFERROR(AVERAGE(INDEX(ipopt_output!O:O, (ROW()-2)*$U4+2):INDEX(ipopt_output!O:O, (ROW()-2)*$U4 + $U4+1)), "")</f>
        <v/>
      </c>
      <c r="P4" t="str">
        <f>IFERROR(AVERAGE(INDEX(ipopt_output!P:P, (ROW()-2)*$U4+2):INDEX(ipopt_output!P:P, (ROW()-2)*$U4 + $U4+1)), "")</f>
        <v/>
      </c>
      <c r="Q4" t="str">
        <f>IFERROR(AVERAGE(INDEX(ipopt_output!Q:Q, (ROW()-2)*$U4+2):INDEX(ipopt_output!Q:Q, (ROW()-2)*$U4 + $U4+1)), "")</f>
        <v/>
      </c>
      <c r="R4">
        <f>IFERROR(AVERAGE(INDEX(ipopt_output!R:R, (ROW()-2)*$U4+2):INDEX(ipopt_output!R:R, (ROW()-2)*$U4 + $U4+1)), "")</f>
        <v>43.196540000000006</v>
      </c>
      <c r="S4">
        <f>IFERROR(AVERAGE(INDEX(ipopt_output!S:S, (ROW()-2)*$U4+2):INDEX(ipopt_output!S:S, (ROW()-2)*$U4 + $U4+1)), "")</f>
        <v>20260623</v>
      </c>
      <c r="T4">
        <f>IFERROR(AVERAGE(INDEX(ipopt_output!T:T, (ROW()-2)*$U4+2):INDEX(ipopt_output!T:T, (ROW()-2)*$U4 + $U4+1)), "")</f>
        <v>38878.6</v>
      </c>
      <c r="U4" cm="1">
        <f t="array" ref="U4">COUNTIF(ipopt_output!A:A,INDEX(ipopt_output!A:A,SUM(U$2:U3)+2))</f>
        <v>10</v>
      </c>
    </row>
    <row r="5" spans="1:21" x14ac:dyDescent="0.25">
      <c r="A5" t="str" cm="1">
        <f t="array" ref="A5">INDEX(ipopt_output!A:A, (ROW()-2)*$U5+2)</f>
        <v>spot_jump_twist_rk4_py</v>
      </c>
      <c r="B5" t="str" cm="1">
        <f t="array" ref="B5">INDEX(ipopt_output!B:B, (ROW()-2)*$U5+2)</f>
        <v>Optimal Solution Found.</v>
      </c>
      <c r="C5">
        <f>IFERROR(AVERAGE(INDEX(ipopt_output!C:C, (ROW()-2)*$U5+2):INDEX(ipopt_output!C:C, (ROW()-2)*$U5 + $U5+1)), "")</f>
        <v>3400</v>
      </c>
      <c r="D5">
        <f>IFERROR(AVERAGE(INDEX(ipopt_output!D:D, (ROW()-2)*$U5+2):INDEX(ipopt_output!D:D, (ROW()-2)*$U5 + $U5+1)), "")</f>
        <v>2787</v>
      </c>
      <c r="E5">
        <f>IFERROR(AVERAGE(INDEX(ipopt_output!E:E, (ROW()-2)*$U5+2):INDEX(ipopt_output!E:E, (ROW()-2)*$U5 + $U5+1)), "")</f>
        <v>1180</v>
      </c>
      <c r="F5">
        <f>IFERROR(AVERAGE(INDEX(ipopt_output!F:F, (ROW()-2)*$U5+2):INDEX(ipopt_output!F:F, (ROW()-2)*$U5 + $U5+1)), "")</f>
        <v>330</v>
      </c>
      <c r="G5">
        <f>IFERROR(AVERAGE(INDEX(ipopt_output!G:G, (ROW()-2)*$U5+2):INDEX(ipopt_output!G:G, (ROW()-2)*$U5 + $U5+1)), "")</f>
        <v>13127.37489131594</v>
      </c>
      <c r="H5">
        <f>IFERROR(AVERAGE(INDEX(ipopt_output!H:H, (ROW()-2)*$U5+2):INDEX(ipopt_output!H:H, (ROW()-2)*$U5 + $U5+1)), "")</f>
        <v>1.4127164160715466E-7</v>
      </c>
      <c r="I5">
        <f>IFERROR(AVERAGE(INDEX(ipopt_output!I:I, (ROW()-2)*$U5+2):INDEX(ipopt_output!I:I, (ROW()-2)*$U5 + $U5+1)), "")</f>
        <v>25.564699999999998</v>
      </c>
      <c r="J5">
        <f>IFERROR(AVERAGE(INDEX(ipopt_output!J:J, (ROW()-2)*$U5+2):INDEX(ipopt_output!J:J, (ROW()-2)*$U5 + $U5+1)), "")</f>
        <v>8.4537000000000013</v>
      </c>
      <c r="K5">
        <f>IFERROR(AVERAGE(INDEX(ipopt_output!K:K, (ROW()-2)*$U5+2):INDEX(ipopt_output!K:K, (ROW()-2)*$U5 + $U5+1)), "")</f>
        <v>41.59273401379992</v>
      </c>
      <c r="L5" t="str">
        <f>IFERROR(AVERAGE(INDEX(ipopt_output!L:L, (ROW()-2)*$U5+2):INDEX(ipopt_output!L:L, (ROW()-2)*$U5 + $U5+1)), "")</f>
        <v/>
      </c>
      <c r="M5" t="str">
        <f>IFERROR(AVERAGE(INDEX(ipopt_output!M:M, (ROW()-2)*$U5+2):INDEX(ipopt_output!M:M, (ROW()-2)*$U5 + $U5+1)), "")</f>
        <v/>
      </c>
      <c r="N5" t="str">
        <f>IFERROR(AVERAGE(INDEX(ipopt_output!N:N, (ROW()-2)*$U5+2):INDEX(ipopt_output!N:N, (ROW()-2)*$U5 + $U5+1)), "")</f>
        <v/>
      </c>
      <c r="O5" t="str">
        <f>IFERROR(AVERAGE(INDEX(ipopt_output!O:O, (ROW()-2)*$U5+2):INDEX(ipopt_output!O:O, (ROW()-2)*$U5 + $U5+1)), "")</f>
        <v/>
      </c>
      <c r="P5" t="str">
        <f>IFERROR(AVERAGE(INDEX(ipopt_output!P:P, (ROW()-2)*$U5+2):INDEX(ipopt_output!P:P, (ROW()-2)*$U5 + $U5+1)), "")</f>
        <v/>
      </c>
      <c r="Q5" t="str">
        <f>IFERROR(AVERAGE(INDEX(ipopt_output!Q:Q, (ROW()-2)*$U5+2):INDEX(ipopt_output!Q:Q, (ROW()-2)*$U5 + $U5+1)), "")</f>
        <v/>
      </c>
      <c r="R5">
        <f>IFERROR(AVERAGE(INDEX(ipopt_output!R:R, (ROW()-2)*$U5+2):INDEX(ipopt_output!R:R, (ROW()-2)*$U5 + $U5+1)), "")</f>
        <v>41.592730000000003</v>
      </c>
      <c r="S5">
        <f>IFERROR(AVERAGE(INDEX(ipopt_output!S:S, (ROW()-2)*$U5+2):INDEX(ipopt_output!S:S, (ROW()-2)*$U5 + $U5+1)), "")</f>
        <v>20260623</v>
      </c>
      <c r="T5">
        <f>IFERROR(AVERAGE(INDEX(ipopt_output!T:T, (ROW()-2)*$U5+2):INDEX(ipopt_output!T:T, (ROW()-2)*$U5 + $U5+1)), "")</f>
        <v>38878.6</v>
      </c>
      <c r="U5" cm="1">
        <f t="array" ref="U5">COUNTIF(ipopt_output!A:A,INDEX(ipopt_output!A:A,SUM(U$2:U4)+2))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E7C0-ABEA-4313-884B-8140DD8DD145}">
  <dimension ref="A1:T5"/>
  <sheetViews>
    <sheetView zoomScale="140" zoomScaleNormal="140" workbookViewId="0">
      <selection activeCell="D4" sqref="D4"/>
    </sheetView>
  </sheetViews>
  <sheetFormatPr defaultRowHeight="15" x14ac:dyDescent="0.25"/>
  <cols>
    <col min="1" max="1" width="29.85546875" bestFit="1" customWidth="1"/>
    <col min="2" max="2" width="63.28515625" bestFit="1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1" width="13.28515625" bestFit="1" customWidth="1"/>
    <col min="12" max="13" width="10.140625" bestFit="1" customWidth="1"/>
    <col min="14" max="14" width="5.85546875" bestFit="1" customWidth="1"/>
    <col min="15" max="15" width="6.85546875" bestFit="1" customWidth="1"/>
    <col min="16" max="16" width="6.42578125" bestFit="1" customWidth="1"/>
    <col min="17" max="17" width="7.42578125" bestFit="1" customWidth="1"/>
    <col min="18" max="18" width="13.28515625" bestFit="1" customWidth="1"/>
    <col min="19" max="19" width="8.7109375" bestFit="1" customWidth="1"/>
    <col min="20" max="20" width="13.7109375" bestFit="1" customWidth="1"/>
  </cols>
  <sheetData>
    <row r="1" spans="1:20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</row>
    <row r="2" spans="1:20" x14ac:dyDescent="0.25">
      <c r="A2" t="str" cm="1">
        <f t="array" ref="A2">INDEX(ipopt_output!A:A, (ROW()-2)*averages!$U2+2)</f>
        <v>spot_jump_twist_col3_py</v>
      </c>
      <c r="B2" t="str" cm="1">
        <f t="array" ref="B2">INDEX(ipopt_output!B:B, (ROW()-2)*averages!$U2+2)</f>
        <v>Converged to a point of local infeasibility. Problem may be infeasible.</v>
      </c>
      <c r="C2">
        <f>IFERROR(_xlfn.STDEV.S(INDEX(ipopt_output!C:C, (ROW()-2)*averages!$U2+2):INDEX(ipopt_output!C:C, (ROW()-2)*averages!$U2+averages!$U2+1)), "")</f>
        <v>0</v>
      </c>
      <c r="D2">
        <f>IFERROR(_xlfn.STDEV.S(INDEX(ipopt_output!D:D, (ROW()-2)*averages!$U2+2):INDEX(ipopt_output!D:D, (ROW()-2)*averages!$U2+averages!$U2+1)), "")</f>
        <v>0</v>
      </c>
      <c r="E2">
        <f>IFERROR(_xlfn.STDEV.S(INDEX(ipopt_output!E:E, (ROW()-2)*averages!$U2+2):INDEX(ipopt_output!E:E, (ROW()-2)*averages!$U2+averages!$U2+1)), "")</f>
        <v>0</v>
      </c>
      <c r="F2">
        <f>IFERROR(_xlfn.STDEV.S(INDEX(ipopt_output!F:F, (ROW()-2)*averages!$U2+2):INDEX(ipopt_output!F:F, (ROW()-2)*averages!$U2+averages!$U2+1)), "")</f>
        <v>0</v>
      </c>
      <c r="G2">
        <f>IFERROR(_xlfn.STDEV.S(INDEX(ipopt_output!G:G, (ROW()-2)*averages!$U2+2):INDEX(ipopt_output!G:G, (ROW()-2)*averages!$U2+averages!$U2+1)), "")</f>
        <v>0</v>
      </c>
      <c r="H2">
        <f>IFERROR(_xlfn.STDEV.S(INDEX(ipopt_output!H:H, (ROW()-2)*averages!$U2+2):INDEX(ipopt_output!H:H, (ROW()-2)*averages!$U2+averages!$U2+1)), "")</f>
        <v>0</v>
      </c>
      <c r="I2">
        <f>IFERROR(_xlfn.STDEV.S(INDEX(ipopt_output!I:I, (ROW()-2)*averages!$U2+2):INDEX(ipopt_output!I:I, (ROW()-2)*averages!$U2+averages!$U2+1)), "")</f>
        <v>0.74899506748116274</v>
      </c>
      <c r="J2">
        <f>IFERROR(_xlfn.STDEV.S(INDEX(ipopt_output!J:J, (ROW()-2)*averages!$U2+2):INDEX(ipopt_output!J:J, (ROW()-2)*averages!$U2+averages!$U2+1)), "")</f>
        <v>0.24093475373128637</v>
      </c>
      <c r="K2">
        <f>IFERROR(_xlfn.STDEV.S(INDEX(ipopt_output!K:K, (ROW()-2)*averages!$U2+2):INDEX(ipopt_output!K:K, (ROW()-2)*averages!$U2+averages!$U2+1)), "")</f>
        <v>0.88416885414090785</v>
      </c>
      <c r="L2" t="str">
        <f>IFERROR(_xlfn.STDEV.S(INDEX(ipopt_output!L:L, (ROW()-2)*averages!$U2+2):INDEX(ipopt_output!L:L, (ROW()-2)*averages!$U2+averages!$U2+1)), "")</f>
        <v/>
      </c>
      <c r="M2" t="str">
        <f>IFERROR(_xlfn.STDEV.S(INDEX(ipopt_output!M:M, (ROW()-2)*averages!$U2+2):INDEX(ipopt_output!M:M, (ROW()-2)*averages!$U2+averages!$U2+1)), "")</f>
        <v/>
      </c>
      <c r="N2" t="str">
        <f>IFERROR(_xlfn.STDEV.S(INDEX(ipopt_output!N:N, (ROW()-2)*averages!$U2+2):INDEX(ipopt_output!N:N, (ROW()-2)*averages!$U2+averages!$U2+1)), "")</f>
        <v/>
      </c>
      <c r="O2" t="str">
        <f>IFERROR(_xlfn.STDEV.S(INDEX(ipopt_output!O:O, (ROW()-2)*averages!$U2+2):INDEX(ipopt_output!O:O, (ROW()-2)*averages!$U2+averages!$U2+1)), "")</f>
        <v/>
      </c>
      <c r="P2" t="str">
        <f>IFERROR(_xlfn.STDEV.S(INDEX(ipopt_output!P:P, (ROW()-2)*averages!$U2+2):INDEX(ipopt_output!P:P, (ROW()-2)*averages!$U2+averages!$U2+1)), "")</f>
        <v/>
      </c>
      <c r="Q2" t="str">
        <f>IFERROR(_xlfn.STDEV.S(INDEX(ipopt_output!Q:Q, (ROW()-2)*averages!$U2+2):INDEX(ipopt_output!Q:Q, (ROW()-2)*averages!$U2+averages!$U2+1)), "")</f>
        <v/>
      </c>
      <c r="R2">
        <f>IFERROR(_xlfn.STDEV.S(INDEX(ipopt_output!R:R, (ROW()-2)*averages!$U2+2):INDEX(ipopt_output!R:R, (ROW()-2)*averages!$U2+averages!$U2+1)), "")</f>
        <v>0.88417222027787667</v>
      </c>
      <c r="S2">
        <f>IFERROR(_xlfn.STDEV.S(INDEX(ipopt_output!S:S, (ROW()-2)*averages!$U2+2):INDEX(ipopt_output!S:S, (ROW()-2)*averages!$U2+averages!$U2+1)), "")</f>
        <v>0</v>
      </c>
      <c r="T2">
        <f>IFERROR(_xlfn.STDEV.S(INDEX(ipopt_output!T:T, (ROW()-2)*averages!$U2+2):INDEX(ipopt_output!T:T, (ROW()-2)*averages!$U2+averages!$U2+1)), "")</f>
        <v>3880.5534313205035</v>
      </c>
    </row>
    <row r="3" spans="1:20" x14ac:dyDescent="0.25">
      <c r="A3" t="str" cm="1">
        <f t="array" ref="A3">INDEX(ipopt_output!A:A, (ROW()-2)*averages!$U3+2)</f>
        <v>spot_jump_twist_rk1_py</v>
      </c>
      <c r="B3" t="str" cm="1">
        <f t="array" ref="B3">INDEX(ipopt_output!B:B, (ROW()-2)*averages!$U3+2)</f>
        <v>Converged to a point of local infeasibility. Problem may be infeasible.</v>
      </c>
      <c r="C3">
        <f>IFERROR(_xlfn.STDEV.S(INDEX(ipopt_output!C:C, (ROW()-2)*averages!$U3+2):INDEX(ipopt_output!C:C, (ROW()-2)*averages!$U3+averages!$U3+1)), "")</f>
        <v>0</v>
      </c>
      <c r="D3">
        <f>IFERROR(_xlfn.STDEV.S(INDEX(ipopt_output!D:D, (ROW()-2)*averages!$U3+2):INDEX(ipopt_output!D:D, (ROW()-2)*averages!$U3+averages!$U3+1)), "")</f>
        <v>0</v>
      </c>
      <c r="E3">
        <f>IFERROR(_xlfn.STDEV.S(INDEX(ipopt_output!E:E, (ROW()-2)*averages!$U3+2):INDEX(ipopt_output!E:E, (ROW()-2)*averages!$U3+averages!$U3+1)), "")</f>
        <v>0</v>
      </c>
      <c r="F3">
        <f>IFERROR(_xlfn.STDEV.S(INDEX(ipopt_output!F:F, (ROW()-2)*averages!$U3+2):INDEX(ipopt_output!F:F, (ROW()-2)*averages!$U3+averages!$U3+1)), "")</f>
        <v>0</v>
      </c>
      <c r="G3">
        <f>IFERROR(_xlfn.STDEV.S(INDEX(ipopt_output!G:G, (ROW()-2)*averages!$U3+2):INDEX(ipopt_output!G:G, (ROW()-2)*averages!$U3+averages!$U3+1)), "")</f>
        <v>0</v>
      </c>
      <c r="H3">
        <f>IFERROR(_xlfn.STDEV.S(INDEX(ipopt_output!H:H, (ROW()-2)*averages!$U3+2):INDEX(ipopt_output!H:H, (ROW()-2)*averages!$U3+averages!$U3+1)), "")</f>
        <v>0</v>
      </c>
      <c r="I3">
        <f>IFERROR(_xlfn.STDEV.S(INDEX(ipopt_output!I:I, (ROW()-2)*averages!$U3+2):INDEX(ipopt_output!I:I, (ROW()-2)*averages!$U3+averages!$U3+1)), "")</f>
        <v>0.88207757280436816</v>
      </c>
      <c r="J3">
        <f>IFERROR(_xlfn.STDEV.S(INDEX(ipopt_output!J:J, (ROW()-2)*averages!$U3+2):INDEX(ipopt_output!J:J, (ROW()-2)*averages!$U3+averages!$U3+1)), "")</f>
        <v>0.21180336793041485</v>
      </c>
      <c r="K3">
        <f>IFERROR(_xlfn.STDEV.S(INDEX(ipopt_output!K:K, (ROW()-2)*averages!$U3+2):INDEX(ipopt_output!K:K, (ROW()-2)*averages!$U3+averages!$U3+1)), "")</f>
        <v>1.068843749105167</v>
      </c>
      <c r="L3" t="str">
        <f>IFERROR(_xlfn.STDEV.S(INDEX(ipopt_output!L:L, (ROW()-2)*averages!$U3+2):INDEX(ipopt_output!L:L, (ROW()-2)*averages!$U3+averages!$U3+1)), "")</f>
        <v/>
      </c>
      <c r="M3" t="str">
        <f>IFERROR(_xlfn.STDEV.S(INDEX(ipopt_output!M:M, (ROW()-2)*averages!$U3+2):INDEX(ipopt_output!M:M, (ROW()-2)*averages!$U3+averages!$U3+1)), "")</f>
        <v/>
      </c>
      <c r="N3" t="str">
        <f>IFERROR(_xlfn.STDEV.S(INDEX(ipopt_output!N:N, (ROW()-2)*averages!$U3+2):INDEX(ipopt_output!N:N, (ROW()-2)*averages!$U3+averages!$U3+1)), "")</f>
        <v/>
      </c>
      <c r="O3" t="str">
        <f>IFERROR(_xlfn.STDEV.S(INDEX(ipopt_output!O:O, (ROW()-2)*averages!$U3+2):INDEX(ipopt_output!O:O, (ROW()-2)*averages!$U3+averages!$U3+1)), "")</f>
        <v/>
      </c>
      <c r="P3" t="str">
        <f>IFERROR(_xlfn.STDEV.S(INDEX(ipopt_output!P:P, (ROW()-2)*averages!$U3+2):INDEX(ipopt_output!P:P, (ROW()-2)*averages!$U3+averages!$U3+1)), "")</f>
        <v/>
      </c>
      <c r="Q3" t="str">
        <f>IFERROR(_xlfn.STDEV.S(INDEX(ipopt_output!Q:Q, (ROW()-2)*averages!$U3+2):INDEX(ipopt_output!Q:Q, (ROW()-2)*averages!$U3+averages!$U3+1)), "")</f>
        <v/>
      </c>
      <c r="R3">
        <f>IFERROR(_xlfn.STDEV.S(INDEX(ipopt_output!R:R, (ROW()-2)*averages!$U3+2):INDEX(ipopt_output!R:R, (ROW()-2)*averages!$U3+averages!$U3+1)), "")</f>
        <v>1.0688427210461495</v>
      </c>
      <c r="S3">
        <f>IFERROR(_xlfn.STDEV.S(INDEX(ipopt_output!S:S, (ROW()-2)*averages!$U3+2):INDEX(ipopt_output!S:S, (ROW()-2)*averages!$U3+averages!$U3+1)), "")</f>
        <v>0</v>
      </c>
      <c r="T3">
        <f>IFERROR(_xlfn.STDEV.S(INDEX(ipopt_output!T:T, (ROW()-2)*averages!$U3+2):INDEX(ipopt_output!T:T, (ROW()-2)*averages!$U3+averages!$U3+1)), "")</f>
        <v>3880.5534313205035</v>
      </c>
    </row>
    <row r="4" spans="1:20" x14ac:dyDescent="0.25">
      <c r="A4" t="str" cm="1">
        <f t="array" ref="A4">INDEX(ipopt_output!A:A, (ROW()-2)*averages!$U4+2)</f>
        <v>spot_jump_twist_rk4-zero-tol_py</v>
      </c>
      <c r="B4" t="str" cm="1">
        <f t="array" ref="B4">INDEX(ipopt_output!B:B, (ROW()-2)*averages!$U4+2)</f>
        <v>Converged to a point of local infeasibility. Problem may be infeasible.</v>
      </c>
      <c r="C4">
        <f>IFERROR(_xlfn.STDEV.S(INDEX(ipopt_output!C:C, (ROW()-2)*averages!$U4+2):INDEX(ipopt_output!C:C, (ROW()-2)*averages!$U4+averages!$U4+1)), "")</f>
        <v>0</v>
      </c>
      <c r="D4">
        <f>IFERROR(_xlfn.STDEV.S(INDEX(ipopt_output!D:D, (ROW()-2)*averages!$U4+2):INDEX(ipopt_output!D:D, (ROW()-2)*averages!$U4+averages!$U4+1)), "")</f>
        <v>0</v>
      </c>
      <c r="E4">
        <f>IFERROR(_xlfn.STDEV.S(INDEX(ipopt_output!E:E, (ROW()-2)*averages!$U4+2):INDEX(ipopt_output!E:E, (ROW()-2)*averages!$U4+averages!$U4+1)), "")</f>
        <v>0</v>
      </c>
      <c r="F4">
        <f>IFERROR(_xlfn.STDEV.S(INDEX(ipopt_output!F:F, (ROW()-2)*averages!$U4+2):INDEX(ipopt_output!F:F, (ROW()-2)*averages!$U4+averages!$U4+1)), "")</f>
        <v>0</v>
      </c>
      <c r="G4">
        <f>IFERROR(_xlfn.STDEV.S(INDEX(ipopt_output!G:G, (ROW()-2)*averages!$U4+2):INDEX(ipopt_output!G:G, (ROW()-2)*averages!$U4+averages!$U4+1)), "")</f>
        <v>1.9173831849720224E-12</v>
      </c>
      <c r="H4">
        <f>IFERROR(_xlfn.STDEV.S(INDEX(ipopt_output!H:H, (ROW()-2)*averages!$U4+2):INDEX(ipopt_output!H:H, (ROW()-2)*averages!$U4+averages!$U4+1)), "")</f>
        <v>0</v>
      </c>
      <c r="I4">
        <f>IFERROR(_xlfn.STDEV.S(INDEX(ipopt_output!I:I, (ROW()-2)*averages!$U4+2):INDEX(ipopt_output!I:I, (ROW()-2)*averages!$U4+averages!$U4+1)), "")</f>
        <v>0.52910911498060154</v>
      </c>
      <c r="J4">
        <f>IFERROR(_xlfn.STDEV.S(INDEX(ipopt_output!J:J, (ROW()-2)*averages!$U4+2):INDEX(ipopt_output!J:J, (ROW()-2)*averages!$U4+averages!$U4+1)), "")</f>
        <v>0.26120115705035551</v>
      </c>
      <c r="K4">
        <f>IFERROR(_xlfn.STDEV.S(INDEX(ipopt_output!K:K, (ROW()-2)*averages!$U4+2):INDEX(ipopt_output!K:K, (ROW()-2)*averages!$U4+averages!$U4+1)), "")</f>
        <v>0.85295662621970691</v>
      </c>
      <c r="L4" t="str">
        <f>IFERROR(_xlfn.STDEV.S(INDEX(ipopt_output!L:L, (ROW()-2)*averages!$U4+2):INDEX(ipopt_output!L:L, (ROW()-2)*averages!$U4+averages!$U4+1)), "")</f>
        <v/>
      </c>
      <c r="M4" t="str">
        <f>IFERROR(_xlfn.STDEV.S(INDEX(ipopt_output!M:M, (ROW()-2)*averages!$U4+2):INDEX(ipopt_output!M:M, (ROW()-2)*averages!$U4+averages!$U4+1)), "")</f>
        <v/>
      </c>
      <c r="N4" t="str">
        <f>IFERROR(_xlfn.STDEV.S(INDEX(ipopt_output!N:N, (ROW()-2)*averages!$U4+2):INDEX(ipopt_output!N:N, (ROW()-2)*averages!$U4+averages!$U4+1)), "")</f>
        <v/>
      </c>
      <c r="O4" t="str">
        <f>IFERROR(_xlfn.STDEV.S(INDEX(ipopt_output!O:O, (ROW()-2)*averages!$U4+2):INDEX(ipopt_output!O:O, (ROW()-2)*averages!$U4+averages!$U4+1)), "")</f>
        <v/>
      </c>
      <c r="P4" t="str">
        <f>IFERROR(_xlfn.STDEV.S(INDEX(ipopt_output!P:P, (ROW()-2)*averages!$U4+2):INDEX(ipopt_output!P:P, (ROW()-2)*averages!$U4+averages!$U4+1)), "")</f>
        <v/>
      </c>
      <c r="Q4" t="str">
        <f>IFERROR(_xlfn.STDEV.S(INDEX(ipopt_output!Q:Q, (ROW()-2)*averages!$U4+2):INDEX(ipopt_output!Q:Q, (ROW()-2)*averages!$U4+averages!$U4+1)), "")</f>
        <v/>
      </c>
      <c r="R4">
        <f>IFERROR(_xlfn.STDEV.S(INDEX(ipopt_output!R:R, (ROW()-2)*averages!$U4+2):INDEX(ipopt_output!R:R, (ROW()-2)*averages!$U4+averages!$U4+1)), "")</f>
        <v>0.85296181391665971</v>
      </c>
      <c r="S4">
        <f>IFERROR(_xlfn.STDEV.S(INDEX(ipopt_output!S:S, (ROW()-2)*averages!$U4+2):INDEX(ipopt_output!S:S, (ROW()-2)*averages!$U4+averages!$U4+1)), "")</f>
        <v>0</v>
      </c>
      <c r="T4">
        <f>IFERROR(_xlfn.STDEV.S(INDEX(ipopt_output!T:T, (ROW()-2)*averages!$U4+2):INDEX(ipopt_output!T:T, (ROW()-2)*averages!$U4+averages!$U4+1)), "")</f>
        <v>3880.5534313205035</v>
      </c>
    </row>
    <row r="5" spans="1:20" x14ac:dyDescent="0.25">
      <c r="A5" t="str" cm="1">
        <f t="array" ref="A5">INDEX(ipopt_output!A:A, (ROW()-2)*averages!$U5+2)</f>
        <v>spot_jump_twist_rk4_py</v>
      </c>
      <c r="B5" t="str" cm="1">
        <f t="array" ref="B5">INDEX(ipopt_output!B:B, (ROW()-2)*averages!$U5+2)</f>
        <v>Optimal Solution Found.</v>
      </c>
      <c r="C5">
        <f>IFERROR(_xlfn.STDEV.S(INDEX(ipopt_output!C:C, (ROW()-2)*averages!$U5+2):INDEX(ipopt_output!C:C, (ROW()-2)*averages!$U5+averages!$U5+1)), "")</f>
        <v>0</v>
      </c>
      <c r="D5">
        <f>IFERROR(_xlfn.STDEV.S(INDEX(ipopt_output!D:D, (ROW()-2)*averages!$U5+2):INDEX(ipopt_output!D:D, (ROW()-2)*averages!$U5+averages!$U5+1)), "")</f>
        <v>0</v>
      </c>
      <c r="E5">
        <f>IFERROR(_xlfn.STDEV.S(INDEX(ipopt_output!E:E, (ROW()-2)*averages!$U5+2):INDEX(ipopt_output!E:E, (ROW()-2)*averages!$U5+averages!$U5+1)), "")</f>
        <v>0</v>
      </c>
      <c r="F5">
        <f>IFERROR(_xlfn.STDEV.S(INDEX(ipopt_output!F:F, (ROW()-2)*averages!$U5+2):INDEX(ipopt_output!F:F, (ROW()-2)*averages!$U5+averages!$U5+1)), "")</f>
        <v>0</v>
      </c>
      <c r="G5">
        <f>IFERROR(_xlfn.STDEV.S(INDEX(ipopt_output!G:G, (ROW()-2)*averages!$U5+2):INDEX(ipopt_output!G:G, (ROW()-2)*averages!$U5+averages!$U5+1)), "")</f>
        <v>1.9173831849720224E-12</v>
      </c>
      <c r="H5">
        <f>IFERROR(_xlfn.STDEV.S(INDEX(ipopt_output!H:H, (ROW()-2)*averages!$U5+2):INDEX(ipopt_output!H:H, (ROW()-2)*averages!$U5+averages!$U5+1)), "")</f>
        <v>0</v>
      </c>
      <c r="I5">
        <f>IFERROR(_xlfn.STDEV.S(INDEX(ipopt_output!I:I, (ROW()-2)*averages!$U5+2):INDEX(ipopt_output!I:I, (ROW()-2)*averages!$U5+averages!$U5+1)), "")</f>
        <v>0.54055137488391269</v>
      </c>
      <c r="J5">
        <f>IFERROR(_xlfn.STDEV.S(INDEX(ipopt_output!J:J, (ROW()-2)*averages!$U5+2):INDEX(ipopt_output!J:J, (ROW()-2)*averages!$U5+averages!$U5+1)), "")</f>
        <v>0.20598708157983528</v>
      </c>
      <c r="K5">
        <f>IFERROR(_xlfn.STDEV.S(INDEX(ipopt_output!K:K, (ROW()-2)*averages!$U5+2):INDEX(ipopt_output!K:K, (ROW()-2)*averages!$U5+averages!$U5+1)), "")</f>
        <v>1.1225536506248368</v>
      </c>
      <c r="L5" t="str">
        <f>IFERROR(_xlfn.STDEV.S(INDEX(ipopt_output!L:L, (ROW()-2)*averages!$U5+2):INDEX(ipopt_output!L:L, (ROW()-2)*averages!$U5+averages!$U5+1)), "")</f>
        <v/>
      </c>
      <c r="M5" t="str">
        <f>IFERROR(_xlfn.STDEV.S(INDEX(ipopt_output!M:M, (ROW()-2)*averages!$U5+2):INDEX(ipopt_output!M:M, (ROW()-2)*averages!$U5+averages!$U5+1)), "")</f>
        <v/>
      </c>
      <c r="N5" t="str">
        <f>IFERROR(_xlfn.STDEV.S(INDEX(ipopt_output!N:N, (ROW()-2)*averages!$U5+2):INDEX(ipopt_output!N:N, (ROW()-2)*averages!$U5+averages!$U5+1)), "")</f>
        <v/>
      </c>
      <c r="O5" t="str">
        <f>IFERROR(_xlfn.STDEV.S(INDEX(ipopt_output!O:O, (ROW()-2)*averages!$U5+2):INDEX(ipopt_output!O:O, (ROW()-2)*averages!$U5+averages!$U5+1)), "")</f>
        <v/>
      </c>
      <c r="P5" t="str">
        <f>IFERROR(_xlfn.STDEV.S(INDEX(ipopt_output!P:P, (ROW()-2)*averages!$U5+2):INDEX(ipopt_output!P:P, (ROW()-2)*averages!$U5+averages!$U5+1)), "")</f>
        <v/>
      </c>
      <c r="Q5" t="str">
        <f>IFERROR(_xlfn.STDEV.S(INDEX(ipopt_output!Q:Q, (ROW()-2)*averages!$U5+2):INDEX(ipopt_output!Q:Q, (ROW()-2)*averages!$U5+averages!$U5+1)), "")</f>
        <v/>
      </c>
      <c r="R5">
        <f>IFERROR(_xlfn.STDEV.S(INDEX(ipopt_output!R:R, (ROW()-2)*averages!$U5+2):INDEX(ipopt_output!R:R, (ROW()-2)*averages!$U5+averages!$U5+1)), "")</f>
        <v>1.12257900098142</v>
      </c>
      <c r="S5">
        <f>IFERROR(_xlfn.STDEV.S(INDEX(ipopt_output!S:S, (ROW()-2)*averages!$U5+2):INDEX(ipopt_output!S:S, (ROW()-2)*averages!$U5+averages!$U5+1)), "")</f>
        <v>0</v>
      </c>
      <c r="T5">
        <f>IFERROR(_xlfn.STDEV.S(INDEX(ipopt_output!T:T, (ROW()-2)*averages!$U5+2):INDEX(ipopt_output!T:T, (ROW()-2)*averages!$U5+averages!$U5+1)), "")</f>
        <v>3880.5534313205035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3F5E-D816-42EF-BB38-36F4137B25B1}">
  <dimension ref="A1:A2"/>
  <sheetViews>
    <sheetView workbookViewId="0">
      <selection activeCell="A2" sqref="A1:A2"/>
    </sheetView>
  </sheetViews>
  <sheetFormatPr defaultRowHeight="15" x14ac:dyDescent="0.25"/>
  <cols>
    <col min="1" max="1" width="86.42578125" bestFit="1" customWidth="1"/>
  </cols>
  <sheetData>
    <row r="1" spans="1:1" ht="30" x14ac:dyDescent="0.25">
      <c r="A1" s="1" t="s">
        <v>1</v>
      </c>
    </row>
    <row r="2" spans="1:1" x14ac:dyDescent="0.25">
      <c r="A2" t="str" cm="1">
        <f t="array" aca="1" ref="A2" ca="1">LEFT(CELL("filename"),FIND("[",CELL("filename"))-1)</f>
        <v>C:\Users\nr\Documents\Sync\IIT\Research Papers\TRO 2026\code\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B609-78C8-414B-8E33-56CB8BFB79AE}">
  <dimension ref="A1:U4"/>
  <sheetViews>
    <sheetView tabSelected="1" workbookViewId="0">
      <selection activeCell="A4" sqref="A4"/>
    </sheetView>
  </sheetViews>
  <sheetFormatPr defaultRowHeight="15" x14ac:dyDescent="0.25"/>
  <cols>
    <col min="1" max="1" width="6.140625" bestFit="1" customWidth="1"/>
    <col min="2" max="2" width="7.85546875" bestFit="1" customWidth="1"/>
    <col min="3" max="3" width="11.140625" bestFit="1" customWidth="1"/>
    <col min="4" max="4" width="5.42578125" bestFit="1" customWidth="1"/>
    <col min="5" max="5" width="11.140625" bestFit="1" customWidth="1"/>
    <col min="6" max="6" width="12" bestFit="1" customWidth="1"/>
    <col min="7" max="7" width="9.7109375" bestFit="1" customWidth="1"/>
    <col min="8" max="8" width="13.5703125" bestFit="1" customWidth="1"/>
    <col min="9" max="9" width="13.85546875" bestFit="1" customWidth="1"/>
    <col min="10" max="10" width="17.28515625" bestFit="1" customWidth="1"/>
    <col min="11" max="11" width="9.85546875" bestFit="1" customWidth="1"/>
    <col min="12" max="12" width="13.7109375" bestFit="1" customWidth="1"/>
    <col min="13" max="13" width="14" bestFit="1" customWidth="1"/>
    <col min="14" max="14" width="18" bestFit="1" customWidth="1"/>
    <col min="15" max="16" width="9.42578125" bestFit="1" customWidth="1"/>
    <col min="17" max="17" width="10.42578125" bestFit="1" customWidth="1"/>
    <col min="18" max="18" width="12.140625" bestFit="1" customWidth="1"/>
    <col min="19" max="19" width="6" bestFit="1" customWidth="1"/>
    <col min="21" max="21" width="9.85546875" bestFit="1" customWidth="1"/>
  </cols>
  <sheetData>
    <row r="1" spans="1:2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U1" t="s">
        <v>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28</v>
      </c>
      <c r="F2">
        <f>averages!G2</f>
        <v>16947.152891601992</v>
      </c>
      <c r="G2">
        <f>IFERROR(AVERAGE(INDEX(ipopt_output!R:R, (ROW()-2)*$U2+2):INDEX(ipopt_output!R:R, (ROW()-2)*$U2 + $U2+1)), "")</f>
        <v>67.31362</v>
      </c>
      <c r="H2">
        <f>IFERROR(MIN(INDEX(ipopt_output!R:R, (ROW()-2)*$U2+2):INDEX(ipopt_output!R:R, (ROW()-2)*$U2 + $U2+1)), "")</f>
        <v>66.008600000000001</v>
      </c>
      <c r="I2">
        <f>IFERROR(MAX(INDEX(ipopt_output!R:R, (ROW()-2)*$U2+2):INDEX(ipopt_output!R:R, (ROW()-2)*$U2 + $U2+1)), "")</f>
        <v>68.869</v>
      </c>
      <c r="J2">
        <f>IFERROR(_xlfn.STDEV.S(INDEX(ipopt_output!R:R, (ROW()-2)*$U2+2):INDEX(ipopt_output!R:R, (ROW()-2)*$U2 + $U2+1)), "")</f>
        <v>0.88417222027787667</v>
      </c>
      <c r="K2">
        <f>IFERROR(AVERAGE(INDEX(ipopt_output!J:J, (ROW()-2)*$U2+2):INDEX(ipopt_output!J:J, (ROW()-2)*$U2 + $U2+1)), "")</f>
        <v>12.74</v>
      </c>
      <c r="L2">
        <f>IFERROR(MIN(INDEX(ipopt_output!J:J, (ROW()-2)*$U2+2):INDEX(ipopt_output!J:J, (ROW()-2)*$U2 + $U2+1)), "")</f>
        <v>12.449</v>
      </c>
      <c r="M2">
        <f>IFERROR(MAX(INDEX(ipopt_output!J:J, (ROW()-2)*$U2+2):INDEX(ipopt_output!J:J, (ROW()-2)*$U2 + $U2+1)), "")</f>
        <v>13.194000000000001</v>
      </c>
      <c r="N2">
        <f>IFERROR(_xlfn.STDEV.S(INDEX(ipopt_output!J:J, (ROW()-2)*$U2+2):INDEX(ipopt_output!J:J, (ROW()-2)*$U2 + $U2+1)), "")</f>
        <v>0.24093475373128637</v>
      </c>
      <c r="O2">
        <f>averages!F2</f>
        <v>493</v>
      </c>
      <c r="P2">
        <f>averages!C2</f>
        <v>8950</v>
      </c>
      <c r="Q2">
        <f>averages!D2</f>
        <v>8337</v>
      </c>
      <c r="R2">
        <f>averages!E2</f>
        <v>1180</v>
      </c>
      <c r="S2">
        <v>1.1000000000000001</v>
      </c>
      <c r="U2">
        <f>COUNTIF(ipopt_output!A:A, ipopt_output!A2)</f>
        <v>10</v>
      </c>
    </row>
    <row r="3" spans="1:21" x14ac:dyDescent="0.25">
      <c r="A3" t="s">
        <v>21</v>
      </c>
      <c r="B3" t="s">
        <v>22</v>
      </c>
      <c r="C3" t="s">
        <v>23</v>
      </c>
      <c r="D3" t="s">
        <v>25</v>
      </c>
      <c r="E3" t="s">
        <v>28</v>
      </c>
      <c r="F3">
        <f>averages!G3</f>
        <v>19921.461898401179</v>
      </c>
      <c r="G3">
        <f>IFERROR(AVERAGE(INDEX(ipopt_output!R:R, (ROW()-2)*$U3+2):INDEX(ipopt_output!R:R, (ROW()-2)*$U3 + $U3+1)), "")</f>
        <v>65.095769999999987</v>
      </c>
      <c r="H3">
        <f>IFERROR(MIN(INDEX(ipopt_output!R:R, (ROW()-2)*$U3+2):INDEX(ipopt_output!R:R, (ROW()-2)*$U3 + $U3+1)), "")</f>
        <v>63.828400000000002</v>
      </c>
      <c r="I3">
        <f>IFERROR(MAX(INDEX(ipopt_output!R:R, (ROW()-2)*$U3+2):INDEX(ipopt_output!R:R, (ROW()-2)*$U3 + $U3+1)), "")</f>
        <v>66.660600000000002</v>
      </c>
      <c r="J3">
        <f>IFERROR(_xlfn.STDEV.S(INDEX(ipopt_output!R:R, (ROW()-2)*$U3+2):INDEX(ipopt_output!R:R, (ROW()-2)*$U3 + $U3+1)), "")</f>
        <v>1.0688427210461495</v>
      </c>
      <c r="K3">
        <f>IFERROR(AVERAGE(INDEX(ipopt_output!J:J, (ROW()-2)*$U3+2):INDEX(ipopt_output!J:J, (ROW()-2)*$U3 + $U3+1)), "")</f>
        <v>9.0190000000000019</v>
      </c>
      <c r="L3">
        <f>IFERROR(MIN(INDEX(ipopt_output!J:J, (ROW()-2)*$U3+2):INDEX(ipopt_output!J:J, (ROW()-2)*$U3 + $U3+1)), "")</f>
        <v>8.734</v>
      </c>
      <c r="M3">
        <f>IFERROR(MAX(INDEX(ipopt_output!J:J, (ROW()-2)*$U3+2):INDEX(ipopt_output!J:J, (ROW()-2)*$U3 + $U3+1)), "")</f>
        <v>9.3819999999999997</v>
      </c>
      <c r="N3">
        <f>IFERROR(_xlfn.STDEV.S(INDEX(ipopt_output!J:J, (ROW()-2)*$U3+2):INDEX(ipopt_output!J:J, (ROW()-2)*$U3 + $U3+1)), "")</f>
        <v>0.21180336793041485</v>
      </c>
      <c r="O3">
        <f>averages!F3</f>
        <v>398</v>
      </c>
      <c r="P3">
        <f>averages!C3</f>
        <v>3400</v>
      </c>
      <c r="Q3">
        <f>averages!D3</f>
        <v>2787</v>
      </c>
      <c r="R3">
        <f>averages!E3</f>
        <v>1180</v>
      </c>
      <c r="S3">
        <v>2.1</v>
      </c>
      <c r="U3" cm="1">
        <f t="array" ref="U3">COUNTIF(ipopt_output!A:A,INDEX(ipopt_output!A:A,SUM(U$2:U2)+2))</f>
        <v>10</v>
      </c>
    </row>
    <row r="4" spans="1:21" x14ac:dyDescent="0.25">
      <c r="A4" t="s">
        <v>21</v>
      </c>
      <c r="B4" t="s">
        <v>22</v>
      </c>
      <c r="C4" t="s">
        <v>23</v>
      </c>
      <c r="D4" t="s">
        <v>26</v>
      </c>
      <c r="E4" t="s">
        <v>27</v>
      </c>
      <c r="F4">
        <f>averages!G5</f>
        <v>13127.37489131594</v>
      </c>
      <c r="G4">
        <f>IFERROR(AVERAGE(INDEX(ipopt_output!R:R, (ROW()-2)*$U4+2):INDEX(ipopt_output!R:R, (ROW()-2)*$U4 + $U4+1)), "")</f>
        <v>43.196540000000006</v>
      </c>
      <c r="H4">
        <f>IFERROR(MIN(INDEX(ipopt_output!R:R, (ROW()-2)*$U4+2):INDEX(ipopt_output!R:R, (ROW()-2)*$U4 + $U4+1)), "")</f>
        <v>41.409500000000001</v>
      </c>
      <c r="I4">
        <f>IFERROR(MAX(INDEX(ipopt_output!R:R, (ROW()-2)*$U4+2):INDEX(ipopt_output!R:R, (ROW()-2)*$U4 + $U4+1)), "")</f>
        <v>44.3583</v>
      </c>
      <c r="J4">
        <f>IFERROR(_xlfn.STDEV.S(INDEX(ipopt_output!R:R, (ROW()-2)*$U4+2):INDEX(ipopt_output!R:R, (ROW()-2)*$U4 + $U4+1)), "")</f>
        <v>0.85296181391665971</v>
      </c>
      <c r="K4">
        <f>IFERROR(AVERAGE(INDEX(ipopt_output!J:J, (ROW()-2)*$U4+2):INDEX(ipopt_output!J:J, (ROW()-2)*$U4 + $U4+1)), "")</f>
        <v>9.1204000000000001</v>
      </c>
      <c r="L4">
        <f>IFERROR(MIN(INDEX(ipopt_output!J:J, (ROW()-2)*$U4+2):INDEX(ipopt_output!J:J, (ROW()-2)*$U4 + $U4+1)), "")</f>
        <v>8.6869999999999994</v>
      </c>
      <c r="M4">
        <f>IFERROR(MAX(INDEX(ipopt_output!J:J, (ROW()-2)*$U4+2):INDEX(ipopt_output!J:J, (ROW()-2)*$U4 + $U4+1)), "")</f>
        <v>9.4830000000000005</v>
      </c>
      <c r="N4">
        <f>IFERROR(_xlfn.STDEV.S(INDEX(ipopt_output!J:J, (ROW()-2)*$U4+2):INDEX(ipopt_output!J:J, (ROW()-2)*$U4 + $U4+1)), "")</f>
        <v>0.26120115705035551</v>
      </c>
      <c r="O4">
        <f>averages!F5</f>
        <v>330</v>
      </c>
      <c r="P4">
        <f>averages!C5</f>
        <v>3400</v>
      </c>
      <c r="Q4">
        <f>averages!D5</f>
        <v>2787</v>
      </c>
      <c r="R4">
        <f>averages!E5</f>
        <v>1180</v>
      </c>
      <c r="S4">
        <v>3.1</v>
      </c>
      <c r="U4" cm="1">
        <f t="array" ref="U4">COUNTIF(ipopt_output!A:A,INDEX(ipopt_output!A:A,SUM(U$2:U3)+2))</f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44D66-A883-4D6B-A2F1-938F4E620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ipopt_output</vt:lpstr>
      <vt:lpstr>averages</vt:lpstr>
      <vt:lpstr>std. dev</vt:lpstr>
      <vt:lpstr>csv</vt:lpstr>
      <vt:lpstr>table_hn</vt:lpstr>
      <vt:lpstr>CSVPath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Rosa</cp:lastModifiedBy>
  <dcterms:created xsi:type="dcterms:W3CDTF">2026-04-25T03:22:11Z</dcterms:created>
  <dcterms:modified xsi:type="dcterms:W3CDTF">2026-06-23T06:02:11Z</dcterms:modified>
</cp:coreProperties>
</file>