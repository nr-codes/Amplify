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\Documents\Sync\IIT\Research Papers\TRO 2026\code\TROPIC Benchmark\"/>
    </mc:Choice>
  </mc:AlternateContent>
  <xr:revisionPtr revIDLastSave="0" documentId="13_ncr:1_{6B0D7D7C-1DB9-40D8-B668-699F0263FDEF}" xr6:coauthVersionLast="47" xr6:coauthVersionMax="47" xr10:uidLastSave="{00000000-0000-0000-0000-000000000000}"/>
  <bookViews>
    <workbookView xWindow="-120" yWindow="-120" windowWidth="51840" windowHeight="21120" activeTab="3" xr2:uid="{E8976037-6B5A-4F39-9404-1BF68DCEDC63}"/>
  </bookViews>
  <sheets>
    <sheet name="tropic_demos" sheetId="2" r:id="rId1"/>
    <sheet name="averages" sheetId="1" r:id="rId2"/>
    <sheet name="std. dev" sheetId="3" r:id="rId3"/>
    <sheet name="table_tc" sheetId="4" r:id="rId4"/>
  </sheets>
  <definedNames>
    <definedName name="ExternalData_1" localSheetId="0" hidden="1">tropic_demos!$A$1:$U$31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3" l="1"/>
  <c r="B4" i="3" s="1" a="1"/>
  <c r="B4" i="3" s="1"/>
  <c r="C4" i="1"/>
  <c r="X4" i="1" s="1"/>
  <c r="G4" i="4" s="1"/>
  <c r="I4" i="3" l="1"/>
  <c r="L4" i="3"/>
  <c r="M4" i="3"/>
  <c r="O4" i="3"/>
  <c r="Q4" i="3"/>
  <c r="S4" i="3"/>
  <c r="J4" i="3"/>
  <c r="H4" i="3"/>
  <c r="K4" i="3"/>
  <c r="N4" i="3"/>
  <c r="P4" i="3"/>
  <c r="X4" i="3" s="1"/>
  <c r="M4" i="4" s="1"/>
  <c r="R4" i="3"/>
  <c r="W4" i="3" s="1"/>
  <c r="I4" i="4" s="1"/>
  <c r="T4" i="3"/>
  <c r="U4" i="3"/>
  <c r="U4" i="1"/>
  <c r="Q4" i="4" s="1"/>
  <c r="AB4" i="1"/>
  <c r="L4" i="4" s="1"/>
  <c r="Z4" i="1"/>
  <c r="J4" i="4" s="1"/>
  <c r="AA4" i="1"/>
  <c r="K4" i="4" s="1"/>
  <c r="Y4" i="1"/>
  <c r="H4" i="4" s="1"/>
  <c r="E4" i="3"/>
  <c r="F4" i="3"/>
  <c r="G4" i="3"/>
  <c r="D4" i="3" a="1"/>
  <c r="D4" i="3" s="1"/>
  <c r="A4" i="3" a="1"/>
  <c r="A4" i="3" s="1"/>
  <c r="A4" i="1" a="1"/>
  <c r="A4" i="1" s="1"/>
  <c r="R4" i="1"/>
  <c r="W4" i="1" s="1"/>
  <c r="F4" i="4" s="1"/>
  <c r="D4" i="1" a="1"/>
  <c r="D4" i="1" s="1"/>
  <c r="E4" i="1"/>
  <c r="E4" i="4" s="1"/>
  <c r="F4" i="1"/>
  <c r="N4" i="4" s="1"/>
  <c r="G4" i="1"/>
  <c r="H4" i="1"/>
  <c r="I4" i="1"/>
  <c r="J4" i="1"/>
  <c r="K4" i="1"/>
  <c r="L4" i="1"/>
  <c r="M4" i="1"/>
  <c r="N4" i="1"/>
  <c r="O4" i="1"/>
  <c r="P4" i="1"/>
  <c r="Q4" i="1"/>
  <c r="S4" i="1"/>
  <c r="O4" i="4" s="1"/>
  <c r="B4" i="1" a="1"/>
  <c r="B4" i="1" s="1"/>
  <c r="T4" i="1"/>
  <c r="P4" i="4" s="1"/>
  <c r="C3" i="3"/>
  <c r="C2" i="3"/>
  <c r="B2" i="3" s="1" a="1"/>
  <c r="B2" i="3" s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  <c r="C3" i="1"/>
  <c r="C2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  <c r="T3" i="3" l="1"/>
  <c r="AB3" i="1"/>
  <c r="L3" i="4" s="1"/>
  <c r="Z3" i="1"/>
  <c r="J3" i="4" s="1"/>
  <c r="AA3" i="1"/>
  <c r="K3" i="4" s="1"/>
  <c r="X3" i="1"/>
  <c r="G3" i="4" s="1"/>
  <c r="Y3" i="1"/>
  <c r="H3" i="4" s="1"/>
  <c r="Q2" i="3"/>
  <c r="AB2" i="1"/>
  <c r="L2" i="4" s="1"/>
  <c r="Z2" i="1"/>
  <c r="J2" i="4" s="1"/>
  <c r="AA2" i="1"/>
  <c r="K2" i="4" s="1"/>
  <c r="Y2" i="1"/>
  <c r="H2" i="4" s="1"/>
  <c r="X2" i="1"/>
  <c r="G2" i="4" s="1"/>
  <c r="S3" i="1"/>
  <c r="O3" i="4" s="1"/>
  <c r="R2" i="3"/>
  <c r="W2" i="3" s="1"/>
  <c r="I2" i="4" s="1"/>
  <c r="R2" i="1"/>
  <c r="W2" i="1" s="1"/>
  <c r="F2" i="4" s="1"/>
  <c r="U3" i="1"/>
  <c r="Q3" i="4" s="1"/>
  <c r="T2" i="3"/>
  <c r="A2" i="1" a="1"/>
  <c r="A2" i="1" s="1"/>
  <c r="S2" i="1"/>
  <c r="O2" i="4" s="1"/>
  <c r="U2" i="3"/>
  <c r="F3" i="3"/>
  <c r="B3" i="1" a="1"/>
  <c r="B3" i="1" s="1"/>
  <c r="E3" i="1"/>
  <c r="E3" i="4" s="1"/>
  <c r="D2" i="1" a="1"/>
  <c r="D2" i="1" s="1"/>
  <c r="F2" i="3"/>
  <c r="H3" i="1"/>
  <c r="G2" i="3"/>
  <c r="J3" i="3"/>
  <c r="G3" i="3"/>
  <c r="F3" i="1"/>
  <c r="N3" i="4" s="1"/>
  <c r="E2" i="3"/>
  <c r="H3" i="3"/>
  <c r="F2" i="1"/>
  <c r="N2" i="4" s="1"/>
  <c r="K3" i="3"/>
  <c r="J2" i="1"/>
  <c r="N3" i="1"/>
  <c r="P3" i="3"/>
  <c r="X3" i="3" s="1"/>
  <c r="M3" i="4" s="1"/>
  <c r="O3" i="1"/>
  <c r="Q3" i="3"/>
  <c r="M2" i="1"/>
  <c r="P3" i="1"/>
  <c r="O2" i="3"/>
  <c r="P2" i="1"/>
  <c r="U3" i="3"/>
  <c r="Q2" i="1"/>
  <c r="T3" i="1"/>
  <c r="P3" i="4" s="1"/>
  <c r="S2" i="3"/>
  <c r="A3" i="1" a="1"/>
  <c r="A3" i="1" s="1"/>
  <c r="T2" i="1"/>
  <c r="P2" i="4" s="1"/>
  <c r="E3" i="3"/>
  <c r="B2" i="1" a="1"/>
  <c r="B2" i="1" s="1"/>
  <c r="U2" i="1"/>
  <c r="Q2" i="4" s="1"/>
  <c r="D3" i="1" a="1"/>
  <c r="D3" i="1" s="1"/>
  <c r="G3" i="1"/>
  <c r="I3" i="3"/>
  <c r="E2" i="1"/>
  <c r="E2" i="4" s="1"/>
  <c r="I3" i="1"/>
  <c r="H2" i="3"/>
  <c r="G2" i="1"/>
  <c r="J3" i="1"/>
  <c r="I2" i="3"/>
  <c r="L3" i="3"/>
  <c r="H2" i="1"/>
  <c r="K3" i="1"/>
  <c r="J2" i="3"/>
  <c r="M3" i="3"/>
  <c r="I2" i="1"/>
  <c r="L3" i="1"/>
  <c r="K2" i="3"/>
  <c r="N3" i="3"/>
  <c r="O3" i="3"/>
  <c r="M3" i="1"/>
  <c r="L2" i="3"/>
  <c r="K2" i="1"/>
  <c r="M2" i="3"/>
  <c r="L2" i="1"/>
  <c r="N2" i="3"/>
  <c r="R3" i="3"/>
  <c r="W3" i="3" s="1"/>
  <c r="I3" i="4" s="1"/>
  <c r="N2" i="1"/>
  <c r="Q3" i="1"/>
  <c r="P2" i="3"/>
  <c r="X2" i="3" s="1"/>
  <c r="M2" i="4" s="1"/>
  <c r="S3" i="3"/>
  <c r="O2" i="1"/>
  <c r="R3" i="1"/>
  <c r="W3" i="1" s="1"/>
  <c r="F3" i="4" s="1"/>
  <c r="D3" i="3" a="1"/>
  <c r="D3" i="3" s="1"/>
  <c r="A2" i="3" a="1"/>
  <c r="A2" i="3" s="1"/>
  <c r="A3" i="3" a="1"/>
  <c r="A3" i="3" s="1"/>
  <c r="D2" i="3" a="1"/>
  <c r="D2" i="3" s="1"/>
  <c r="B3" i="3" a="1"/>
  <c r="B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54E3E8-D22A-4BC3-8365-F5777D04D119}" keepAlive="1" name="Query - tropic_demos" description="Connection to the 'tropic_demos' query in the workbook." type="5" refreshedVersion="8" background="1" saveData="1">
    <dbPr connection="Provider=Microsoft.Mashup.OleDb.1;Data Source=$Workbook$;Location=tropic_demos;Extended Properties=&quot;&quot;" command="SELECT * FROM [tropic_dem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<sst xmlns="http://schemas.openxmlformats.org/spreadsheetml/2006/main" count="153" uniqueCount="59">
  <si>
    <t>DEMO_LABEL</t>
  </si>
  <si>
    <t>DEMO_NAME</t>
  </si>
  <si>
    <t>NUMBER</t>
  </si>
  <si>
    <t>EXIT</t>
  </si>
  <si>
    <t>Objective</t>
  </si>
  <si>
    <t>Iterations</t>
  </si>
  <si>
    <t>ObjFuncEvals</t>
  </si>
  <si>
    <t>ObjGradEvals</t>
  </si>
  <si>
    <t>EqEvals</t>
  </si>
  <si>
    <t>IneqEvals</t>
  </si>
  <si>
    <t>EqJacEvals</t>
  </si>
  <si>
    <t>IneqJacEvals</t>
  </si>
  <si>
    <t>HessEvals</t>
  </si>
  <si>
    <t>ConstraintViolation</t>
  </si>
  <si>
    <t>CPU_IPOPT</t>
  </si>
  <si>
    <t>CPU_NLP</t>
  </si>
  <si>
    <t>TROPIC_Elapsed</t>
  </si>
  <si>
    <t>Elapsed</t>
  </si>
  <si>
    <t>NumVariables</t>
  </si>
  <si>
    <t>NumEqConstraints</t>
  </si>
  <si>
    <t>NumIneqConstraints</t>
  </si>
  <si>
    <t>planar 7-DOF biped</t>
  </si>
  <si>
    <t>Amplify_main</t>
  </si>
  <si>
    <t>Optimal Solution Found.</t>
  </si>
  <si>
    <t>planar 7-DOF biped (zero tol)</t>
  </si>
  <si>
    <t>Amplify_main_zero_tol</t>
  </si>
  <si>
    <t>avg. elapsed time</t>
  </si>
  <si>
    <t>planar 7-DOF biped (zero tol, no opts)</t>
  </si>
  <si>
    <t>Amplify_main_zero_tol_no_opts</t>
  </si>
  <si>
    <t>Restoration Failed!</t>
  </si>
  <si>
    <t>min elapsed time</t>
  </si>
  <si>
    <t>max elapsed time</t>
  </si>
  <si>
    <t>Demo</t>
  </si>
  <si>
    <t>Library</t>
  </si>
  <si>
    <t>Solver</t>
  </si>
  <si>
    <t>ODE</t>
  </si>
  <si>
    <t>Wall Time</t>
  </si>
  <si>
    <t>Wall Time Min</t>
  </si>
  <si>
    <t>Wall Time Max</t>
  </si>
  <si>
    <t>Wall Time Std. Dev</t>
  </si>
  <si>
    <t>Eval. Time</t>
  </si>
  <si>
    <t>Eval. Time Min</t>
  </si>
  <si>
    <t>Eval. Time Max</t>
  </si>
  <si>
    <t>Eval. Time Std. Dev.</t>
  </si>
  <si>
    <t>Variables</t>
  </si>
  <si>
    <t>Eq. Constr.</t>
  </si>
  <si>
    <t>Ineq. Constr.</t>
  </si>
  <si>
    <t>Order</t>
  </si>
  <si>
    <t>Note</t>
  </si>
  <si>
    <t>TROPIC</t>
  </si>
  <si>
    <t>HS</t>
  </si>
  <si>
    <t>eval. Time</t>
  </si>
  <si>
    <t>eval. Time min</t>
  </si>
  <si>
    <t>eval. Time max</t>
  </si>
  <si>
    <t>TROPIC defaults with $\epsilon$ constraints</t>
  </si>
  <si>
    <t>TROPIC defaults with equality constraints</t>
  </si>
  <si>
    <t>Ipopt defaults with equality constraints</t>
  </si>
  <si>
    <t>Ipopt 3.12.3</t>
  </si>
  <si>
    <t>Five-Link Biped (7 DOF)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</si>
</sst>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BCFC7C-5F1F-4435-ACEE-F65D274A7524}" autoFormatId="16" applyNumberFormats="0" applyBorderFormats="0" applyFontFormats="0" applyPatternFormats="0" applyAlignmentFormats="0" applyWidthHeightFormats="0">
  <queryTableRefresh nextId="22">
    <queryTableFields count="21">
      <queryTableField id="1" name="DEMO_LABEL" tableColumnId="1"/>
      <queryTableField id="2" name="DEMO_NAME" tableColumnId="2"/>
      <queryTableField id="3" name="NUMBER" tableColumnId="3"/>
      <queryTableField id="4" name="EXIT" tableColumnId="4"/>
      <queryTableField id="5" name="Objective" tableColumnId="5"/>
      <queryTableField id="6" name="Iterations" tableColumnId="6"/>
      <queryTableField id="7" name="ObjFuncEvals" tableColumnId="7"/>
      <queryTableField id="8" name="ObjGradEvals" tableColumnId="8"/>
      <queryTableField id="9" name="EqEvals" tableColumnId="9"/>
      <queryTableField id="10" name="IneqEvals" tableColumnId="10"/>
      <queryTableField id="11" name="EqJacEvals" tableColumnId="11"/>
      <queryTableField id="12" name="IneqJacEvals" tableColumnId="12"/>
      <queryTableField id="13" name="HessEvals" tableColumnId="13"/>
      <queryTableField id="14" name="ConstraintViolation" tableColumnId="14"/>
      <queryTableField id="15" name="CPU_IPOPT" tableColumnId="15"/>
      <queryTableField id="16" name="CPU_NLP" tableColumnId="16"/>
      <queryTableField id="17" name="TROPIC_Elapsed" tableColumnId="17"/>
      <queryTableField id="18" name="Elapsed" tableColumnId="18"/>
      <queryTableField id="19" name="NumVariables" tableColumnId="19"/>
      <queryTableField id="20" name="NumEqConstraints" tableColumnId="20"/>
      <queryTableField id="21" name="NumIneqConstraint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1BD5D-C3E5-45A3-9D55-3E0B4BC86A6A}" name="tropic_demos" displayName="tropic_demos" ref="A1:U31" tableType="queryTable" totalsRowShown="0">
  <autoFilter ref="A1:U31" xr:uid="{4041BD5D-C3E5-45A3-9D55-3E0B4BC86A6A}"/>
  <tableColumns count="21">
    <tableColumn id="1" xr3:uid="{903B9C0B-F1C3-4A06-B53A-4D5953C63AC3}" uniqueName="1" name="DEMO_LABEL" queryTableFieldId="1" dataDxfId="2"/>
    <tableColumn id="2" xr3:uid="{F03D0323-588F-4E93-BE33-35708D487228}" uniqueName="2" name="DEMO_NAME" queryTableFieldId="2" dataDxfId="1"/>
    <tableColumn id="3" xr3:uid="{ECD92BC2-2F69-4A5E-80FC-A924128B72C4}" uniqueName="3" name="NUMBER" queryTableFieldId="3"/>
    <tableColumn id="4" xr3:uid="{A00706FB-941F-404D-A7DC-60E9080D8517}" uniqueName="4" name="EXIT" queryTableFieldId="4" dataDxfId="0"/>
    <tableColumn id="5" xr3:uid="{DB38891F-2E6D-49FF-9BEF-0F1432D2D27C}" uniqueName="5" name="Objective" queryTableFieldId="5"/>
    <tableColumn id="6" xr3:uid="{773C5EF9-1D7A-4C68-BA6E-6D91AE6B50BB}" uniqueName="6" name="Iterations" queryTableFieldId="6"/>
    <tableColumn id="7" xr3:uid="{F9107D46-F5D4-4689-88C2-92B34DE00421}" uniqueName="7" name="ObjFuncEvals" queryTableFieldId="7"/>
    <tableColumn id="8" xr3:uid="{7AF8127A-6220-468E-8B57-4917F87305FF}" uniqueName="8" name="ObjGradEvals" queryTableFieldId="8"/>
    <tableColumn id="9" xr3:uid="{3AC5E0F5-930D-4FB4-884D-B411E9874BCF}" uniqueName="9" name="EqEvals" queryTableFieldId="9"/>
    <tableColumn id="10" xr3:uid="{404B1E0C-D655-4C2E-B432-FFD55CFA1AC0}" uniqueName="10" name="IneqEvals" queryTableFieldId="10"/>
    <tableColumn id="11" xr3:uid="{9323DBFB-C848-4F3E-A9DF-C7D19EBA8646}" uniqueName="11" name="EqJacEvals" queryTableFieldId="11"/>
    <tableColumn id="12" xr3:uid="{373E2C56-55E1-4806-9F91-1B887633E174}" uniqueName="12" name="IneqJacEvals" queryTableFieldId="12"/>
    <tableColumn id="13" xr3:uid="{E6AAD78E-61DB-4055-86FC-C67B427BBD2D}" uniqueName="13" name="HessEvals" queryTableFieldId="13"/>
    <tableColumn id="14" xr3:uid="{6A101B4C-1021-4A88-AFBC-1C94126755B6}" uniqueName="14" name="ConstraintViolation" queryTableFieldId="14"/>
    <tableColumn id="15" xr3:uid="{4B4D43E3-E08B-4826-9121-7EAB45EA6CED}" uniqueName="15" name="CPU_IPOPT" queryTableFieldId="15"/>
    <tableColumn id="16" xr3:uid="{6E4E8C3E-513E-44C9-B0FF-03DA5893FF37}" uniqueName="16" name="CPU_NLP" queryTableFieldId="16"/>
    <tableColumn id="17" xr3:uid="{2A0BBCE9-E56C-4814-8A01-30F88194E9FE}" uniqueName="17" name="TROPIC_Elapsed" queryTableFieldId="17"/>
    <tableColumn id="18" xr3:uid="{1605EDED-353C-4A43-80F8-0703DC02B81A}" uniqueName="18" name="Elapsed" queryTableFieldId="18"/>
    <tableColumn id="19" xr3:uid="{04A4B3EC-2758-4F7A-ACCA-760689A9DBAC}" uniqueName="19" name="NumVariables" queryTableFieldId="19"/>
    <tableColumn id="20" xr3:uid="{F458120A-31F5-4316-84B1-CB0972BB7BC8}" uniqueName="20" name="NumEqConstraints" queryTableFieldId="20"/>
    <tableColumn id="21" xr3:uid="{2CC491EC-7384-4F31-84AD-B86C0B963710}" uniqueName="21" name="NumIneqConstraints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D4BA-16A1-4CB0-B47F-374E89DECC58}">
  <dimension ref="A1:U31"/>
  <sheetViews>
    <sheetView workbookViewId="0">
      <selection activeCell="A12" sqref="A12"/>
    </sheetView>
  </sheetViews>
  <sheetFormatPr defaultRowHeight="15" x14ac:dyDescent="0.25"/>
  <cols>
    <col min="1" max="1" width="34.85546875" bestFit="1" customWidth="1"/>
    <col min="2" max="2" width="29.140625" bestFit="1" customWidth="1"/>
    <col min="3" max="3" width="11.140625" bestFit="1" customWidth="1"/>
    <col min="4" max="4" width="22.85546875" bestFit="1" customWidth="1"/>
    <col min="5" max="6" width="12" bestFit="1" customWidth="1"/>
    <col min="7" max="8" width="15.5703125" bestFit="1" customWidth="1"/>
    <col min="9" max="9" width="10.28515625" bestFit="1" customWidth="1"/>
    <col min="10" max="10" width="12" bestFit="1" customWidth="1"/>
    <col min="11" max="11" width="13" bestFit="1" customWidth="1"/>
    <col min="12" max="12" width="14.7109375" bestFit="1" customWidth="1"/>
    <col min="13" max="13" width="12.5703125" bestFit="1" customWidth="1"/>
    <col min="14" max="14" width="21.140625" bestFit="1" customWidth="1"/>
    <col min="15" max="15" width="13.28515625" bestFit="1" customWidth="1"/>
    <col min="16" max="16" width="11.5703125" bestFit="1" customWidth="1"/>
    <col min="17" max="17" width="18.28515625" bestFit="1" customWidth="1"/>
    <col min="18" max="18" width="11" bestFit="1" customWidth="1"/>
    <col min="19" max="19" width="16" bestFit="1" customWidth="1"/>
    <col min="20" max="20" width="20.7109375" bestFit="1" customWidth="1"/>
    <col min="21" max="21" width="22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1</v>
      </c>
      <c r="D2" t="s">
        <v>23</v>
      </c>
      <c r="E2">
        <v>4.1215593876914598</v>
      </c>
      <c r="F2">
        <v>101</v>
      </c>
      <c r="G2">
        <v>108</v>
      </c>
      <c r="H2">
        <v>102</v>
      </c>
      <c r="I2">
        <v>108</v>
      </c>
      <c r="J2">
        <v>108</v>
      </c>
      <c r="K2">
        <v>102</v>
      </c>
      <c r="L2">
        <v>102</v>
      </c>
      <c r="M2">
        <v>0</v>
      </c>
      <c r="N2">
        <v>3.7664956546327801E-9</v>
      </c>
      <c r="O2">
        <v>1.3779999999999999</v>
      </c>
      <c r="P2">
        <v>1.0589999999999999</v>
      </c>
      <c r="Q2">
        <v>2.4477869999999999</v>
      </c>
      <c r="R2">
        <v>2.4732829999999999</v>
      </c>
      <c r="S2">
        <v>1404</v>
      </c>
      <c r="T2">
        <v>6</v>
      </c>
      <c r="U2">
        <v>1642</v>
      </c>
    </row>
    <row r="3" spans="1:21" x14ac:dyDescent="0.25">
      <c r="A3" t="s">
        <v>21</v>
      </c>
      <c r="B3" t="s">
        <v>22</v>
      </c>
      <c r="C3">
        <v>2</v>
      </c>
      <c r="D3" t="s">
        <v>23</v>
      </c>
      <c r="E3">
        <v>4.1215593876914598</v>
      </c>
      <c r="F3">
        <v>101</v>
      </c>
      <c r="G3">
        <v>108</v>
      </c>
      <c r="H3">
        <v>102</v>
      </c>
      <c r="I3">
        <v>108</v>
      </c>
      <c r="J3">
        <v>108</v>
      </c>
      <c r="K3">
        <v>102</v>
      </c>
      <c r="L3">
        <v>102</v>
      </c>
      <c r="M3">
        <v>0</v>
      </c>
      <c r="N3">
        <v>3.7664956546327801E-9</v>
      </c>
      <c r="O3">
        <v>1.4650000000000001</v>
      </c>
      <c r="P3">
        <v>1.04</v>
      </c>
      <c r="Q3">
        <v>2.5094029999999998</v>
      </c>
      <c r="R3">
        <v>2.5276299999999998</v>
      </c>
      <c r="S3">
        <v>1404</v>
      </c>
      <c r="T3">
        <v>6</v>
      </c>
      <c r="U3">
        <v>1642</v>
      </c>
    </row>
    <row r="4" spans="1:21" x14ac:dyDescent="0.25">
      <c r="A4" t="s">
        <v>21</v>
      </c>
      <c r="B4" t="s">
        <v>22</v>
      </c>
      <c r="C4">
        <v>3</v>
      </c>
      <c r="D4" t="s">
        <v>23</v>
      </c>
      <c r="E4">
        <v>4.1215593876914598</v>
      </c>
      <c r="F4">
        <v>101</v>
      </c>
      <c r="G4">
        <v>108</v>
      </c>
      <c r="H4">
        <v>102</v>
      </c>
      <c r="I4">
        <v>108</v>
      </c>
      <c r="J4">
        <v>108</v>
      </c>
      <c r="K4">
        <v>102</v>
      </c>
      <c r="L4">
        <v>102</v>
      </c>
      <c r="M4">
        <v>0</v>
      </c>
      <c r="N4">
        <v>3.7664956546327801E-9</v>
      </c>
      <c r="O4">
        <v>1.3129999999999999</v>
      </c>
      <c r="P4">
        <v>1.145</v>
      </c>
      <c r="Q4">
        <v>2.465624</v>
      </c>
      <c r="R4">
        <v>2.4862730000000002</v>
      </c>
      <c r="S4">
        <v>1404</v>
      </c>
      <c r="T4">
        <v>6</v>
      </c>
      <c r="U4">
        <v>1642</v>
      </c>
    </row>
    <row r="5" spans="1:21" x14ac:dyDescent="0.25">
      <c r="A5" t="s">
        <v>21</v>
      </c>
      <c r="B5" t="s">
        <v>22</v>
      </c>
      <c r="C5">
        <v>4</v>
      </c>
      <c r="D5" t="s">
        <v>23</v>
      </c>
      <c r="E5">
        <v>4.1215593876914598</v>
      </c>
      <c r="F5">
        <v>101</v>
      </c>
      <c r="G5">
        <v>108</v>
      </c>
      <c r="H5">
        <v>102</v>
      </c>
      <c r="I5">
        <v>108</v>
      </c>
      <c r="J5">
        <v>108</v>
      </c>
      <c r="K5">
        <v>102</v>
      </c>
      <c r="L5">
        <v>102</v>
      </c>
      <c r="M5">
        <v>0</v>
      </c>
      <c r="N5">
        <v>3.7664956546327801E-9</v>
      </c>
      <c r="O5">
        <v>1.4990000000000001</v>
      </c>
      <c r="P5">
        <v>1.196</v>
      </c>
      <c r="Q5">
        <v>2.7036370000000001</v>
      </c>
      <c r="R5">
        <v>2.7245889999999999</v>
      </c>
      <c r="S5">
        <v>1404</v>
      </c>
      <c r="T5">
        <v>6</v>
      </c>
      <c r="U5">
        <v>1642</v>
      </c>
    </row>
    <row r="6" spans="1:21" x14ac:dyDescent="0.25">
      <c r="A6" t="s">
        <v>21</v>
      </c>
      <c r="B6" t="s">
        <v>22</v>
      </c>
      <c r="C6">
        <v>5</v>
      </c>
      <c r="D6" t="s">
        <v>23</v>
      </c>
      <c r="E6">
        <v>4.1215593876914598</v>
      </c>
      <c r="F6">
        <v>101</v>
      </c>
      <c r="G6">
        <v>108</v>
      </c>
      <c r="H6">
        <v>102</v>
      </c>
      <c r="I6">
        <v>108</v>
      </c>
      <c r="J6">
        <v>108</v>
      </c>
      <c r="K6">
        <v>102</v>
      </c>
      <c r="L6">
        <v>102</v>
      </c>
      <c r="M6">
        <v>0</v>
      </c>
      <c r="N6">
        <v>3.7664956546327801E-9</v>
      </c>
      <c r="O6">
        <v>1.419</v>
      </c>
      <c r="P6">
        <v>1.077</v>
      </c>
      <c r="Q6">
        <v>2.504114</v>
      </c>
      <c r="R6">
        <v>2.5257580000000002</v>
      </c>
      <c r="S6">
        <v>1404</v>
      </c>
      <c r="T6">
        <v>6</v>
      </c>
      <c r="U6">
        <v>1642</v>
      </c>
    </row>
    <row r="7" spans="1:21" x14ac:dyDescent="0.25">
      <c r="A7" t="s">
        <v>21</v>
      </c>
      <c r="B7" t="s">
        <v>22</v>
      </c>
      <c r="C7">
        <v>6</v>
      </c>
      <c r="D7" t="s">
        <v>23</v>
      </c>
      <c r="E7">
        <v>4.1215593876914598</v>
      </c>
      <c r="F7">
        <v>101</v>
      </c>
      <c r="G7">
        <v>108</v>
      </c>
      <c r="H7">
        <v>102</v>
      </c>
      <c r="I7">
        <v>108</v>
      </c>
      <c r="J7">
        <v>108</v>
      </c>
      <c r="K7">
        <v>102</v>
      </c>
      <c r="L7">
        <v>102</v>
      </c>
      <c r="M7">
        <v>0</v>
      </c>
      <c r="N7">
        <v>3.7664956546327801E-9</v>
      </c>
      <c r="O7">
        <v>1.3819999999999999</v>
      </c>
      <c r="P7">
        <v>1.137</v>
      </c>
      <c r="Q7">
        <v>2.5270220000000001</v>
      </c>
      <c r="R7">
        <v>2.548778</v>
      </c>
      <c r="S7">
        <v>1404</v>
      </c>
      <c r="T7">
        <v>6</v>
      </c>
      <c r="U7">
        <v>1642</v>
      </c>
    </row>
    <row r="8" spans="1:21" x14ac:dyDescent="0.25">
      <c r="A8" t="s">
        <v>21</v>
      </c>
      <c r="B8" t="s">
        <v>22</v>
      </c>
      <c r="C8">
        <v>7</v>
      </c>
      <c r="D8" t="s">
        <v>23</v>
      </c>
      <c r="E8">
        <v>4.1215593876914598</v>
      </c>
      <c r="F8">
        <v>101</v>
      </c>
      <c r="G8">
        <v>108</v>
      </c>
      <c r="H8">
        <v>102</v>
      </c>
      <c r="I8">
        <v>108</v>
      </c>
      <c r="J8">
        <v>108</v>
      </c>
      <c r="K8">
        <v>102</v>
      </c>
      <c r="L8">
        <v>102</v>
      </c>
      <c r="M8">
        <v>0</v>
      </c>
      <c r="N8">
        <v>3.7664956546327801E-9</v>
      </c>
      <c r="O8">
        <v>1.516</v>
      </c>
      <c r="P8">
        <v>0.99299999999999999</v>
      </c>
      <c r="Q8">
        <v>2.5177339999999999</v>
      </c>
      <c r="R8">
        <v>2.5398299999999998</v>
      </c>
      <c r="S8">
        <v>1404</v>
      </c>
      <c r="T8">
        <v>6</v>
      </c>
      <c r="U8">
        <v>1642</v>
      </c>
    </row>
    <row r="9" spans="1:21" x14ac:dyDescent="0.25">
      <c r="A9" t="s">
        <v>21</v>
      </c>
      <c r="B9" t="s">
        <v>22</v>
      </c>
      <c r="C9">
        <v>8</v>
      </c>
      <c r="D9" t="s">
        <v>23</v>
      </c>
      <c r="E9">
        <v>4.1215593876914598</v>
      </c>
      <c r="F9">
        <v>101</v>
      </c>
      <c r="G9">
        <v>108</v>
      </c>
      <c r="H9">
        <v>102</v>
      </c>
      <c r="I9">
        <v>108</v>
      </c>
      <c r="J9">
        <v>108</v>
      </c>
      <c r="K9">
        <v>102</v>
      </c>
      <c r="L9">
        <v>102</v>
      </c>
      <c r="M9">
        <v>0</v>
      </c>
      <c r="N9">
        <v>3.7664956546327801E-9</v>
      </c>
      <c r="O9">
        <v>1.4570000000000001</v>
      </c>
      <c r="P9">
        <v>1.1839999999999999</v>
      </c>
      <c r="Q9">
        <v>2.6508829999999999</v>
      </c>
      <c r="R9">
        <v>2.6730139999999998</v>
      </c>
      <c r="S9">
        <v>1404</v>
      </c>
      <c r="T9">
        <v>6</v>
      </c>
      <c r="U9">
        <v>1642</v>
      </c>
    </row>
    <row r="10" spans="1:21" x14ac:dyDescent="0.25">
      <c r="A10" t="s">
        <v>21</v>
      </c>
      <c r="B10" t="s">
        <v>22</v>
      </c>
      <c r="C10">
        <v>9</v>
      </c>
      <c r="D10" t="s">
        <v>23</v>
      </c>
      <c r="E10">
        <v>4.1215593876914598</v>
      </c>
      <c r="F10">
        <v>101</v>
      </c>
      <c r="G10">
        <v>108</v>
      </c>
      <c r="H10">
        <v>102</v>
      </c>
      <c r="I10">
        <v>108</v>
      </c>
      <c r="J10">
        <v>108</v>
      </c>
      <c r="K10">
        <v>102</v>
      </c>
      <c r="L10">
        <v>102</v>
      </c>
      <c r="M10">
        <v>0</v>
      </c>
      <c r="N10">
        <v>3.7664956546327801E-9</v>
      </c>
      <c r="O10">
        <v>2.1749999999999998</v>
      </c>
      <c r="P10">
        <v>1.589</v>
      </c>
      <c r="Q10">
        <v>3.7798750000000001</v>
      </c>
      <c r="R10">
        <v>3.8394680000000001</v>
      </c>
      <c r="S10">
        <v>1404</v>
      </c>
      <c r="T10">
        <v>6</v>
      </c>
      <c r="U10">
        <v>1642</v>
      </c>
    </row>
    <row r="11" spans="1:21" x14ac:dyDescent="0.25">
      <c r="A11" t="s">
        <v>21</v>
      </c>
      <c r="B11" t="s">
        <v>22</v>
      </c>
      <c r="C11">
        <v>10</v>
      </c>
      <c r="D11" t="s">
        <v>23</v>
      </c>
      <c r="E11">
        <v>4.1215593876914598</v>
      </c>
      <c r="F11">
        <v>101</v>
      </c>
      <c r="G11">
        <v>108</v>
      </c>
      <c r="H11">
        <v>102</v>
      </c>
      <c r="I11">
        <v>108</v>
      </c>
      <c r="J11">
        <v>108</v>
      </c>
      <c r="K11">
        <v>102</v>
      </c>
      <c r="L11">
        <v>102</v>
      </c>
      <c r="M11">
        <v>0</v>
      </c>
      <c r="N11">
        <v>3.7664956546327801E-9</v>
      </c>
      <c r="O11">
        <v>1.482</v>
      </c>
      <c r="P11">
        <v>1.0780000000000001</v>
      </c>
      <c r="Q11">
        <v>2.5675690000000002</v>
      </c>
      <c r="R11">
        <v>2.588902</v>
      </c>
      <c r="S11">
        <v>1404</v>
      </c>
      <c r="T11">
        <v>6</v>
      </c>
      <c r="U11">
        <v>1642</v>
      </c>
    </row>
    <row r="12" spans="1:21" x14ac:dyDescent="0.25">
      <c r="A12" t="s">
        <v>24</v>
      </c>
      <c r="B12" t="s">
        <v>25</v>
      </c>
      <c r="C12">
        <v>1</v>
      </c>
      <c r="D12" t="s">
        <v>23</v>
      </c>
      <c r="E12">
        <v>6.09289336230378</v>
      </c>
      <c r="F12">
        <v>793</v>
      </c>
      <c r="G12">
        <v>2026</v>
      </c>
      <c r="H12">
        <v>760</v>
      </c>
      <c r="I12">
        <v>2026</v>
      </c>
      <c r="J12">
        <v>2026</v>
      </c>
      <c r="K12">
        <v>811</v>
      </c>
      <c r="L12">
        <v>811</v>
      </c>
      <c r="M12">
        <v>0</v>
      </c>
      <c r="N12">
        <v>4.5536746945407103E-6</v>
      </c>
      <c r="O12">
        <v>10.47</v>
      </c>
      <c r="P12">
        <v>9.5139999999999993</v>
      </c>
      <c r="Q12">
        <v>19.995411000000001</v>
      </c>
      <c r="R12">
        <v>20.016275</v>
      </c>
      <c r="S12">
        <v>1404</v>
      </c>
      <c r="T12">
        <v>1390</v>
      </c>
      <c r="U12">
        <v>258</v>
      </c>
    </row>
    <row r="13" spans="1:21" x14ac:dyDescent="0.25">
      <c r="A13" t="s">
        <v>24</v>
      </c>
      <c r="B13" t="s">
        <v>25</v>
      </c>
      <c r="C13">
        <v>2</v>
      </c>
      <c r="D13" t="s">
        <v>23</v>
      </c>
      <c r="E13">
        <v>6.09289336230378</v>
      </c>
      <c r="F13">
        <v>793</v>
      </c>
      <c r="G13">
        <v>2026</v>
      </c>
      <c r="H13">
        <v>760</v>
      </c>
      <c r="I13">
        <v>2026</v>
      </c>
      <c r="J13">
        <v>2026</v>
      </c>
      <c r="K13">
        <v>811</v>
      </c>
      <c r="L13">
        <v>811</v>
      </c>
      <c r="M13">
        <v>0</v>
      </c>
      <c r="N13">
        <v>4.5536746945407103E-6</v>
      </c>
      <c r="O13">
        <v>9.5839999999999996</v>
      </c>
      <c r="P13">
        <v>9.0960000000000001</v>
      </c>
      <c r="Q13">
        <v>18.689388000000001</v>
      </c>
      <c r="R13">
        <v>18.708259999999999</v>
      </c>
      <c r="S13">
        <v>1404</v>
      </c>
      <c r="T13">
        <v>1390</v>
      </c>
      <c r="U13">
        <v>258</v>
      </c>
    </row>
    <row r="14" spans="1:21" x14ac:dyDescent="0.25">
      <c r="A14" t="s">
        <v>24</v>
      </c>
      <c r="B14" t="s">
        <v>25</v>
      </c>
      <c r="C14">
        <v>3</v>
      </c>
      <c r="D14" t="s">
        <v>23</v>
      </c>
      <c r="E14">
        <v>6.09289336230378</v>
      </c>
      <c r="F14">
        <v>793</v>
      </c>
      <c r="G14">
        <v>2026</v>
      </c>
      <c r="H14">
        <v>760</v>
      </c>
      <c r="I14">
        <v>2026</v>
      </c>
      <c r="J14">
        <v>2026</v>
      </c>
      <c r="K14">
        <v>811</v>
      </c>
      <c r="L14">
        <v>811</v>
      </c>
      <c r="M14">
        <v>0</v>
      </c>
      <c r="N14">
        <v>4.5536746945407103E-6</v>
      </c>
      <c r="O14">
        <v>9.6479999999999997</v>
      </c>
      <c r="P14">
        <v>9.1389999999999993</v>
      </c>
      <c r="Q14">
        <v>18.800274000000002</v>
      </c>
      <c r="R14">
        <v>18.821380000000001</v>
      </c>
      <c r="S14">
        <v>1404</v>
      </c>
      <c r="T14">
        <v>1390</v>
      </c>
      <c r="U14">
        <v>258</v>
      </c>
    </row>
    <row r="15" spans="1:21" x14ac:dyDescent="0.25">
      <c r="A15" t="s">
        <v>24</v>
      </c>
      <c r="B15" t="s">
        <v>25</v>
      </c>
      <c r="C15">
        <v>4</v>
      </c>
      <c r="D15" t="s">
        <v>23</v>
      </c>
      <c r="E15">
        <v>6.09289336230378</v>
      </c>
      <c r="F15">
        <v>793</v>
      </c>
      <c r="G15">
        <v>2026</v>
      </c>
      <c r="H15">
        <v>760</v>
      </c>
      <c r="I15">
        <v>2026</v>
      </c>
      <c r="J15">
        <v>2026</v>
      </c>
      <c r="K15">
        <v>811</v>
      </c>
      <c r="L15">
        <v>811</v>
      </c>
      <c r="M15">
        <v>0</v>
      </c>
      <c r="N15">
        <v>4.5536746945407103E-6</v>
      </c>
      <c r="O15">
        <v>9.9429999999999996</v>
      </c>
      <c r="P15">
        <v>9.0169999999999995</v>
      </c>
      <c r="Q15">
        <v>18.963781000000001</v>
      </c>
      <c r="R15">
        <v>18.98244</v>
      </c>
      <c r="S15">
        <v>1404</v>
      </c>
      <c r="T15">
        <v>1390</v>
      </c>
      <c r="U15">
        <v>258</v>
      </c>
    </row>
    <row r="16" spans="1:21" x14ac:dyDescent="0.25">
      <c r="A16" t="s">
        <v>24</v>
      </c>
      <c r="B16" t="s">
        <v>25</v>
      </c>
      <c r="C16">
        <v>5</v>
      </c>
      <c r="D16" t="s">
        <v>23</v>
      </c>
      <c r="E16">
        <v>6.09289336230378</v>
      </c>
      <c r="F16">
        <v>793</v>
      </c>
      <c r="G16">
        <v>2026</v>
      </c>
      <c r="H16">
        <v>760</v>
      </c>
      <c r="I16">
        <v>2026</v>
      </c>
      <c r="J16">
        <v>2026</v>
      </c>
      <c r="K16">
        <v>811</v>
      </c>
      <c r="L16">
        <v>811</v>
      </c>
      <c r="M16">
        <v>0</v>
      </c>
      <c r="N16">
        <v>4.5536746945407103E-6</v>
      </c>
      <c r="O16">
        <v>9.4700000000000006</v>
      </c>
      <c r="P16">
        <v>9.1890000000000001</v>
      </c>
      <c r="Q16">
        <v>18.652421</v>
      </c>
      <c r="R16">
        <v>18.671704999999999</v>
      </c>
      <c r="S16">
        <v>1404</v>
      </c>
      <c r="T16">
        <v>1390</v>
      </c>
      <c r="U16">
        <v>258</v>
      </c>
    </row>
    <row r="17" spans="1:21" x14ac:dyDescent="0.25">
      <c r="A17" t="s">
        <v>24</v>
      </c>
      <c r="B17" t="s">
        <v>25</v>
      </c>
      <c r="C17">
        <v>6</v>
      </c>
      <c r="D17" t="s">
        <v>23</v>
      </c>
      <c r="E17">
        <v>6.09289336230378</v>
      </c>
      <c r="F17">
        <v>793</v>
      </c>
      <c r="G17">
        <v>2026</v>
      </c>
      <c r="H17">
        <v>760</v>
      </c>
      <c r="I17">
        <v>2026</v>
      </c>
      <c r="J17">
        <v>2026</v>
      </c>
      <c r="K17">
        <v>811</v>
      </c>
      <c r="L17">
        <v>811</v>
      </c>
      <c r="M17">
        <v>0</v>
      </c>
      <c r="N17">
        <v>4.5536746945407103E-6</v>
      </c>
      <c r="O17">
        <v>9.641</v>
      </c>
      <c r="P17">
        <v>9.0850000000000009</v>
      </c>
      <c r="Q17">
        <v>18.732125</v>
      </c>
      <c r="R17">
        <v>18.753302000000001</v>
      </c>
      <c r="S17">
        <v>1404</v>
      </c>
      <c r="T17">
        <v>1390</v>
      </c>
      <c r="U17">
        <v>258</v>
      </c>
    </row>
    <row r="18" spans="1:21" x14ac:dyDescent="0.25">
      <c r="A18" t="s">
        <v>24</v>
      </c>
      <c r="B18" t="s">
        <v>25</v>
      </c>
      <c r="C18">
        <v>7</v>
      </c>
      <c r="D18" t="s">
        <v>23</v>
      </c>
      <c r="E18">
        <v>6.09289336230378</v>
      </c>
      <c r="F18">
        <v>793</v>
      </c>
      <c r="G18">
        <v>2026</v>
      </c>
      <c r="H18">
        <v>760</v>
      </c>
      <c r="I18">
        <v>2026</v>
      </c>
      <c r="J18">
        <v>2026</v>
      </c>
      <c r="K18">
        <v>811</v>
      </c>
      <c r="L18">
        <v>811</v>
      </c>
      <c r="M18">
        <v>0</v>
      </c>
      <c r="N18">
        <v>4.5536746945407103E-6</v>
      </c>
      <c r="O18">
        <v>9.56</v>
      </c>
      <c r="P18">
        <v>9.2189999999999994</v>
      </c>
      <c r="Q18">
        <v>18.786591000000001</v>
      </c>
      <c r="R18">
        <v>18.806311000000001</v>
      </c>
      <c r="S18">
        <v>1404</v>
      </c>
      <c r="T18">
        <v>1390</v>
      </c>
      <c r="U18">
        <v>258</v>
      </c>
    </row>
    <row r="19" spans="1:21" x14ac:dyDescent="0.25">
      <c r="A19" t="s">
        <v>24</v>
      </c>
      <c r="B19" t="s">
        <v>25</v>
      </c>
      <c r="C19">
        <v>8</v>
      </c>
      <c r="D19" t="s">
        <v>23</v>
      </c>
      <c r="E19">
        <v>6.09289336230378</v>
      </c>
      <c r="F19">
        <v>793</v>
      </c>
      <c r="G19">
        <v>2026</v>
      </c>
      <c r="H19">
        <v>760</v>
      </c>
      <c r="I19">
        <v>2026</v>
      </c>
      <c r="J19">
        <v>2026</v>
      </c>
      <c r="K19">
        <v>811</v>
      </c>
      <c r="L19">
        <v>811</v>
      </c>
      <c r="M19">
        <v>0</v>
      </c>
      <c r="N19">
        <v>4.5536746945407103E-6</v>
      </c>
      <c r="O19">
        <v>9.7270000000000003</v>
      </c>
      <c r="P19">
        <v>8.8729999999999993</v>
      </c>
      <c r="Q19">
        <v>18.617380000000001</v>
      </c>
      <c r="R19">
        <v>18.638432999999999</v>
      </c>
      <c r="S19">
        <v>1404</v>
      </c>
      <c r="T19">
        <v>1390</v>
      </c>
      <c r="U19">
        <v>258</v>
      </c>
    </row>
    <row r="20" spans="1:21" x14ac:dyDescent="0.25">
      <c r="A20" t="s">
        <v>24</v>
      </c>
      <c r="B20" t="s">
        <v>25</v>
      </c>
      <c r="C20">
        <v>9</v>
      </c>
      <c r="D20" t="s">
        <v>23</v>
      </c>
      <c r="E20">
        <v>6.09289336230378</v>
      </c>
      <c r="F20">
        <v>793</v>
      </c>
      <c r="G20">
        <v>2026</v>
      </c>
      <c r="H20">
        <v>760</v>
      </c>
      <c r="I20">
        <v>2026</v>
      </c>
      <c r="J20">
        <v>2026</v>
      </c>
      <c r="K20">
        <v>811</v>
      </c>
      <c r="L20">
        <v>811</v>
      </c>
      <c r="M20">
        <v>0</v>
      </c>
      <c r="N20">
        <v>4.5536746945407103E-6</v>
      </c>
      <c r="O20">
        <v>9.3290000000000006</v>
      </c>
      <c r="P20">
        <v>9.4209999999999994</v>
      </c>
      <c r="Q20">
        <v>18.749120999999999</v>
      </c>
      <c r="R20">
        <v>18.769833999999999</v>
      </c>
      <c r="S20">
        <v>1404</v>
      </c>
      <c r="T20">
        <v>1390</v>
      </c>
      <c r="U20">
        <v>258</v>
      </c>
    </row>
    <row r="21" spans="1:21" x14ac:dyDescent="0.25">
      <c r="A21" t="s">
        <v>24</v>
      </c>
      <c r="B21" t="s">
        <v>25</v>
      </c>
      <c r="C21">
        <v>10</v>
      </c>
      <c r="D21" t="s">
        <v>23</v>
      </c>
      <c r="E21">
        <v>6.09289336230378</v>
      </c>
      <c r="F21">
        <v>793</v>
      </c>
      <c r="G21">
        <v>2026</v>
      </c>
      <c r="H21">
        <v>760</v>
      </c>
      <c r="I21">
        <v>2026</v>
      </c>
      <c r="J21">
        <v>2026</v>
      </c>
      <c r="K21">
        <v>811</v>
      </c>
      <c r="L21">
        <v>811</v>
      </c>
      <c r="M21">
        <v>0</v>
      </c>
      <c r="N21">
        <v>4.5536746945407103E-6</v>
      </c>
      <c r="O21">
        <v>9.9960000000000004</v>
      </c>
      <c r="P21">
        <v>9.4740000000000002</v>
      </c>
      <c r="Q21">
        <v>19.470348000000001</v>
      </c>
      <c r="R21">
        <v>19.492819999999998</v>
      </c>
      <c r="S21">
        <v>1404</v>
      </c>
      <c r="T21">
        <v>1390</v>
      </c>
      <c r="U21">
        <v>258</v>
      </c>
    </row>
    <row r="22" spans="1:21" x14ac:dyDescent="0.25">
      <c r="A22" t="s">
        <v>27</v>
      </c>
      <c r="B22" t="s">
        <v>28</v>
      </c>
      <c r="C22">
        <v>1</v>
      </c>
      <c r="D22" t="s">
        <v>29</v>
      </c>
      <c r="E22">
        <v>5.9227518003997703</v>
      </c>
      <c r="F22">
        <v>1141</v>
      </c>
      <c r="G22">
        <v>3056</v>
      </c>
      <c r="H22">
        <v>1107</v>
      </c>
      <c r="I22">
        <v>3056</v>
      </c>
      <c r="J22">
        <v>3056</v>
      </c>
      <c r="K22">
        <v>1193</v>
      </c>
      <c r="L22">
        <v>1193</v>
      </c>
      <c r="M22">
        <v>1142</v>
      </c>
      <c r="N22">
        <v>1.4210854715202001E-13</v>
      </c>
      <c r="O22">
        <v>142.404</v>
      </c>
      <c r="P22">
        <v>69.933000000000007</v>
      </c>
      <c r="Q22">
        <v>212.34872799999999</v>
      </c>
      <c r="R22">
        <v>212.44538900000001</v>
      </c>
      <c r="S22">
        <v>1404</v>
      </c>
      <c r="T22">
        <v>1390</v>
      </c>
      <c r="U22">
        <v>258</v>
      </c>
    </row>
    <row r="23" spans="1:21" x14ac:dyDescent="0.25">
      <c r="A23" t="s">
        <v>27</v>
      </c>
      <c r="B23" t="s">
        <v>28</v>
      </c>
      <c r="C23">
        <v>2</v>
      </c>
      <c r="D23" t="s">
        <v>29</v>
      </c>
      <c r="E23">
        <v>5.9227518003997703</v>
      </c>
      <c r="F23">
        <v>1141</v>
      </c>
      <c r="G23">
        <v>3056</v>
      </c>
      <c r="H23">
        <v>1107</v>
      </c>
      <c r="I23">
        <v>3056</v>
      </c>
      <c r="J23">
        <v>3056</v>
      </c>
      <c r="K23">
        <v>1193</v>
      </c>
      <c r="L23">
        <v>1193</v>
      </c>
      <c r="M23">
        <v>1142</v>
      </c>
      <c r="N23">
        <v>1.4210854715202001E-13</v>
      </c>
      <c r="O23">
        <v>137.91800000000001</v>
      </c>
      <c r="P23">
        <v>70.474999999999994</v>
      </c>
      <c r="Q23">
        <v>208.399226</v>
      </c>
      <c r="R23">
        <v>208.48351500000001</v>
      </c>
      <c r="S23">
        <v>1404</v>
      </c>
      <c r="T23">
        <v>1390</v>
      </c>
      <c r="U23">
        <v>258</v>
      </c>
    </row>
    <row r="24" spans="1:21" x14ac:dyDescent="0.25">
      <c r="A24" t="s">
        <v>27</v>
      </c>
      <c r="B24" t="s">
        <v>28</v>
      </c>
      <c r="C24">
        <v>3</v>
      </c>
      <c r="D24" t="s">
        <v>29</v>
      </c>
      <c r="E24">
        <v>5.9227518003997703</v>
      </c>
      <c r="F24">
        <v>1141</v>
      </c>
      <c r="G24">
        <v>3056</v>
      </c>
      <c r="H24">
        <v>1107</v>
      </c>
      <c r="I24">
        <v>3056</v>
      </c>
      <c r="J24">
        <v>3056</v>
      </c>
      <c r="K24">
        <v>1193</v>
      </c>
      <c r="L24">
        <v>1193</v>
      </c>
      <c r="M24">
        <v>1142</v>
      </c>
      <c r="N24">
        <v>1.4210854715202001E-13</v>
      </c>
      <c r="O24">
        <v>136.209</v>
      </c>
      <c r="P24">
        <v>70.084000000000003</v>
      </c>
      <c r="Q24">
        <v>206.30325099999999</v>
      </c>
      <c r="R24">
        <v>206.39328399999999</v>
      </c>
      <c r="S24">
        <v>1404</v>
      </c>
      <c r="T24">
        <v>1390</v>
      </c>
      <c r="U24">
        <v>258</v>
      </c>
    </row>
    <row r="25" spans="1:21" x14ac:dyDescent="0.25">
      <c r="A25" t="s">
        <v>27</v>
      </c>
      <c r="B25" t="s">
        <v>28</v>
      </c>
      <c r="C25">
        <v>4</v>
      </c>
      <c r="D25" t="s">
        <v>29</v>
      </c>
      <c r="E25">
        <v>5.9227518003997703</v>
      </c>
      <c r="F25">
        <v>1141</v>
      </c>
      <c r="G25">
        <v>3056</v>
      </c>
      <c r="H25">
        <v>1107</v>
      </c>
      <c r="I25">
        <v>3056</v>
      </c>
      <c r="J25">
        <v>3056</v>
      </c>
      <c r="K25">
        <v>1193</v>
      </c>
      <c r="L25">
        <v>1193</v>
      </c>
      <c r="M25">
        <v>1142</v>
      </c>
      <c r="N25">
        <v>1.4210854715202001E-13</v>
      </c>
      <c r="O25">
        <v>139.44900000000001</v>
      </c>
      <c r="P25">
        <v>70.930999999999997</v>
      </c>
      <c r="Q25">
        <v>210.39171999999999</v>
      </c>
      <c r="R25">
        <v>210.46836099999999</v>
      </c>
      <c r="S25">
        <v>1404</v>
      </c>
      <c r="T25">
        <v>1390</v>
      </c>
      <c r="U25">
        <v>258</v>
      </c>
    </row>
    <row r="26" spans="1:21" x14ac:dyDescent="0.25">
      <c r="A26" t="s">
        <v>27</v>
      </c>
      <c r="B26" t="s">
        <v>28</v>
      </c>
      <c r="C26">
        <v>5</v>
      </c>
      <c r="D26" t="s">
        <v>29</v>
      </c>
      <c r="E26">
        <v>5.9227518003997703</v>
      </c>
      <c r="F26">
        <v>1141</v>
      </c>
      <c r="G26">
        <v>3056</v>
      </c>
      <c r="H26">
        <v>1107</v>
      </c>
      <c r="I26">
        <v>3056</v>
      </c>
      <c r="J26">
        <v>3056</v>
      </c>
      <c r="K26">
        <v>1193</v>
      </c>
      <c r="L26">
        <v>1193</v>
      </c>
      <c r="M26">
        <v>1142</v>
      </c>
      <c r="N26">
        <v>1.4210854715202001E-13</v>
      </c>
      <c r="O26">
        <v>136.077</v>
      </c>
      <c r="P26">
        <v>69.905000000000001</v>
      </c>
      <c r="Q26">
        <v>205.997816</v>
      </c>
      <c r="R26">
        <v>206.088662</v>
      </c>
      <c r="S26">
        <v>1404</v>
      </c>
      <c r="T26">
        <v>1390</v>
      </c>
      <c r="U26">
        <v>258</v>
      </c>
    </row>
    <row r="27" spans="1:21" x14ac:dyDescent="0.25">
      <c r="A27" t="s">
        <v>27</v>
      </c>
      <c r="B27" t="s">
        <v>28</v>
      </c>
      <c r="C27">
        <v>6</v>
      </c>
      <c r="D27" t="s">
        <v>29</v>
      </c>
      <c r="E27">
        <v>5.9227518003997703</v>
      </c>
      <c r="F27">
        <v>1141</v>
      </c>
      <c r="G27">
        <v>3056</v>
      </c>
      <c r="H27">
        <v>1107</v>
      </c>
      <c r="I27">
        <v>3056</v>
      </c>
      <c r="J27">
        <v>3056</v>
      </c>
      <c r="K27">
        <v>1193</v>
      </c>
      <c r="L27">
        <v>1193</v>
      </c>
      <c r="M27">
        <v>1142</v>
      </c>
      <c r="N27">
        <v>1.4210854715202001E-13</v>
      </c>
      <c r="O27">
        <v>135.53899999999999</v>
      </c>
      <c r="P27">
        <v>70.369</v>
      </c>
      <c r="Q27">
        <v>205.92300800000001</v>
      </c>
      <c r="R27">
        <v>206.01068699999999</v>
      </c>
      <c r="S27">
        <v>1404</v>
      </c>
      <c r="T27">
        <v>1390</v>
      </c>
      <c r="U27">
        <v>258</v>
      </c>
    </row>
    <row r="28" spans="1:21" x14ac:dyDescent="0.25">
      <c r="A28" t="s">
        <v>27</v>
      </c>
      <c r="B28" t="s">
        <v>28</v>
      </c>
      <c r="C28">
        <v>7</v>
      </c>
      <c r="D28" t="s">
        <v>29</v>
      </c>
      <c r="E28">
        <v>5.9227518003997703</v>
      </c>
      <c r="F28">
        <v>1141</v>
      </c>
      <c r="G28">
        <v>3056</v>
      </c>
      <c r="H28">
        <v>1107</v>
      </c>
      <c r="I28">
        <v>3056</v>
      </c>
      <c r="J28">
        <v>3056</v>
      </c>
      <c r="K28">
        <v>1193</v>
      </c>
      <c r="L28">
        <v>1193</v>
      </c>
      <c r="M28">
        <v>1142</v>
      </c>
      <c r="N28">
        <v>1.4210854715202001E-13</v>
      </c>
      <c r="O28">
        <v>136.244</v>
      </c>
      <c r="P28">
        <v>69.048000000000002</v>
      </c>
      <c r="Q28">
        <v>205.30168900000001</v>
      </c>
      <c r="R28">
        <v>205.39316199999999</v>
      </c>
      <c r="S28">
        <v>1404</v>
      </c>
      <c r="T28">
        <v>1390</v>
      </c>
      <c r="U28">
        <v>258</v>
      </c>
    </row>
    <row r="29" spans="1:21" x14ac:dyDescent="0.25">
      <c r="A29" t="s">
        <v>27</v>
      </c>
      <c r="B29" t="s">
        <v>28</v>
      </c>
      <c r="C29">
        <v>8</v>
      </c>
      <c r="D29" t="s">
        <v>29</v>
      </c>
      <c r="E29">
        <v>5.9227518003997703</v>
      </c>
      <c r="F29">
        <v>1141</v>
      </c>
      <c r="G29">
        <v>3056</v>
      </c>
      <c r="H29">
        <v>1107</v>
      </c>
      <c r="I29">
        <v>3056</v>
      </c>
      <c r="J29">
        <v>3056</v>
      </c>
      <c r="K29">
        <v>1193</v>
      </c>
      <c r="L29">
        <v>1193</v>
      </c>
      <c r="M29">
        <v>1142</v>
      </c>
      <c r="N29">
        <v>1.4210854715202001E-13</v>
      </c>
      <c r="O29">
        <v>137.72800000000001</v>
      </c>
      <c r="P29">
        <v>68.317999999999998</v>
      </c>
      <c r="Q29">
        <v>206.05154200000001</v>
      </c>
      <c r="R29">
        <v>206.14232100000001</v>
      </c>
      <c r="S29">
        <v>1404</v>
      </c>
      <c r="T29">
        <v>1390</v>
      </c>
      <c r="U29">
        <v>258</v>
      </c>
    </row>
    <row r="30" spans="1:21" x14ac:dyDescent="0.25">
      <c r="A30" t="s">
        <v>27</v>
      </c>
      <c r="B30" t="s">
        <v>28</v>
      </c>
      <c r="C30">
        <v>9</v>
      </c>
      <c r="D30" t="s">
        <v>29</v>
      </c>
      <c r="E30">
        <v>5.9227518003997703</v>
      </c>
      <c r="F30">
        <v>1141</v>
      </c>
      <c r="G30">
        <v>3056</v>
      </c>
      <c r="H30">
        <v>1107</v>
      </c>
      <c r="I30">
        <v>3056</v>
      </c>
      <c r="J30">
        <v>3056</v>
      </c>
      <c r="K30">
        <v>1193</v>
      </c>
      <c r="L30">
        <v>1193</v>
      </c>
      <c r="M30">
        <v>1142</v>
      </c>
      <c r="N30">
        <v>1.4210854715202001E-13</v>
      </c>
      <c r="O30">
        <v>135.78800000000001</v>
      </c>
      <c r="P30">
        <v>68.923000000000002</v>
      </c>
      <c r="Q30">
        <v>204.71767500000001</v>
      </c>
      <c r="R30">
        <v>204.79609199999999</v>
      </c>
      <c r="S30">
        <v>1404</v>
      </c>
      <c r="T30">
        <v>1390</v>
      </c>
      <c r="U30">
        <v>258</v>
      </c>
    </row>
    <row r="31" spans="1:21" x14ac:dyDescent="0.25">
      <c r="A31" t="s">
        <v>27</v>
      </c>
      <c r="B31" t="s">
        <v>28</v>
      </c>
      <c r="C31">
        <v>10</v>
      </c>
      <c r="D31" t="s">
        <v>29</v>
      </c>
      <c r="E31">
        <v>5.9227518003997703</v>
      </c>
      <c r="F31">
        <v>1141</v>
      </c>
      <c r="G31">
        <v>3056</v>
      </c>
      <c r="H31">
        <v>1107</v>
      </c>
      <c r="I31">
        <v>3056</v>
      </c>
      <c r="J31">
        <v>3056</v>
      </c>
      <c r="K31">
        <v>1193</v>
      </c>
      <c r="L31">
        <v>1193</v>
      </c>
      <c r="M31">
        <v>1142</v>
      </c>
      <c r="N31">
        <v>1.4210854715202001E-13</v>
      </c>
      <c r="O31">
        <v>138.83500000000001</v>
      </c>
      <c r="P31">
        <v>69.634</v>
      </c>
      <c r="Q31">
        <v>208.490362</v>
      </c>
      <c r="R31">
        <v>208.578866</v>
      </c>
      <c r="S31">
        <v>1404</v>
      </c>
      <c r="T31">
        <v>1390</v>
      </c>
      <c r="U31">
        <v>258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E906-8C24-4CAB-A0B5-B4C722C74BEF}">
  <dimension ref="A1:AB4"/>
  <sheetViews>
    <sheetView zoomScale="140" zoomScaleNormal="140" workbookViewId="0">
      <pane xSplit="1" topLeftCell="B1" activePane="topRight" state="frozen"/>
      <selection pane="topRight"/>
    </sheetView>
  </sheetViews>
  <sheetFormatPr defaultRowHeight="15" x14ac:dyDescent="0.25"/>
  <cols>
    <col min="1" max="1" width="34.85546875" bestFit="1" customWidth="1"/>
    <col min="2" max="2" width="29.140625" bestFit="1" customWidth="1"/>
    <col min="3" max="3" width="8.85546875" bestFit="1" customWidth="1"/>
    <col min="4" max="4" width="22.85546875" bestFit="1" customWidth="1"/>
    <col min="5" max="5" width="13.28515625" bestFit="1" customWidth="1"/>
    <col min="6" max="6" width="9.42578125" bestFit="1" customWidth="1"/>
    <col min="7" max="8" width="13.140625" bestFit="1" customWidth="1"/>
    <col min="9" max="9" width="7.7109375" bestFit="1" customWidth="1"/>
    <col min="10" max="10" width="9.42578125" bestFit="1" customWidth="1"/>
    <col min="11" max="11" width="10.5703125" bestFit="1" customWidth="1"/>
    <col min="12" max="12" width="12.28515625" bestFit="1" customWidth="1"/>
    <col min="13" max="13" width="9.85546875" bestFit="1" customWidth="1"/>
    <col min="14" max="14" width="18.42578125" bestFit="1" customWidth="1"/>
    <col min="15" max="15" width="10.7109375" bestFit="1" customWidth="1"/>
    <col min="16" max="16" width="9.28515625" bestFit="1" customWidth="1"/>
    <col min="17" max="17" width="15.42578125" bestFit="1" customWidth="1"/>
    <col min="18" max="18" width="13.28515625" bestFit="1" customWidth="1"/>
    <col min="19" max="19" width="13.85546875" bestFit="1" customWidth="1"/>
    <col min="20" max="20" width="17.85546875" bestFit="1" customWidth="1"/>
    <col min="21" max="21" width="19.5703125" bestFit="1" customWidth="1"/>
    <col min="23" max="23" width="16.42578125" bestFit="1" customWidth="1"/>
    <col min="24" max="24" width="16.28515625" bestFit="1" customWidth="1"/>
    <col min="25" max="25" width="16.5703125" bestFit="1" customWidth="1"/>
    <col min="26" max="26" width="9.85546875" bestFit="1" customWidth="1"/>
    <col min="27" max="27" width="13.85546875" bestFit="1" customWidth="1"/>
    <col min="28" max="28" width="14.140625" bestFit="1" customWidth="1"/>
  </cols>
  <sheetData>
    <row r="1" spans="1:28" x14ac:dyDescent="0.25">
      <c r="A1" t="str">
        <f>tropic_demos!A1</f>
        <v>DEMO_LABEL</v>
      </c>
      <c r="B1" t="str">
        <f>tropic_demos!B1</f>
        <v>DEMO_NAME</v>
      </c>
      <c r="C1" t="str">
        <f>tropic_demos!C1</f>
        <v>NUMBER</v>
      </c>
      <c r="D1" t="str">
        <f>tropic_demos!D1</f>
        <v>EXIT</v>
      </c>
      <c r="E1" t="str">
        <f>tropic_demos!E1</f>
        <v>Objective</v>
      </c>
      <c r="F1" t="str">
        <f>tropic_demos!F1</f>
        <v>Iterations</v>
      </c>
      <c r="G1" t="str">
        <f>tropic_demos!G1</f>
        <v>ObjFuncEvals</v>
      </c>
      <c r="H1" t="str">
        <f>tropic_demos!H1</f>
        <v>ObjGradEvals</v>
      </c>
      <c r="I1" t="str">
        <f>tropic_demos!I1</f>
        <v>EqEvals</v>
      </c>
      <c r="J1" t="str">
        <f>tropic_demos!J1</f>
        <v>IneqEvals</v>
      </c>
      <c r="K1" t="str">
        <f>tropic_demos!K1</f>
        <v>EqJacEvals</v>
      </c>
      <c r="L1" t="str">
        <f>tropic_demos!L1</f>
        <v>IneqJacEvals</v>
      </c>
      <c r="M1" t="str">
        <f>tropic_demos!M1</f>
        <v>HessEvals</v>
      </c>
      <c r="N1" t="str">
        <f>tropic_demos!N1</f>
        <v>ConstraintViolation</v>
      </c>
      <c r="O1" t="str">
        <f>tropic_demos!O1</f>
        <v>CPU_IPOPT</v>
      </c>
      <c r="P1" t="str">
        <f>tropic_demos!P1</f>
        <v>CPU_NLP</v>
      </c>
      <c r="Q1" t="str">
        <f>tropic_demos!Q1</f>
        <v>TROPIC_Elapsed</v>
      </c>
      <c r="R1" t="str">
        <f>tropic_demos!R1</f>
        <v>Elapsed</v>
      </c>
      <c r="S1" t="str">
        <f>tropic_demos!S1</f>
        <v>NumVariables</v>
      </c>
      <c r="T1" t="str">
        <f>tropic_demos!T1</f>
        <v>NumEqConstraints</v>
      </c>
      <c r="U1" t="str">
        <f>tropic_demos!U1</f>
        <v>NumIneqConstraints</v>
      </c>
      <c r="W1" t="s">
        <v>26</v>
      </c>
      <c r="X1" t="s">
        <v>30</v>
      </c>
      <c r="Y1" t="s">
        <v>31</v>
      </c>
      <c r="Z1" t="s">
        <v>51</v>
      </c>
      <c r="AA1" t="s">
        <v>52</v>
      </c>
      <c r="AB1" t="s">
        <v>53</v>
      </c>
    </row>
    <row r="2" spans="1:28" x14ac:dyDescent="0.25">
      <c r="A2" t="str" cm="1">
        <f t="array" ref="A2">INDEX(tropic_demos!A:A, (ROW()-2)*$C2+2)</f>
        <v>planar 7-DOF biped</v>
      </c>
      <c r="B2" t="str" cm="1">
        <f t="array" ref="B2">INDEX(tropic_demos!B:B, (ROW()-2)*$C2+2)</f>
        <v>Amplify_main</v>
      </c>
      <c r="C2">
        <f>COUNTIF(tropic_demos!A:A, tropic_demos!A2)</f>
        <v>10</v>
      </c>
      <c r="D2" t="str" cm="1">
        <f t="array" ref="D2">INDEX(tropic_demos!D:D, (ROW()-2)*$C2+2)</f>
        <v>Optimal Solution Found.</v>
      </c>
      <c r="E2">
        <f>IFERROR(AVERAGE(INDEX(tropic_demos!E:E, (ROW()-2)*$C2+2):INDEX(tropic_demos!E:E, (ROW()-2)*$C2 + $C2+1)), "")</f>
        <v>4.1215593876914607</v>
      </c>
      <c r="F2">
        <f>IFERROR(AVERAGE(INDEX(tropic_demos!F:F, (ROW()-2)*$C2+2):INDEX(tropic_demos!F:F, (ROW()-2)*$C2 + $C2+1)), "")</f>
        <v>101</v>
      </c>
      <c r="G2">
        <f>IFERROR(AVERAGE(INDEX(tropic_demos!G:G, (ROW()-2)*$C2+2):INDEX(tropic_demos!G:G, (ROW()-2)*$C2 + $C2+1)), "")</f>
        <v>108</v>
      </c>
      <c r="H2">
        <f>IFERROR(AVERAGE(INDEX(tropic_demos!H:H, (ROW()-2)*$C2+2):INDEX(tropic_demos!H:H, (ROW()-2)*$C2 + $C2+1)), "")</f>
        <v>102</v>
      </c>
      <c r="I2">
        <f>IFERROR(AVERAGE(INDEX(tropic_demos!I:I, (ROW()-2)*$C2+2):INDEX(tropic_demos!I:I, (ROW()-2)*$C2 + $C2+1)), "")</f>
        <v>108</v>
      </c>
      <c r="J2">
        <f>IFERROR(AVERAGE(INDEX(tropic_demos!J:J, (ROW()-2)*$C2+2):INDEX(tropic_demos!J:J, (ROW()-2)*$C2 + $C2+1)), "")</f>
        <v>108</v>
      </c>
      <c r="K2">
        <f>IFERROR(AVERAGE(INDEX(tropic_demos!K:K, (ROW()-2)*$C2+2):INDEX(tropic_demos!K:K, (ROW()-2)*$C2 + $C2+1)), "")</f>
        <v>102</v>
      </c>
      <c r="L2">
        <f>IFERROR(AVERAGE(INDEX(tropic_demos!L:L, (ROW()-2)*$C2+2):INDEX(tropic_demos!L:L, (ROW()-2)*$C2 + $C2+1)), "")</f>
        <v>102</v>
      </c>
      <c r="M2">
        <f>IFERROR(AVERAGE(INDEX(tropic_demos!M:M, (ROW()-2)*$C2+2):INDEX(tropic_demos!M:M, (ROW()-2)*$C2 + $C2+1)), "")</f>
        <v>0</v>
      </c>
      <c r="N2">
        <f>IFERROR(AVERAGE(INDEX(tropic_demos!N:N, (ROW()-2)*$C2+2):INDEX(tropic_demos!N:N, (ROW()-2)*$C2 + $C2+1)), "")</f>
        <v>3.7664956546327801E-9</v>
      </c>
      <c r="O2">
        <f>IFERROR(AVERAGE(INDEX(tropic_demos!O:O, (ROW()-2)*$C2+2):INDEX(tropic_demos!O:O, (ROW()-2)*$C2 + $C2+1)), "")</f>
        <v>1.5085999999999999</v>
      </c>
      <c r="P2">
        <f>IFERROR(AVERAGE(INDEX(tropic_demos!P:P, (ROW()-2)*$C2+2):INDEX(tropic_demos!P:P, (ROW()-2)*$C2 + $C2+1)), "")</f>
        <v>1.1497999999999999</v>
      </c>
      <c r="Q2">
        <f>IFERROR(AVERAGE(INDEX(tropic_demos!Q:Q, (ROW()-2)*$C2+2):INDEX(tropic_demos!Q:Q, (ROW()-2)*$C2 + $C2+1)), "")</f>
        <v>2.6673648000000001</v>
      </c>
      <c r="R2">
        <f>IFERROR(AVERAGE(INDEX(tropic_demos!R:R, (ROW()-2)*$C2+2):INDEX(tropic_demos!R:R, (ROW()-2)*$C2 + $C2+1)), "")</f>
        <v>2.6927525000000001</v>
      </c>
      <c r="S2">
        <f>IFERROR(AVERAGE(INDEX(tropic_demos!S:S, (ROW()-2)*$C2+2):INDEX(tropic_demos!S:S, (ROW()-2)*$C2 + $C2+1)), "")</f>
        <v>1404</v>
      </c>
      <c r="T2">
        <f>IFERROR(AVERAGE(INDEX(tropic_demos!T:T, (ROW()-2)*$C2+2):INDEX(tropic_demos!T:T, (ROW()-2)*$C2 + $C2+1)), "")</f>
        <v>6</v>
      </c>
      <c r="U2">
        <f>IFERROR(AVERAGE(INDEX(tropic_demos!U:U, (ROW()-2)*$C2+2):INDEX(tropic_demos!U:U, (ROW()-2)*$C2 + $C2+1)), "")</f>
        <v>1642</v>
      </c>
      <c r="W2">
        <f>IFERROR(R2, "")</f>
        <v>2.6927525000000001</v>
      </c>
      <c r="X2">
        <f>IFERROR(MIN(INDEX(tropic_demos!R:R, (ROW()-2)*$C2+2):INDEX(tropic_demos!R:R, (ROW()-2)*$C2 + $C2+1)), "")</f>
        <v>2.4732829999999999</v>
      </c>
      <c r="Y2">
        <f>IFERROR(MAX(INDEX(tropic_demos!R:R, (ROW()-2)*$C2+2):INDEX(tropic_demos!R:R, (ROW()-2)*$C2 + $C2+1)), "")</f>
        <v>3.8394680000000001</v>
      </c>
      <c r="Z2">
        <f>IFERROR(AVERAGE(INDEX(tropic_demos!P:P, (ROW()-2)*$C2+2):INDEX(tropic_demos!P:P, (ROW()-2)*$C2 + $C2+1)), "")</f>
        <v>1.1497999999999999</v>
      </c>
      <c r="AA2">
        <f>IFERROR(MIN(INDEX(tropic_demos!P:P, (ROW()-2)*$C2+2):INDEX(tropic_demos!P:P, (ROW()-2)*$C2 + $C2+1)), "")</f>
        <v>0.99299999999999999</v>
      </c>
      <c r="AB2">
        <f>IFERROR(MAX(INDEX(tropic_demos!P:P, (ROW()-2)*$C2+2):INDEX(tropic_demos!P:P, (ROW()-2)*$C2 + $C2+1)), "")</f>
        <v>1.589</v>
      </c>
    </row>
    <row r="3" spans="1:28" x14ac:dyDescent="0.25">
      <c r="A3" t="str" cm="1">
        <f t="array" ref="A3">INDEX(tropic_demos!A:A, (ROW()-2)*$C3+2)</f>
        <v>planar 7-DOF biped (zero tol)</v>
      </c>
      <c r="B3" t="str" cm="1">
        <f t="array" ref="B3">INDEX(tropic_demos!B:B, (ROW()-2)*$C3+2)</f>
        <v>Amplify_main_zero_tol</v>
      </c>
      <c r="C3">
        <f>COUNTIF(tropic_demos!A:A, tropic_demos!A3)</f>
        <v>10</v>
      </c>
      <c r="D3" t="str" cm="1">
        <f t="array" ref="D3">INDEX(tropic_demos!D:D, (ROW()-2)*$C3+2)</f>
        <v>Optimal Solution Found.</v>
      </c>
      <c r="E3">
        <f>IFERROR(AVERAGE(INDEX(tropic_demos!E:E, (ROW()-2)*$C3+2):INDEX(tropic_demos!E:E, (ROW()-2)*$C3 + $C3+1)), "")</f>
        <v>6.0928933623037809</v>
      </c>
      <c r="F3">
        <f>IFERROR(AVERAGE(INDEX(tropic_demos!F:F, (ROW()-2)*$C3+2):INDEX(tropic_demos!F:F, (ROW()-2)*$C3 + $C3+1)), "")</f>
        <v>793</v>
      </c>
      <c r="G3">
        <f>IFERROR(AVERAGE(INDEX(tropic_demos!G:G, (ROW()-2)*$C3+2):INDEX(tropic_demos!G:G, (ROW()-2)*$C3 + $C3+1)), "")</f>
        <v>2026</v>
      </c>
      <c r="H3">
        <f>IFERROR(AVERAGE(INDEX(tropic_demos!H:H, (ROW()-2)*$C3+2):INDEX(tropic_demos!H:H, (ROW()-2)*$C3 + $C3+1)), "")</f>
        <v>760</v>
      </c>
      <c r="I3">
        <f>IFERROR(AVERAGE(INDEX(tropic_demos!I:I, (ROW()-2)*$C3+2):INDEX(tropic_demos!I:I, (ROW()-2)*$C3 + $C3+1)), "")</f>
        <v>2026</v>
      </c>
      <c r="J3">
        <f>IFERROR(AVERAGE(INDEX(tropic_demos!J:J, (ROW()-2)*$C3+2):INDEX(tropic_demos!J:J, (ROW()-2)*$C3 + $C3+1)), "")</f>
        <v>2026</v>
      </c>
      <c r="K3">
        <f>IFERROR(AVERAGE(INDEX(tropic_demos!K:K, (ROW()-2)*$C3+2):INDEX(tropic_demos!K:K, (ROW()-2)*$C3 + $C3+1)), "")</f>
        <v>811</v>
      </c>
      <c r="L3">
        <f>IFERROR(AVERAGE(INDEX(tropic_demos!L:L, (ROW()-2)*$C3+2):INDEX(tropic_demos!L:L, (ROW()-2)*$C3 + $C3+1)), "")</f>
        <v>811</v>
      </c>
      <c r="M3">
        <f>IFERROR(AVERAGE(INDEX(tropic_demos!M:M, (ROW()-2)*$C3+2):INDEX(tropic_demos!M:M, (ROW()-2)*$C3 + $C3+1)), "")</f>
        <v>0</v>
      </c>
      <c r="N3">
        <f>IFERROR(AVERAGE(INDEX(tropic_demos!N:N, (ROW()-2)*$C3+2):INDEX(tropic_demos!N:N, (ROW()-2)*$C3 + $C3+1)), "")</f>
        <v>4.5536746945407103E-6</v>
      </c>
      <c r="O3">
        <f>IFERROR(AVERAGE(INDEX(tropic_demos!O:O, (ROW()-2)*$C3+2):INDEX(tropic_demos!O:O, (ROW()-2)*$C3 + $C3+1)), "")</f>
        <v>9.7368000000000006</v>
      </c>
      <c r="P3">
        <f>IFERROR(AVERAGE(INDEX(tropic_demos!P:P, (ROW()-2)*$C3+2):INDEX(tropic_demos!P:P, (ROW()-2)*$C3 + $C3+1)), "")</f>
        <v>9.2027000000000001</v>
      </c>
      <c r="Q3">
        <f>IFERROR(AVERAGE(INDEX(tropic_demos!Q:Q, (ROW()-2)*$C3+2):INDEX(tropic_demos!Q:Q, (ROW()-2)*$C3 + $C3+1)), "")</f>
        <v>18.945684</v>
      </c>
      <c r="R3">
        <f>IFERROR(AVERAGE(INDEX(tropic_demos!R:R, (ROW()-2)*$C3+2):INDEX(tropic_demos!R:R, (ROW()-2)*$C3 + $C3+1)), "")</f>
        <v>18.966076000000001</v>
      </c>
      <c r="S3">
        <f>IFERROR(AVERAGE(INDEX(tropic_demos!S:S, (ROW()-2)*$C3+2):INDEX(tropic_demos!S:S, (ROW()-2)*$C3 + $C3+1)), "")</f>
        <v>1404</v>
      </c>
      <c r="T3">
        <f>IFERROR(AVERAGE(INDEX(tropic_demos!T:T, (ROW()-2)*$C3+2):INDEX(tropic_demos!T:T, (ROW()-2)*$C3 + $C3+1)), "")</f>
        <v>1390</v>
      </c>
      <c r="U3">
        <f>IFERROR(AVERAGE(INDEX(tropic_demos!U:U, (ROW()-2)*$C3+2):INDEX(tropic_demos!U:U, (ROW()-2)*$C3 + $C3+1)), "")</f>
        <v>258</v>
      </c>
      <c r="W3">
        <f>IFERROR(R3, "")</f>
        <v>18.966076000000001</v>
      </c>
      <c r="X3">
        <f>IFERROR(MIN(INDEX(tropic_demos!R:R, (ROW()-2)*$C3+2):INDEX(tropic_demos!R:R, (ROW()-2)*$C3 + $C3+1)), "")</f>
        <v>18.638432999999999</v>
      </c>
      <c r="Y3">
        <f>IFERROR(MAX(INDEX(tropic_demos!R:R, (ROW()-2)*$C3+2):INDEX(tropic_demos!R:R, (ROW()-2)*$C3 + $C3+1)), "")</f>
        <v>20.016275</v>
      </c>
      <c r="Z3">
        <f>IFERROR(AVERAGE(INDEX(tropic_demos!P:P, (ROW()-2)*$C3+2):INDEX(tropic_demos!P:P, (ROW()-2)*$C3 + $C3+1)), "")</f>
        <v>9.2027000000000001</v>
      </c>
      <c r="AA3">
        <f>IFERROR(MIN(INDEX(tropic_demos!P:P, (ROW()-2)*$C3+2):INDEX(tropic_demos!P:P, (ROW()-2)*$C3 + $C3+1)), "")</f>
        <v>8.8729999999999993</v>
      </c>
      <c r="AB3">
        <f>IFERROR(MAX(INDEX(tropic_demos!P:P, (ROW()-2)*$C3+2):INDEX(tropic_demos!P:P, (ROW()-2)*$C3 + $C3+1)), "")</f>
        <v>9.5139999999999993</v>
      </c>
    </row>
    <row r="4" spans="1:28" x14ac:dyDescent="0.25">
      <c r="A4" t="str" cm="1">
        <f t="array" ref="A4">INDEX(tropic_demos!A:A, (ROW()-2)*$C4+2)</f>
        <v>planar 7-DOF biped (zero tol, no opts)</v>
      </c>
      <c r="B4" t="str" cm="1">
        <f t="array" ref="B4">INDEX(tropic_demos!B:B, (ROW()-2)*$C4+2)</f>
        <v>Amplify_main_zero_tol_no_opts</v>
      </c>
      <c r="C4">
        <f>COUNTIF(tropic_demos!A:A, tropic_demos!A4)</f>
        <v>10</v>
      </c>
      <c r="D4" t="str" cm="1">
        <f t="array" ref="D4">INDEX(tropic_demos!D:D, (ROW()-2)*$C4+2)</f>
        <v>Restoration Failed!</v>
      </c>
      <c r="E4">
        <f>IFERROR(AVERAGE(INDEX(tropic_demos!E:E, (ROW()-2)*$C4+2):INDEX(tropic_demos!E:E, (ROW()-2)*$C4 + $C4+1)), "")</f>
        <v>5.9227518003997712</v>
      </c>
      <c r="F4">
        <f>IFERROR(AVERAGE(INDEX(tropic_demos!F:F, (ROW()-2)*$C4+2):INDEX(tropic_demos!F:F, (ROW()-2)*$C4 + $C4+1)), "")</f>
        <v>1141</v>
      </c>
      <c r="G4">
        <f>IFERROR(AVERAGE(INDEX(tropic_demos!G:G, (ROW()-2)*$C4+2):INDEX(tropic_demos!G:G, (ROW()-2)*$C4 + $C4+1)), "")</f>
        <v>3056</v>
      </c>
      <c r="H4">
        <f>IFERROR(AVERAGE(INDEX(tropic_demos!H:H, (ROW()-2)*$C4+2):INDEX(tropic_demos!H:H, (ROW()-2)*$C4 + $C4+1)), "")</f>
        <v>1107</v>
      </c>
      <c r="I4">
        <f>IFERROR(AVERAGE(INDEX(tropic_demos!I:I, (ROW()-2)*$C4+2):INDEX(tropic_demos!I:I, (ROW()-2)*$C4 + $C4+1)), "")</f>
        <v>3056</v>
      </c>
      <c r="J4">
        <f>IFERROR(AVERAGE(INDEX(tropic_demos!J:J, (ROW()-2)*$C4+2):INDEX(tropic_demos!J:J, (ROW()-2)*$C4 + $C4+1)), "")</f>
        <v>3056</v>
      </c>
      <c r="K4">
        <f>IFERROR(AVERAGE(INDEX(tropic_demos!K:K, (ROW()-2)*$C4+2):INDEX(tropic_demos!K:K, (ROW()-2)*$C4 + $C4+1)), "")</f>
        <v>1193</v>
      </c>
      <c r="L4">
        <f>IFERROR(AVERAGE(INDEX(tropic_demos!L:L, (ROW()-2)*$C4+2):INDEX(tropic_demos!L:L, (ROW()-2)*$C4 + $C4+1)), "")</f>
        <v>1193</v>
      </c>
      <c r="M4">
        <f>IFERROR(AVERAGE(INDEX(tropic_demos!M:M, (ROW()-2)*$C4+2):INDEX(tropic_demos!M:M, (ROW()-2)*$C4 + $C4+1)), "")</f>
        <v>1142</v>
      </c>
      <c r="N4">
        <f>IFERROR(AVERAGE(INDEX(tropic_demos!N:N, (ROW()-2)*$C4+2):INDEX(tropic_demos!N:N, (ROW()-2)*$C4 + $C4+1)), "")</f>
        <v>1.4210854715202001E-13</v>
      </c>
      <c r="O4">
        <f>IFERROR(AVERAGE(INDEX(tropic_demos!O:O, (ROW()-2)*$C4+2):INDEX(tropic_demos!O:O, (ROW()-2)*$C4 + $C4+1)), "")</f>
        <v>137.6191</v>
      </c>
      <c r="P4">
        <f>IFERROR(AVERAGE(INDEX(tropic_demos!P:P, (ROW()-2)*$C4+2):INDEX(tropic_demos!P:P, (ROW()-2)*$C4 + $C4+1)), "")</f>
        <v>69.762</v>
      </c>
      <c r="Q4">
        <f>IFERROR(AVERAGE(INDEX(tropic_demos!Q:Q, (ROW()-2)*$C4+2):INDEX(tropic_demos!Q:Q, (ROW()-2)*$C4 + $C4+1)), "")</f>
        <v>207.3925017</v>
      </c>
      <c r="R4">
        <f>IFERROR(AVERAGE(INDEX(tropic_demos!R:R, (ROW()-2)*$C4+2):INDEX(tropic_demos!R:R, (ROW()-2)*$C4 + $C4+1)), "")</f>
        <v>207.4800339</v>
      </c>
      <c r="S4">
        <f>IFERROR(AVERAGE(INDEX(tropic_demos!S:S, (ROW()-2)*$C4+2):INDEX(tropic_demos!S:S, (ROW()-2)*$C4 + $C4+1)), "")</f>
        <v>1404</v>
      </c>
      <c r="T4">
        <f>IFERROR(AVERAGE(INDEX(tropic_demos!T:T, (ROW()-2)*$C4+2):INDEX(tropic_demos!T:T, (ROW()-2)*$C4 + $C4+1)), "")</f>
        <v>1390</v>
      </c>
      <c r="U4">
        <f>IFERROR(AVERAGE(INDEX(tropic_demos!U:U, (ROW()-2)*$C4+2):INDEX(tropic_demos!U:U, (ROW()-2)*$C4 + $C4+1)), "")</f>
        <v>258</v>
      </c>
      <c r="W4">
        <f>IFERROR(R4, "")</f>
        <v>207.4800339</v>
      </c>
      <c r="X4">
        <f>IFERROR(MIN(INDEX(tropic_demos!R:R, (ROW()-2)*$C4+2):INDEX(tropic_demos!R:R, (ROW()-2)*$C4 + $C4+1)), "")</f>
        <v>204.79609199999999</v>
      </c>
      <c r="Y4">
        <f>IFERROR(MAX(INDEX(tropic_demos!R:R, (ROW()-2)*$C4+2):INDEX(tropic_demos!R:R, (ROW()-2)*$C4 + $C4+1)), "")</f>
        <v>212.44538900000001</v>
      </c>
      <c r="Z4">
        <f>IFERROR(AVERAGE(INDEX(tropic_demos!P:P, (ROW()-2)*$C4+2):INDEX(tropic_demos!P:P, (ROW()-2)*$C4 + $C4+1)), "")</f>
        <v>69.762</v>
      </c>
      <c r="AA4">
        <f>IFERROR(MIN(INDEX(tropic_demos!P:P, (ROW()-2)*$C4+2):INDEX(tropic_demos!P:P, (ROW()-2)*$C4 + $C4+1)), "")</f>
        <v>68.317999999999998</v>
      </c>
      <c r="AB4">
        <f>IFERROR(MAX(INDEX(tropic_demos!P:P, (ROW()-2)*$C4+2):INDEX(tropic_demos!P:P, (ROW()-2)*$C4 + $C4+1)), "")</f>
        <v>70.930999999999997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EED7-DFDF-4570-8804-EA32ACF4C933}">
  <dimension ref="A1:X4"/>
  <sheetViews>
    <sheetView workbookViewId="0">
      <selection activeCell="A3" sqref="A3"/>
    </sheetView>
  </sheetViews>
  <sheetFormatPr defaultRowHeight="15" x14ac:dyDescent="0.25"/>
  <cols>
    <col min="1" max="1" width="34.85546875" bestFit="1" customWidth="1"/>
    <col min="2" max="2" width="29.140625" bestFit="1" customWidth="1"/>
    <col min="3" max="3" width="8.5703125" bestFit="1" customWidth="1"/>
    <col min="4" max="4" width="22.85546875" bestFit="1" customWidth="1"/>
    <col min="5" max="5" width="12" bestFit="1" customWidth="1"/>
    <col min="6" max="6" width="9.42578125" bestFit="1" customWidth="1"/>
    <col min="7" max="8" width="13.140625" bestFit="1" customWidth="1"/>
    <col min="9" max="9" width="7.7109375" bestFit="1" customWidth="1"/>
    <col min="10" max="10" width="9.42578125" bestFit="1" customWidth="1"/>
    <col min="11" max="11" width="10.5703125" bestFit="1" customWidth="1"/>
    <col min="12" max="12" width="12.28515625" bestFit="1" customWidth="1"/>
    <col min="13" max="13" width="9.85546875" bestFit="1" customWidth="1"/>
    <col min="14" max="14" width="18.42578125" bestFit="1" customWidth="1"/>
    <col min="15" max="16" width="12" bestFit="1" customWidth="1"/>
    <col min="17" max="17" width="15.42578125" bestFit="1" customWidth="1"/>
    <col min="18" max="18" width="12" bestFit="1" customWidth="1"/>
    <col min="19" max="19" width="13.85546875" bestFit="1" customWidth="1"/>
    <col min="20" max="20" width="17.85546875" bestFit="1" customWidth="1"/>
    <col min="21" max="21" width="19.5703125" bestFit="1" customWidth="1"/>
    <col min="23" max="23" width="16.42578125" bestFit="1" customWidth="1"/>
    <col min="24" max="24" width="12" bestFit="1" customWidth="1"/>
  </cols>
  <sheetData>
    <row r="1" spans="1:24" x14ac:dyDescent="0.25">
      <c r="A1" t="str">
        <f>tropic_demos!A1</f>
        <v>DEMO_LABEL</v>
      </c>
      <c r="B1" t="str">
        <f>tropic_demos!B1</f>
        <v>DEMO_NAME</v>
      </c>
      <c r="C1" t="str">
        <f>tropic_demos!C1</f>
        <v>NUMBER</v>
      </c>
      <c r="D1" t="str">
        <f>tropic_demos!D1</f>
        <v>EXIT</v>
      </c>
      <c r="E1" t="str">
        <f>tropic_demos!E1</f>
        <v>Objective</v>
      </c>
      <c r="F1" t="str">
        <f>tropic_demos!F1</f>
        <v>Iterations</v>
      </c>
      <c r="G1" t="str">
        <f>tropic_demos!G1</f>
        <v>ObjFuncEvals</v>
      </c>
      <c r="H1" t="str">
        <f>tropic_demos!H1</f>
        <v>ObjGradEvals</v>
      </c>
      <c r="I1" t="str">
        <f>tropic_demos!I1</f>
        <v>EqEvals</v>
      </c>
      <c r="J1" t="str">
        <f>tropic_demos!J1</f>
        <v>IneqEvals</v>
      </c>
      <c r="K1" t="str">
        <f>tropic_demos!K1</f>
        <v>EqJacEvals</v>
      </c>
      <c r="L1" t="str">
        <f>tropic_demos!L1</f>
        <v>IneqJacEvals</v>
      </c>
      <c r="M1" t="str">
        <f>tropic_demos!M1</f>
        <v>HessEvals</v>
      </c>
      <c r="N1" t="str">
        <f>tropic_demos!N1</f>
        <v>ConstraintViolation</v>
      </c>
      <c r="O1" t="str">
        <f>tropic_demos!O1</f>
        <v>CPU_IPOPT</v>
      </c>
      <c r="P1" t="str">
        <f>tropic_demos!P1</f>
        <v>CPU_NLP</v>
      </c>
      <c r="Q1" t="str">
        <f>tropic_demos!Q1</f>
        <v>TROPIC_Elapsed</v>
      </c>
      <c r="R1" t="str">
        <f>tropic_demos!R1</f>
        <v>Elapsed</v>
      </c>
      <c r="S1" t="str">
        <f>tropic_demos!S1</f>
        <v>NumVariables</v>
      </c>
      <c r="T1" t="str">
        <f>tropic_demos!T1</f>
        <v>NumEqConstraints</v>
      </c>
      <c r="U1" t="str">
        <f>tropic_demos!U1</f>
        <v>NumIneqConstraints</v>
      </c>
      <c r="W1" t="s">
        <v>26</v>
      </c>
      <c r="X1" t="s">
        <v>51</v>
      </c>
    </row>
    <row r="2" spans="1:24" x14ac:dyDescent="0.25">
      <c r="A2" t="str" cm="1">
        <f t="array" ref="A2">INDEX(tropic_demos!A:A, (ROW()-2)*$C2+2)</f>
        <v>planar 7-DOF biped</v>
      </c>
      <c r="B2" t="str" cm="1">
        <f t="array" ref="B2">INDEX(tropic_demos!B:B, (ROW()-2)*$C2+2)</f>
        <v>Amplify_main</v>
      </c>
      <c r="C2">
        <f>COUNTIF(tropic_demos!A:A, tropic_demos!A2)</f>
        <v>10</v>
      </c>
      <c r="D2" t="str" cm="1">
        <f t="array" ref="D2">INDEX(tropic_demos!D:D, (ROW()-2)*$C2+2)</f>
        <v>Optimal Solution Found.</v>
      </c>
      <c r="E2">
        <f>IFERROR(_xlfn.STDEV.S(INDEX(tropic_demos!E:E, (ROW()-2)*averages!$C2+2):INDEX(tropic_demos!E:E, (ROW()-2)*averages!$C2+averages!$C2+1)), "")</f>
        <v>9.3622225828712033E-16</v>
      </c>
      <c r="F2">
        <f>IFERROR(_xlfn.STDEV.S(INDEX(tropic_demos!F:F, (ROW()-2)*averages!$C2+2):INDEX(tropic_demos!F:F, (ROW()-2)*averages!$C2+averages!$C2+1)), "")</f>
        <v>0</v>
      </c>
      <c r="G2">
        <f>IFERROR(_xlfn.STDEV.S(INDEX(tropic_demos!G:G, (ROW()-2)*averages!$C2+2):INDEX(tropic_demos!G:G, (ROW()-2)*averages!$C2+averages!$C2+1)), "")</f>
        <v>0</v>
      </c>
      <c r="H2">
        <f>IFERROR(_xlfn.STDEV.S(INDEX(tropic_demos!H:H, (ROW()-2)*averages!$C2+2):INDEX(tropic_demos!H:H, (ROW()-2)*averages!$C2+averages!$C2+1)), "")</f>
        <v>0</v>
      </c>
      <c r="I2">
        <f>IFERROR(_xlfn.STDEV.S(INDEX(tropic_demos!I:I, (ROW()-2)*averages!$C2+2):INDEX(tropic_demos!I:I, (ROW()-2)*averages!$C2+averages!$C2+1)), "")</f>
        <v>0</v>
      </c>
      <c r="J2">
        <f>IFERROR(_xlfn.STDEV.S(INDEX(tropic_demos!J:J, (ROW()-2)*averages!$C2+2):INDEX(tropic_demos!J:J, (ROW()-2)*averages!$C2+averages!$C2+1)), "")</f>
        <v>0</v>
      </c>
      <c r="K2">
        <f>IFERROR(_xlfn.STDEV.S(INDEX(tropic_demos!K:K, (ROW()-2)*averages!$C2+2):INDEX(tropic_demos!K:K, (ROW()-2)*averages!$C2+averages!$C2+1)), "")</f>
        <v>0</v>
      </c>
      <c r="L2">
        <f>IFERROR(_xlfn.STDEV.S(INDEX(tropic_demos!L:L, (ROW()-2)*averages!$C2+2):INDEX(tropic_demos!L:L, (ROW()-2)*averages!$C2+averages!$C2+1)), "")</f>
        <v>0</v>
      </c>
      <c r="M2">
        <f>IFERROR(_xlfn.STDEV.S(INDEX(tropic_demos!M:M, (ROW()-2)*averages!$C2+2):INDEX(tropic_demos!M:M, (ROW()-2)*averages!$C2+averages!$C2+1)), "")</f>
        <v>0</v>
      </c>
      <c r="N2">
        <f>IFERROR(_xlfn.STDEV.S(INDEX(tropic_demos!N:N, (ROW()-2)*averages!$C2+2):INDEX(tropic_demos!N:N, (ROW()-2)*averages!$C2+averages!$C2+1)), "")</f>
        <v>0</v>
      </c>
      <c r="O2">
        <f>IFERROR(_xlfn.STDEV.S(INDEX(tropic_demos!O:O, (ROW()-2)*averages!$C2+2):INDEX(tropic_demos!O:O, (ROW()-2)*averages!$C2+averages!$C2+1)), "")</f>
        <v>0.24241342097059612</v>
      </c>
      <c r="P2">
        <f>IFERROR(_xlfn.STDEV.S(INDEX(tropic_demos!P:P, (ROW()-2)*averages!$C2+2):INDEX(tropic_demos!P:P, (ROW()-2)*averages!$C2+averages!$C2+1)), "")</f>
        <v>0.16724220626252112</v>
      </c>
      <c r="Q2">
        <f>IFERROR(_xlfn.STDEV.S(INDEX(tropic_demos!Q:Q, (ROW()-2)*averages!$C2+2):INDEX(tropic_demos!Q:Q, (ROW()-2)*averages!$C2+averages!$C2+1)), "")</f>
        <v>0.39886331012064624</v>
      </c>
      <c r="R2">
        <f>IFERROR(_xlfn.STDEV.S(INDEX(tropic_demos!R:R, (ROW()-2)*averages!$C2+2):INDEX(tropic_demos!R:R, (ROW()-2)*averages!$C2+averages!$C2+1)), "")</f>
        <v>0.41058382977420738</v>
      </c>
      <c r="S2">
        <f>IFERROR(_xlfn.STDEV.S(INDEX(tropic_demos!S:S, (ROW()-2)*averages!$C2+2):INDEX(tropic_demos!S:S, (ROW()-2)*averages!$C2+averages!$C2+1)), "")</f>
        <v>0</v>
      </c>
      <c r="T2">
        <f>IFERROR(_xlfn.STDEV.S(INDEX(tropic_demos!T:T, (ROW()-2)*averages!$C2+2):INDEX(tropic_demos!T:T, (ROW()-2)*averages!$C2+averages!$C2+1)), "")</f>
        <v>0</v>
      </c>
      <c r="U2">
        <f>IFERROR(_xlfn.STDEV.S(INDEX(tropic_demos!U:U, (ROW()-2)*averages!$C2+2):INDEX(tropic_demos!U:U, (ROW()-2)*averages!$C2+averages!$C2+1)), "")</f>
        <v>0</v>
      </c>
      <c r="W2">
        <f>R2</f>
        <v>0.41058382977420738</v>
      </c>
      <c r="X2">
        <f>P2</f>
        <v>0.16724220626252112</v>
      </c>
    </row>
    <row r="3" spans="1:24" x14ac:dyDescent="0.25">
      <c r="A3" t="str" cm="1">
        <f t="array" ref="A3">INDEX(tropic_demos!A:A, (ROW()-2)*$C3+2)</f>
        <v>planar 7-DOF biped (zero tol)</v>
      </c>
      <c r="B3" t="str" cm="1">
        <f t="array" ref="B3">INDEX(tropic_demos!B:B, (ROW()-2)*$C3+2)</f>
        <v>Amplify_main_zero_tol</v>
      </c>
      <c r="C3">
        <f>COUNTIF(tropic_demos!A:A, tropic_demos!A3)</f>
        <v>10</v>
      </c>
      <c r="D3" t="str" cm="1">
        <f t="array" ref="D3">INDEX(tropic_demos!D:D, (ROW()-2)*$C3+2)</f>
        <v>Optimal Solution Found.</v>
      </c>
      <c r="E3">
        <f>IFERROR(_xlfn.STDEV.S(INDEX(tropic_demos!E:E, (ROW()-2)*averages!$C3+2):INDEX(tropic_demos!E:E, (ROW()-2)*averages!$C3+averages!$C3+1)), "")</f>
        <v>9.3622225828712033E-16</v>
      </c>
      <c r="F3">
        <f>IFERROR(_xlfn.STDEV.S(INDEX(tropic_demos!F:F, (ROW()-2)*averages!$C3+2):INDEX(tropic_demos!F:F, (ROW()-2)*averages!$C3+averages!$C3+1)), "")</f>
        <v>0</v>
      </c>
      <c r="G3">
        <f>IFERROR(_xlfn.STDEV.S(INDEX(tropic_demos!G:G, (ROW()-2)*averages!$C3+2):INDEX(tropic_demos!G:G, (ROW()-2)*averages!$C3+averages!$C3+1)), "")</f>
        <v>0</v>
      </c>
      <c r="H3">
        <f>IFERROR(_xlfn.STDEV.S(INDEX(tropic_demos!H:H, (ROW()-2)*averages!$C3+2):INDEX(tropic_demos!H:H, (ROW()-2)*averages!$C3+averages!$C3+1)), "")</f>
        <v>0</v>
      </c>
      <c r="I3">
        <f>IFERROR(_xlfn.STDEV.S(INDEX(tropic_demos!I:I, (ROW()-2)*averages!$C3+2):INDEX(tropic_demos!I:I, (ROW()-2)*averages!$C3+averages!$C3+1)), "")</f>
        <v>0</v>
      </c>
      <c r="J3">
        <f>IFERROR(_xlfn.STDEV.S(INDEX(tropic_demos!J:J, (ROW()-2)*averages!$C3+2):INDEX(tropic_demos!J:J, (ROW()-2)*averages!$C3+averages!$C3+1)), "")</f>
        <v>0</v>
      </c>
      <c r="K3">
        <f>IFERROR(_xlfn.STDEV.S(INDEX(tropic_demos!K:K, (ROW()-2)*averages!$C3+2):INDEX(tropic_demos!K:K, (ROW()-2)*averages!$C3+averages!$C3+1)), "")</f>
        <v>0</v>
      </c>
      <c r="L3">
        <f>IFERROR(_xlfn.STDEV.S(INDEX(tropic_demos!L:L, (ROW()-2)*averages!$C3+2):INDEX(tropic_demos!L:L, (ROW()-2)*averages!$C3+averages!$C3+1)), "")</f>
        <v>0</v>
      </c>
      <c r="M3">
        <f>IFERROR(_xlfn.STDEV.S(INDEX(tropic_demos!M:M, (ROW()-2)*averages!$C3+2):INDEX(tropic_demos!M:M, (ROW()-2)*averages!$C3+averages!$C3+1)), "")</f>
        <v>0</v>
      </c>
      <c r="N3">
        <f>IFERROR(_xlfn.STDEV.S(INDEX(tropic_demos!N:N, (ROW()-2)*averages!$C3+2):INDEX(tropic_demos!N:N, (ROW()-2)*averages!$C3+averages!$C3+1)), "")</f>
        <v>0</v>
      </c>
      <c r="O3">
        <f>IFERROR(_xlfn.STDEV.S(INDEX(tropic_demos!O:O, (ROW()-2)*averages!$C3+2):INDEX(tropic_demos!O:O, (ROW()-2)*averages!$C3+averages!$C3+1)), "")</f>
        <v>0.3260084525148253</v>
      </c>
      <c r="P3">
        <f>IFERROR(_xlfn.STDEV.S(INDEX(tropic_demos!P:P, (ROW()-2)*averages!$C3+2):INDEX(tropic_demos!P:P, (ROW()-2)*averages!$C3+averages!$C3+1)), "")</f>
        <v>0.20846052117580652</v>
      </c>
      <c r="Q3">
        <f>IFERROR(_xlfn.STDEV.S(INDEX(tropic_demos!Q:Q, (ROW()-2)*averages!$C3+2):INDEX(tropic_demos!Q:Q, (ROW()-2)*averages!$C3+averages!$C3+1)), "")</f>
        <v>0.44318293717580992</v>
      </c>
      <c r="R3">
        <f>IFERROR(_xlfn.STDEV.S(INDEX(tropic_demos!R:R, (ROW()-2)*averages!$C3+2):INDEX(tropic_demos!R:R, (ROW()-2)*averages!$C3+averages!$C3+1)), "")</f>
        <v>0.44364196748930063</v>
      </c>
      <c r="S3">
        <f>IFERROR(_xlfn.STDEV.S(INDEX(tropic_demos!S:S, (ROW()-2)*averages!$C3+2):INDEX(tropic_demos!S:S, (ROW()-2)*averages!$C3+averages!$C3+1)), "")</f>
        <v>0</v>
      </c>
      <c r="T3">
        <f>IFERROR(_xlfn.STDEV.S(INDEX(tropic_demos!T:T, (ROW()-2)*averages!$C3+2):INDEX(tropic_demos!T:T, (ROW()-2)*averages!$C3+averages!$C3+1)), "")</f>
        <v>0</v>
      </c>
      <c r="U3">
        <f>IFERROR(_xlfn.STDEV.S(INDEX(tropic_demos!U:U, (ROW()-2)*averages!$C3+2):INDEX(tropic_demos!U:U, (ROW()-2)*averages!$C3+averages!$C3+1)), "")</f>
        <v>0</v>
      </c>
      <c r="W3">
        <f t="shared" ref="W3:W4" si="0">R3</f>
        <v>0.44364196748930063</v>
      </c>
      <c r="X3">
        <f t="shared" ref="X3:X4" si="1">P3</f>
        <v>0.20846052117580652</v>
      </c>
    </row>
    <row r="4" spans="1:24" x14ac:dyDescent="0.25">
      <c r="A4" t="str" cm="1">
        <f t="array" ref="A4">INDEX(tropic_demos!A:A, (ROW()-2)*$C4+2)</f>
        <v>planar 7-DOF biped (zero tol, no opts)</v>
      </c>
      <c r="B4" t="str" cm="1">
        <f t="array" ref="B4">INDEX(tropic_demos!B:B, (ROW()-2)*$C4+2)</f>
        <v>Amplify_main_zero_tol_no_opts</v>
      </c>
      <c r="C4">
        <f>COUNTIF(tropic_demos!A:A, tropic_demos!A4)</f>
        <v>10</v>
      </c>
      <c r="D4" t="str" cm="1">
        <f t="array" ref="D4">INDEX(tropic_demos!D:D, (ROW()-2)*$C4+2)</f>
        <v>Restoration Failed!</v>
      </c>
      <c r="E4">
        <f>IFERROR(_xlfn.STDEV.S(INDEX(tropic_demos!E:E, (ROW()-2)*averages!$C4+2):INDEX(tropic_demos!E:E, (ROW()-2)*averages!$C4+averages!$C4+1)), "")</f>
        <v>9.3622225828712033E-16</v>
      </c>
      <c r="F4">
        <f>IFERROR(_xlfn.STDEV.S(INDEX(tropic_demos!F:F, (ROW()-2)*averages!$C4+2):INDEX(tropic_demos!F:F, (ROW()-2)*averages!$C4+averages!$C4+1)), "")</f>
        <v>0</v>
      </c>
      <c r="G4">
        <f>IFERROR(_xlfn.STDEV.S(INDEX(tropic_demos!G:G, (ROW()-2)*averages!$C4+2):INDEX(tropic_demos!G:G, (ROW()-2)*averages!$C4+averages!$C4+1)), "")</f>
        <v>0</v>
      </c>
      <c r="H4">
        <f>IFERROR(_xlfn.STDEV.S(INDEX(tropic_demos!H:H, (ROW()-2)*averages!$C4+2):INDEX(tropic_demos!H:H, (ROW()-2)*averages!$C4+averages!$C4+1)), "")</f>
        <v>0</v>
      </c>
      <c r="I4">
        <f>IFERROR(_xlfn.STDEV.S(INDEX(tropic_demos!I:I, (ROW()-2)*averages!$C4+2):INDEX(tropic_demos!I:I, (ROW()-2)*averages!$C4+averages!$C4+1)), "")</f>
        <v>0</v>
      </c>
      <c r="J4">
        <f>IFERROR(_xlfn.STDEV.S(INDEX(tropic_demos!J:J, (ROW()-2)*averages!$C4+2):INDEX(tropic_demos!J:J, (ROW()-2)*averages!$C4+averages!$C4+1)), "")</f>
        <v>0</v>
      </c>
      <c r="K4">
        <f>IFERROR(_xlfn.STDEV.S(INDEX(tropic_demos!K:K, (ROW()-2)*averages!$C4+2):INDEX(tropic_demos!K:K, (ROW()-2)*averages!$C4+averages!$C4+1)), "")</f>
        <v>0</v>
      </c>
      <c r="L4">
        <f>IFERROR(_xlfn.STDEV.S(INDEX(tropic_demos!L:L, (ROW()-2)*averages!$C4+2):INDEX(tropic_demos!L:L, (ROW()-2)*averages!$C4+averages!$C4+1)), "")</f>
        <v>0</v>
      </c>
      <c r="M4">
        <f>IFERROR(_xlfn.STDEV.S(INDEX(tropic_demos!M:M, (ROW()-2)*averages!$C4+2):INDEX(tropic_demos!M:M, (ROW()-2)*averages!$C4+averages!$C4+1)), "")</f>
        <v>0</v>
      </c>
      <c r="N4">
        <f>IFERROR(_xlfn.STDEV.S(INDEX(tropic_demos!N:N, (ROW()-2)*averages!$C4+2):INDEX(tropic_demos!N:N, (ROW()-2)*averages!$C4+averages!$C4+1)), "")</f>
        <v>0</v>
      </c>
      <c r="O4">
        <f>IFERROR(_xlfn.STDEV.S(INDEX(tropic_demos!O:O, (ROW()-2)*averages!$C4+2):INDEX(tropic_demos!O:O, (ROW()-2)*averages!$C4+averages!$C4+1)), "")</f>
        <v>2.1540791510269286</v>
      </c>
      <c r="P4">
        <f>IFERROR(_xlfn.STDEV.S(INDEX(tropic_demos!P:P, (ROW()-2)*averages!$C4+2):INDEX(tropic_demos!P:P, (ROW()-2)*averages!$C4+averages!$C4+1)), "")</f>
        <v>0.79665899577896848</v>
      </c>
      <c r="Q4">
        <f>IFERROR(_xlfn.STDEV.S(INDEX(tropic_demos!Q:Q, (ROW()-2)*averages!$C4+2):INDEX(tropic_demos!Q:Q, (ROW()-2)*averages!$C4+averages!$C4+1)), "")</f>
        <v>2.4584022852365326</v>
      </c>
      <c r="R4">
        <f>IFERROR(_xlfn.STDEV.S(INDEX(tropic_demos!R:R, (ROW()-2)*averages!$C4+2):INDEX(tropic_demos!R:R, (ROW()-2)*averages!$C4+averages!$C4+1)), "")</f>
        <v>2.4590701065861156</v>
      </c>
      <c r="S4">
        <f>IFERROR(_xlfn.STDEV.S(INDEX(tropic_demos!S:S, (ROW()-2)*averages!$C4+2):INDEX(tropic_demos!S:S, (ROW()-2)*averages!$C4+averages!$C4+1)), "")</f>
        <v>0</v>
      </c>
      <c r="T4">
        <f>IFERROR(_xlfn.STDEV.S(INDEX(tropic_demos!T:T, (ROW()-2)*averages!$C4+2):INDEX(tropic_demos!T:T, (ROW()-2)*averages!$C4+averages!$C4+1)), "")</f>
        <v>0</v>
      </c>
      <c r="U4">
        <f>IFERROR(_xlfn.STDEV.S(INDEX(tropic_demos!U:U, (ROW()-2)*averages!$C4+2):INDEX(tropic_demos!U:U, (ROW()-2)*averages!$C4+averages!$C4+1)), "")</f>
        <v>0</v>
      </c>
      <c r="W4">
        <f t="shared" si="0"/>
        <v>2.4590701065861156</v>
      </c>
      <c r="X4">
        <f t="shared" si="1"/>
        <v>0.79665899577896848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D9FF-07C7-44BD-AC06-4D6DBE6E9482}">
  <dimension ref="A1:S4"/>
  <sheetViews>
    <sheetView tabSelected="1" workbookViewId="0"/>
  </sheetViews>
  <sheetFormatPr defaultRowHeight="15" x14ac:dyDescent="0.25"/>
  <cols>
    <col min="1" max="1" width="21.5703125" bestFit="1" customWidth="1"/>
    <col min="2" max="2" width="7.42578125" bestFit="1" customWidth="1"/>
    <col min="3" max="3" width="11.140625" bestFit="1" customWidth="1"/>
    <col min="4" max="4" width="4.7109375" bestFit="1" customWidth="1"/>
    <col min="5" max="6" width="12" bestFit="1" customWidth="1"/>
    <col min="7" max="7" width="13.5703125" bestFit="1" customWidth="1"/>
    <col min="8" max="8" width="13.85546875" bestFit="1" customWidth="1"/>
    <col min="9" max="9" width="17.28515625" bestFit="1" customWidth="1"/>
    <col min="10" max="10" width="9.85546875" bestFit="1" customWidth="1"/>
    <col min="11" max="11" width="13.7109375" bestFit="1" customWidth="1"/>
    <col min="12" max="12" width="14" bestFit="1" customWidth="1"/>
    <col min="13" max="13" width="18" bestFit="1" customWidth="1"/>
    <col min="14" max="15" width="9.42578125" bestFit="1" customWidth="1"/>
    <col min="16" max="16" width="10.42578125" bestFit="1" customWidth="1"/>
    <col min="17" max="17" width="12.140625" bestFit="1" customWidth="1"/>
    <col min="18" max="18" width="40.28515625" bestFit="1" customWidth="1"/>
    <col min="19" max="19" width="6" bestFit="1" customWidth="1"/>
  </cols>
  <sheetData>
    <row r="1" spans="1:19" x14ac:dyDescent="0.25">
      <c r="A1" t="s">
        <v>32</v>
      </c>
      <c r="B1" t="s">
        <v>33</v>
      </c>
      <c r="C1" t="s">
        <v>34</v>
      </c>
      <c r="D1" t="s">
        <v>35</v>
      </c>
      <c r="E1" t="s">
        <v>4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5</v>
      </c>
      <c r="O1" t="s">
        <v>44</v>
      </c>
      <c r="P1" t="s">
        <v>45</v>
      </c>
      <c r="Q1" t="s">
        <v>46</v>
      </c>
      <c r="R1" t="s">
        <v>48</v>
      </c>
      <c r="S1" t="s">
        <v>47</v>
      </c>
    </row>
    <row r="2" spans="1:19" x14ac:dyDescent="0.25">
      <c r="A2" t="s">
        <v>58</v>
      </c>
      <c r="B2" t="s">
        <v>49</v>
      </c>
      <c r="C2" t="s">
        <v>57</v>
      </c>
      <c r="D2" t="s">
        <v>50</v>
      </c>
      <c r="E2">
        <f>averages!E2</f>
        <v>4.1215593876914607</v>
      </c>
      <c r="F2">
        <f>averages!W2</f>
        <v>2.6927525000000001</v>
      </c>
      <c r="G2">
        <f>averages!X2</f>
        <v>2.4732829999999999</v>
      </c>
      <c r="H2">
        <f>averages!Y2</f>
        <v>3.8394680000000001</v>
      </c>
      <c r="I2">
        <f>'std. dev'!W2</f>
        <v>0.41058382977420738</v>
      </c>
      <c r="J2">
        <f>averages!Z2</f>
        <v>1.1497999999999999</v>
      </c>
      <c r="K2">
        <f>averages!AA2</f>
        <v>0.99299999999999999</v>
      </c>
      <c r="L2">
        <f>averages!AB2</f>
        <v>1.589</v>
      </c>
      <c r="M2">
        <f>'std. dev'!X2</f>
        <v>0.16724220626252112</v>
      </c>
      <c r="N2">
        <f>averages!F2</f>
        <v>101</v>
      </c>
      <c r="O2">
        <f>averages!S2</f>
        <v>1404</v>
      </c>
      <c r="P2">
        <f>averages!T2</f>
        <v>6</v>
      </c>
      <c r="Q2">
        <f>averages!U2</f>
        <v>1642</v>
      </c>
      <c r="R2" t="s">
        <v>54</v>
      </c>
      <c r="S2">
        <v>1.1000000000000001</v>
      </c>
    </row>
    <row r="3" spans="1:19" x14ac:dyDescent="0.25">
      <c r="A3" t="s">
        <v>58</v>
      </c>
      <c r="B3" t="s">
        <v>49</v>
      </c>
      <c r="C3" t="s">
        <v>57</v>
      </c>
      <c r="D3" t="s">
        <v>50</v>
      </c>
      <c r="E3">
        <f>averages!E3</f>
        <v>6.0928933623037809</v>
      </c>
      <c r="F3">
        <f>averages!W3</f>
        <v>18.966076000000001</v>
      </c>
      <c r="G3">
        <f>averages!X3</f>
        <v>18.638432999999999</v>
      </c>
      <c r="H3">
        <f>averages!Y3</f>
        <v>20.016275</v>
      </c>
      <c r="I3">
        <f>'std. dev'!W3</f>
        <v>0.44364196748930063</v>
      </c>
      <c r="J3">
        <f>averages!Z3</f>
        <v>9.2027000000000001</v>
      </c>
      <c r="K3">
        <f>averages!AA3</f>
        <v>8.8729999999999993</v>
      </c>
      <c r="L3">
        <f>averages!AB3</f>
        <v>9.5139999999999993</v>
      </c>
      <c r="M3">
        <f>'std. dev'!X3</f>
        <v>0.20846052117580652</v>
      </c>
      <c r="N3">
        <f>averages!F3</f>
        <v>793</v>
      </c>
      <c r="O3">
        <f>averages!S3</f>
        <v>1404</v>
      </c>
      <c r="P3">
        <f>averages!T3</f>
        <v>1390</v>
      </c>
      <c r="Q3">
        <f>averages!U3</f>
        <v>258</v>
      </c>
      <c r="R3" t="s">
        <v>55</v>
      </c>
      <c r="S3">
        <v>2.1</v>
      </c>
    </row>
    <row r="4" spans="1:19" x14ac:dyDescent="0.25">
      <c r="A4" t="s">
        <v>58</v>
      </c>
      <c r="B4" t="s">
        <v>49</v>
      </c>
      <c r="C4" t="s">
        <v>57</v>
      </c>
      <c r="D4" t="s">
        <v>50</v>
      </c>
      <c r="E4">
        <f>averages!E4</f>
        <v>5.9227518003997712</v>
      </c>
      <c r="F4">
        <f>averages!W4</f>
        <v>207.4800339</v>
      </c>
      <c r="G4">
        <f>averages!X4</f>
        <v>204.79609199999999</v>
      </c>
      <c r="H4">
        <f>averages!Y4</f>
        <v>212.44538900000001</v>
      </c>
      <c r="I4">
        <f>'std. dev'!W4</f>
        <v>2.4590701065861156</v>
      </c>
      <c r="J4">
        <f>averages!Z4</f>
        <v>69.762</v>
      </c>
      <c r="K4">
        <f>averages!AA4</f>
        <v>68.317999999999998</v>
      </c>
      <c r="L4">
        <f>averages!AB4</f>
        <v>70.930999999999997</v>
      </c>
      <c r="M4">
        <f>'std. dev'!X4</f>
        <v>0.79665899577896848</v>
      </c>
      <c r="N4">
        <f>averages!F4</f>
        <v>1141</v>
      </c>
      <c r="O4">
        <f>averages!S4</f>
        <v>1404</v>
      </c>
      <c r="P4">
        <f>averages!T4</f>
        <v>1390</v>
      </c>
      <c r="Q4">
        <f>averages!U4</f>
        <v>258</v>
      </c>
      <c r="R4" t="s">
        <v>56</v>
      </c>
      <c r="S4">
        <v>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CAAA28-F42B-4DA2-AD49-BCF8242D83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tropic_demos</vt:lpstr>
      <vt:lpstr>averages</vt:lpstr>
      <vt:lpstr>std. dev</vt:lpstr>
      <vt:lpstr>table_tc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Rosa</dc:creator>
  <cp:lastModifiedBy>Nelson Rosa</cp:lastModifiedBy>
  <dcterms:created xsi:type="dcterms:W3CDTF">2026-06-14T16:40:52Z</dcterms:created>
  <dcterms:modified xsi:type="dcterms:W3CDTF">2026-06-24T19:40:25Z</dcterms:modified>
</cp:coreProperties>
</file>